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Matches'!$A$1:$O$656</definedName>
    <definedName localSheetId="9" name="_xlnm.Print_Area">'Names to Print A'!$A$1:$B$47</definedName>
    <definedName localSheetId="10" name="_xlnm.Print_Area">'Names to Print B'!$A$1:$B$44</definedName>
    <definedName localSheetId="4" name="_xlnm.Print_Area">'Elimination Matches'!$A$1:$O$527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<sst xmlns="http://schemas.openxmlformats.org/spreadsheetml/2006/main" count="416" uniqueCount="416">
  <si>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</si>
  <si>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</si>
  <si>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</si>
  <si>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</si>
  <si>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</si>
  <si>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</si>
  <si>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</si>
  <si>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</si>
  <si>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</si>
  <si>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</si>
  <si>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</si>
  <si>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</si>
  <si>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</si>
  <si>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</si>
  <si>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</si>
  <si>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</si>
  <si>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</si>
  <si>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</si>
  <si>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</si>
  <si>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</si>
  <si>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</si>
  <si>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</si>
  <si>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</si>
  <si>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</si>
  <si>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</si>
  <si>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</si>
  <si>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</si>
  <si>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</si>
  <si>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</si>
  <si>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</si>
  <si>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</si>
  <si>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</si>
  <si>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</si>
  <si>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</si>
  <si>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</si>
  <si>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</si>
  <si>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</si>
  <si>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</si>
  <si>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</si>
  <si>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</si>
  <si>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</si>
  <si>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</si>
  <si>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</si>
  <si>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</si>
  <si>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</si>
  <si>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</si>
  <si>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</si>
  <si>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</si>
  <si>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</si>
  <si>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</si>
  <si>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</si>
  <si>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</si>
  <si>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</si>
  <si>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</si>
  <si>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</si>
  <si>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</si>
  <si>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</si>
  <si>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</si>
  <si>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</si>
  <si>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</si>
  <si>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</si>
  <si>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</si>
  <si>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</si>
  <si>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</si>
  <si>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</si>
  <si>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</si>
  <si>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</si>
  <si>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</si>
  <si>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</si>
  <si>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</si>
  <si>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</si>
  <si>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</si>
  <si>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</si>
  <si>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</si>
  <si>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</si>
  <si>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</si>
  <si>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</si>
  <si>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</si>
  <si>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</si>
  <si>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</si>
  <si>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</si>
  <si>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</si>
  <si>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</si>
  <si>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</si>
  <si>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</si>
  <si>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</si>
  <si>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</si>
  <si>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</si>
  <si>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</si>
  <si>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</si>
  <si>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</si>
  <si>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</si>
  <si>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</si>
  <si>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</si>
  <si>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</si>
  <si>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</si>
  <si>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</si>
  <si>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</si>
  <si>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</si>
  <si>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</si>
  <si>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</si>
  <si>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</si>
  <si>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</si>
  <si>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</si>
  <si>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</si>
  <si>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</si>
  <si>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</si>
  <si>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</si>
  <si>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</si>
  <si>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</si>
  <si>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</si>
  <si>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</si>
  <si>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</si>
  <si>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</si>
  <si>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</si>
  <si>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</si>
  <si>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</si>
  <si>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</si>
  <si>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</si>
  <si>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</si>
  <si>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</si>
  <si>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</si>
  <si>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</si>
  <si>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</si>
  <si>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</si>
  <si>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</si>
  <si>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</si>
  <si>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</si>
  <si>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</si>
  <si>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</si>
  <si>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</si>
  <si>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</si>
  <si>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</si>
  <si>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</si>
  <si>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</si>
  <si>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</si>
  <si>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</si>
  <si>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</si>
  <si>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</si>
  <si>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</si>
  <si>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</si>
  <si>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</si>
  <si>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</si>
  <si>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</si>
  <si>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</si>
  <si>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</si>
  <si>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</si>
  <si>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</si>
  <si>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</si>
  <si>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</si>
  <si>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</si>
  <si>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</si>
  <si>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</si>
  <si>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</si>
  <si>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</si>
  <si>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</si>
  <si>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</si>
  <si>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</si>
  <si>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</si>
  <si>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</si>
  <si>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</si>
  <si>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</si>
  <si>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</si>
  <si>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</si>
  <si>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</si>
  <si>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</si>
  <si>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</si>
  <si>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</si>
  <si>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</si>
  <si>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</si>
  <si>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</si>
  <si>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</si>
  <si>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</si>
  <si>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</si>
  <si>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</si>
  <si>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</si>
  <si>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</si>
  <si>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</si>
  <si>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</si>
  <si>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</si>
  <si>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</si>
  <si>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</si>
  <si>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</si>
  <si>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</si>
  <si>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</si>
  <si>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</si>
  <si>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</si>
  <si>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</si>
  <si>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</si>
  <si>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</si>
  <si>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</si>
  <si>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</si>
  <si>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</si>
  <si>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</si>
  <si>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</si>
  <si>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</si>
  <si>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</si>
  <si>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</si>
  <si>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</si>
  <si>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</si>
  <si>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</si>
  <si>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</si>
  <si>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</si>
  <si>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</si>
  <si>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</si>
  <si>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</si>
  <si>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</si>
  <si>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</si>
  <si>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</si>
  <si>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</si>
  <si>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</si>
  <si>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</si>
  <si>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</si>
  <si>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</si>
  <si>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</si>
  <si>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</si>
  <si>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</si>
  <si>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</si>
  <si>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</si>
  <si>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</si>
  <si>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</si>
  <si>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</si>
  <si>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</si>
  <si>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</si>
  <si>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</si>
  <si>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</si>
  <si>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</si>
  <si>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</si>
  <si>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</si>
  <si>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</si>
  <si>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</si>
  <si>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</si>
  <si>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</si>
  <si>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</si>
  <si>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</si>
  <si>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</si>
  <si>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</si>
  <si>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</si>
  <si>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</si>
  <si>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</si>
  <si>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</si>
  <si>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</si>
  <si>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W</t>
  </si>
  <si>
    <t>L</t>
  </si>
  <si>
    <t>T</t>
  </si>
  <si>
    <t>IV</t>
  </si>
  <si>
    <t>IL</t>
  </si>
  <si>
    <t>IT</t>
  </si>
  <si>
    <t>PW</t>
  </si>
  <si>
    <t>PL</t>
  </si>
  <si>
    <t>Ranking</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</si>
  <si>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</si>
  <si>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</si>
  <si>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</si>
  <si>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</si>
  <si>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</si>
  <si>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</si>
  <si>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</si>
  <si>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</si>
  <si>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</si>
  <si>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</si>
  <si>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</si>
  <si>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</si>
  <si>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</si>
  <si>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</si>
  <si>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</si>
  <si>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</si>
  <si>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</si>
  <si>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</si>
  <si>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</si>
  <si>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</si>
  <si>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</si>
  <si>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</si>
  <si>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</si>
  <si>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</si>
  <si>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</si>
  <si>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</si>
  <si>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</si>
  <si>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</si>
  <si>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</si>
  <si>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</si>
  <si>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</si>
  <si>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</si>
  <si>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</si>
  <si>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</si>
  <si>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</si>
  <si>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</si>
  <si>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</si>
  <si>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</si>
  <si>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</si>
  <si>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</si>
  <si>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</si>
  <si>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</si>
  <si>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</si>
  <si>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</si>
  <si>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</si>
  <si>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</si>
  <si>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</si>
  <si>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</si>
  <si>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</si>
  <si>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</si>
  <si>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</si>
  <si>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</si>
  <si>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</si>
  <si>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</si>
  <si>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</si>
  <si>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</si>
  <si>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</si>
  <si>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</si>
  <si>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</si>
  <si>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</si>
  <si>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</si>
  <si>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</si>
  <si>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</si>
  <si>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</si>
  <si>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</si>
  <si>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</si>
  <si>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</si>
  <si>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</si>
  <si>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</si>
  <si>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</si>
  <si>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</si>
  <si>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</si>
  <si>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</si>
  <si>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</si>
  <si>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</si>
  <si>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</si>
  <si>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</si>
  <si>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</si>
  <si>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</si>
  <si>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</si>
  <si>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</si>
  <si>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</si>
  <si>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</si>
  <si>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</si>
  <si>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</si>
  <si>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</si>
  <si>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</si>
  <si>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</si>
  <si>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</si>
  <si>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</si>
  <si>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</si>
  <si>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</si>
  <si>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</si>
  <si>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</si>
  <si>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</si>
  <si>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</si>
  <si>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1.</t>
  </si>
  <si>
    <t>2.</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</si>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</sst>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8" t="str">
        <f>SUMPRODUCT((UPPER(D5:D9)&lt;&gt;"X")*((LEN(SUBSTITUTE(SUBSTITUTE(SUBSTITUTE(B5:B9," ",""),"0",""),"-",""))+LEN(SUBSTITUTE(SUBSTITUTE(SUBSTITUTE(C5:C9," ",""),"0",""),"-","")))&gt;(LEN(SUBSTITUTE(SUBSTITUTE(SUBSTITUTE(E5:E9," ",""),"0",""),"-",""))+LEN(SUBSTITUTE(SUBSTITUTE(SUBSTITUTE(F5:F9," ",""),"0",""),"-",""))))*1)</f>
      </c>
      <c r="C4" s="18" t="str">
        <f>SUMPRODUCT(LEN(SUBSTITUTE(SUBSTITUTE(SUBSTITUTE(B5:B9," ",""),"0",""),"-",""))+LEN(SUBSTITUTE(SUBSTITUTE(SUBSTITUTE(C5:C9," ",""),"0",""),"-","")))</f>
      </c>
      <c r="D4" s="18"/>
      <c r="E4" s="18" t="str">
        <f>SUMPRODUCT(LEN(SUBSTITUTE(SUBSTITUTE(SUBSTITUTE(E5:E9," ",""),"0",""),"-",""))+LEN(SUBSTITUTE(SUBSTITUTE(SUBSTITUTE(F5:F9," ",""),"0",""),"-","")))</f>
      </c>
      <c r="F4" s="18" t="str">
        <f>SUMPRODUCT((UPPER(D5:D9)&lt;&gt;"X")*((LEN(SUBSTITUTE(SUBSTITUTE(SUBSTITUTE(E5:E9," ",""),"0",""),"-",""))+LEN(SUBSTITUTE(SUBSTITUTE(SUBSTITUTE(F5:F9," ",""),"0",""),"-","")))&gt;(LEN(SUBSTITUTE(SUBSTITUTE(SUBSTITUTE(B5:B9," ",""),"0",""),"-",""))+LEN(SUBSTITUTE(SUBSTITUTE(SUBSTITUTE(C5:C9," ",""),"0",""),"-",""))))*1)</f>
      </c>
      <c r="G4" s="14" t="str">
        <f>data!$B$3</f>
      </c>
      <c r="I4" s="14" t="str">
        <f>data!$B$51</f>
      </c>
      <c r="J4" s="18" t="str">
        <f>SUMPRODUCT((UPPER(L5:L9)&lt;&gt;"X")*((LEN(SUBSTITUTE(SUBSTITUTE(SUBSTITUTE(J5:J9," ",""),"0",""),"-",""))+LEN(SUBSTITUTE(SUBSTITUTE(SUBSTITUTE(K5:K9," ",""),"0",""),"-","")))&gt;(LEN(SUBSTITUTE(SUBSTITUTE(SUBSTITUTE(M5:M9," ",""),"0",""),"-",""))+LEN(SUBSTITUTE(SUBSTITUTE(SUBSTITUTE(N5:N9," ",""),"0",""),"-",""))))*1)</f>
      </c>
      <c r="K4" s="18" t="str">
        <f>SUMPRODUCT(LEN(SUBSTITUTE(SUBSTITUTE(SUBSTITUTE(J5:J9," ",""),"0",""),"-",""))+LEN(SUBSTITUTE(SUBSTITUTE(SUBSTITUTE(K5:K9," ",""),"0",""),"-","")))</f>
      </c>
      <c r="L4" s="18"/>
      <c r="M4" s="18" t="str">
        <f>SUMPRODUCT(LEN(SUBSTITUTE(SUBSTITUTE(SUBSTITUTE(M5:M9," ",""),"0",""),"-",""))+LEN(SUBSTITUTE(SUBSTITUTE(SUBSTITUTE(N5:N9," ",""),"0",""),"-","")))</f>
      </c>
      <c r="N4" s="18" t="str">
        <f>SUMPRODUCT((UPPER(L5:L9)&lt;&gt;"X")*((LEN(SUBSTITUTE(SUBSTITUTE(SUBSTITUTE(M5:M9," ",""),"0",""),"-",""))+LEN(SUBSTITUTE(SUBSTITUTE(SUBSTITUTE(N5:N9," ",""),"0",""),"-","")))&gt;(LEN(SUBSTITUTE(SUBSTITUTE(SUBSTITUTE(J5:J9," ",""),"0",""),"-",""))+LEN(SUBSTITUTE(SUBSTITUTE(SUBSTITUTE(K5:K9," ",""),"0",""),"-",""))))*1)</f>
      </c>
      <c r="O4" s="14" t="str">
        <f>data!$B$50</f>
      </c>
    </row>
    <row r="5">
      <c r="A5" s="18">
        <v>1</v>
      </c>
      <c r="B5" s="18"/>
      <c r="C5" s="18"/>
      <c r="D5" s="18"/>
      <c r="E5" s="18"/>
      <c r="F5" s="18"/>
      <c r="G5" s="18">
        <v>1</v>
      </c>
      <c r="I5" s="18">
        <v>1</v>
      </c>
      <c r="J5" s="18"/>
      <c r="K5" s="18"/>
      <c r="L5" s="18"/>
      <c r="M5" s="18"/>
      <c r="N5" s="18"/>
      <c r="O5" s="18">
        <v>1</v>
      </c>
    </row>
    <row r="6">
      <c r="A6" s="18">
        <v>2</v>
      </c>
      <c r="B6" s="18"/>
      <c r="C6" s="18"/>
      <c r="D6" s="18"/>
      <c r="E6" s="18"/>
      <c r="F6" s="18"/>
      <c r="G6" s="18">
        <v>2</v>
      </c>
      <c r="I6" s="18">
        <v>2</v>
      </c>
      <c r="J6" s="18"/>
      <c r="K6" s="18"/>
      <c r="L6" s="18"/>
      <c r="M6" s="18"/>
      <c r="N6" s="18"/>
      <c r="O6" s="18">
        <v>2</v>
      </c>
    </row>
    <row r="7">
      <c r="A7" s="18">
        <v>3</v>
      </c>
      <c r="B7" s="18"/>
      <c r="C7" s="18"/>
      <c r="D7" s="18"/>
      <c r="E7" s="18"/>
      <c r="F7" s="18"/>
      <c r="G7" s="18">
        <v>3</v>
      </c>
      <c r="I7" s="18">
        <v>3</v>
      </c>
      <c r="J7" s="18"/>
      <c r="K7" s="18"/>
      <c r="L7" s="18"/>
      <c r="M7" s="18"/>
      <c r="N7" s="18"/>
      <c r="O7" s="18">
        <v>3</v>
      </c>
    </row>
    <row r="8">
      <c r="A8" s="18">
        <v>4</v>
      </c>
      <c r="B8" s="18"/>
      <c r="C8" s="18"/>
      <c r="D8" s="18"/>
      <c r="E8" s="18"/>
      <c r="F8" s="18"/>
      <c r="G8" s="18">
        <v>4</v>
      </c>
      <c r="I8" s="18">
        <v>4</v>
      </c>
      <c r="J8" s="18"/>
      <c r="K8" s="18"/>
      <c r="L8" s="18"/>
      <c r="M8" s="18"/>
      <c r="N8" s="18"/>
      <c r="O8" s="18">
        <v>4</v>
      </c>
    </row>
    <row r="9">
      <c r="A9" s="18">
        <v>5</v>
      </c>
      <c r="B9" s="18"/>
      <c r="C9" s="18"/>
      <c r="D9" s="18"/>
      <c r="E9" s="18"/>
      <c r="F9" s="18"/>
      <c r="G9" s="18">
        <v>5</v>
      </c>
      <c r="I9" s="18">
        <v>5</v>
      </c>
      <c r="J9" s="18"/>
      <c r="K9" s="18"/>
      <c r="L9" s="18"/>
      <c r="M9" s="18"/>
      <c r="N9" s="18"/>
      <c r="O9" s="18">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8" t="str">
        <f>SUMPRODUCT((UPPER(D13:D17)&lt;&gt;"X")*((LEN(SUBSTITUTE(SUBSTITUTE(SUBSTITUTE(B13:B17," ",""),"0",""),"-",""))+LEN(SUBSTITUTE(SUBSTITUTE(SUBSTITUTE(C13:C17," ",""),"0",""),"-","")))&gt;(LEN(SUBSTITUTE(SUBSTITUTE(SUBSTITUTE(E13:E17," ",""),"0",""),"-",""))+LEN(SUBSTITUTE(SUBSTITUTE(SUBSTITUTE(F13:F17," ",""),"0",""),"-",""))))*1)</f>
      </c>
      <c r="C12" s="18" t="str">
        <f>SUMPRODUCT(LEN(SUBSTITUTE(SUBSTITUTE(SUBSTITUTE(B13:B17," ",""),"0",""),"-",""))+LEN(SUBSTITUTE(SUBSTITUTE(SUBSTITUTE(C13:C17," ",""),"0",""),"-","")))</f>
      </c>
      <c r="D12" s="18"/>
      <c r="E12" s="18" t="str">
        <f>SUMPRODUCT(LEN(SUBSTITUTE(SUBSTITUTE(SUBSTITUTE(E13:E17," ",""),"0",""),"-",""))+LEN(SUBSTITUTE(SUBSTITUTE(SUBSTITUTE(F13:F17," ",""),"0",""),"-","")))</f>
      </c>
      <c r="F12" s="18" t="str">
        <f>SUMPRODUCT((UPPER(D13:D17)&lt;&gt;"X")*((LEN(SUBSTITUTE(SUBSTITUTE(SUBSTITUTE(E13:E17," ",""),"0",""),"-",""))+LEN(SUBSTITUTE(SUBSTITUTE(SUBSTITUTE(F13:F17," ",""),"0",""),"-","")))&gt;(LEN(SUBSTITUTE(SUBSTITUTE(SUBSTITUTE(B13:B17," ",""),"0",""),"-",""))+LEN(SUBSTITUTE(SUBSTITUTE(SUBSTITUTE(C13:C17," ",""),"0",""),"-",""))))*1)</f>
      </c>
      <c r="G12" s="14" t="str">
        <f>data!$B$3</f>
      </c>
      <c r="I12" s="14" t="str">
        <f>data!$B$52</f>
      </c>
      <c r="J12" s="18" t="str">
        <f>SUMPRODUCT((UPPER(L13:L17)&lt;&gt;"X")*((LEN(SUBSTITUTE(SUBSTITUTE(SUBSTITUTE(J13:J17," ",""),"0",""),"-",""))+LEN(SUBSTITUTE(SUBSTITUTE(SUBSTITUTE(K13:K17," ",""),"0",""),"-","")))&gt;(LEN(SUBSTITUTE(SUBSTITUTE(SUBSTITUTE(M13:M17," ",""),"0",""),"-",""))+LEN(SUBSTITUTE(SUBSTITUTE(SUBSTITUTE(N13:N17," ",""),"0",""),"-",""))))*1)</f>
      </c>
      <c r="K12" s="18" t="str">
        <f>SUMPRODUCT(LEN(SUBSTITUTE(SUBSTITUTE(SUBSTITUTE(J13:J17," ",""),"0",""),"-",""))+LEN(SUBSTITUTE(SUBSTITUTE(SUBSTITUTE(K13:K17," ",""),"0",""),"-","")))</f>
      </c>
      <c r="L12" s="18"/>
      <c r="M12" s="18" t="str">
        <f>SUMPRODUCT(LEN(SUBSTITUTE(SUBSTITUTE(SUBSTITUTE(M13:M17," ",""),"0",""),"-",""))+LEN(SUBSTITUTE(SUBSTITUTE(SUBSTITUTE(N13:N17," ",""),"0",""),"-","")))</f>
      </c>
      <c r="N12" s="18" t="str">
        <f>SUMPRODUCT((UPPER(L13:L17)&lt;&gt;"X")*((LEN(SUBSTITUTE(SUBSTITUTE(SUBSTITUTE(M13:M17," ",""),"0",""),"-",""))+LEN(SUBSTITUTE(SUBSTITUTE(SUBSTITUTE(N13:N17," ",""),"0",""),"-","")))&gt;(LEN(SUBSTITUTE(SUBSTITUTE(SUBSTITUTE(J13:J17," ",""),"0",""),"-",""))+LEN(SUBSTITUTE(SUBSTITUTE(SUBSTITUTE(K13:K17," ",""),"0",""),"-",""))))*1)</f>
      </c>
      <c r="O12" s="14" t="str">
        <f>data!$B$50</f>
      </c>
    </row>
    <row r="13">
      <c r="A13" s="18">
        <v>1</v>
      </c>
      <c r="B13" s="18"/>
      <c r="C13" s="18"/>
      <c r="D13" s="18"/>
      <c r="E13" s="18"/>
      <c r="F13" s="18"/>
      <c r="G13" s="18">
        <v>1</v>
      </c>
      <c r="I13" s="18">
        <v>1</v>
      </c>
      <c r="J13" s="18"/>
      <c r="K13" s="18"/>
      <c r="L13" s="18"/>
      <c r="M13" s="18"/>
      <c r="N13" s="18"/>
      <c r="O13" s="18">
        <v>1</v>
      </c>
    </row>
    <row r="14">
      <c r="A14" s="18">
        <v>2</v>
      </c>
      <c r="B14" s="18"/>
      <c r="C14" s="18"/>
      <c r="D14" s="18"/>
      <c r="E14" s="18"/>
      <c r="F14" s="18"/>
      <c r="G14" s="18">
        <v>2</v>
      </c>
      <c r="I14" s="18">
        <v>2</v>
      </c>
      <c r="J14" s="18"/>
      <c r="K14" s="18"/>
      <c r="L14" s="18"/>
      <c r="M14" s="18"/>
      <c r="N14" s="18"/>
      <c r="O14" s="18">
        <v>2</v>
      </c>
    </row>
    <row r="15">
      <c r="A15" s="18">
        <v>3</v>
      </c>
      <c r="B15" s="18"/>
      <c r="C15" s="18"/>
      <c r="D15" s="18"/>
      <c r="E15" s="18"/>
      <c r="F15" s="18"/>
      <c r="G15" s="18">
        <v>3</v>
      </c>
      <c r="I15" s="18">
        <v>3</v>
      </c>
      <c r="J15" s="18"/>
      <c r="K15" s="18"/>
      <c r="L15" s="18"/>
      <c r="M15" s="18"/>
      <c r="N15" s="18"/>
      <c r="O15" s="18">
        <v>3</v>
      </c>
    </row>
    <row r="16">
      <c r="A16" s="18">
        <v>4</v>
      </c>
      <c r="B16" s="18"/>
      <c r="C16" s="18"/>
      <c r="D16" s="18"/>
      <c r="E16" s="18"/>
      <c r="F16" s="18"/>
      <c r="G16" s="18">
        <v>4</v>
      </c>
      <c r="I16" s="18">
        <v>4</v>
      </c>
      <c r="J16" s="18"/>
      <c r="K16" s="18"/>
      <c r="L16" s="18"/>
      <c r="M16" s="18"/>
      <c r="N16" s="18"/>
      <c r="O16" s="18">
        <v>4</v>
      </c>
    </row>
    <row r="17">
      <c r="A17" s="18">
        <v>5</v>
      </c>
      <c r="B17" s="18"/>
      <c r="C17" s="18"/>
      <c r="D17" s="18"/>
      <c r="E17" s="18"/>
      <c r="F17" s="18"/>
      <c r="G17" s="18">
        <v>5</v>
      </c>
      <c r="I17" s="18">
        <v>5</v>
      </c>
      <c r="J17" s="18"/>
      <c r="K17" s="18"/>
      <c r="L17" s="18"/>
      <c r="M17" s="18"/>
      <c r="N17" s="18"/>
      <c r="O17" s="18">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8" t="str">
        <f>SUMPRODUCT((UPPER(D21:D25)&lt;&gt;"X")*((LEN(SUBSTITUTE(SUBSTITUTE(SUBSTITUTE(B21:B25," ",""),"0",""),"-",""))+LEN(SUBSTITUTE(SUBSTITUTE(SUBSTITUTE(C21:C25," ",""),"0",""),"-","")))&gt;(LEN(SUBSTITUTE(SUBSTITUTE(SUBSTITUTE(E21:E25," ",""),"0",""),"-",""))+LEN(SUBSTITUTE(SUBSTITUTE(SUBSTITUTE(F21:F25," ",""),"0",""),"-",""))))*1)</f>
      </c>
      <c r="C20" s="18" t="str">
        <f>SUMPRODUCT(LEN(SUBSTITUTE(SUBSTITUTE(SUBSTITUTE(B21:B25," ",""),"0",""),"-",""))+LEN(SUBSTITUTE(SUBSTITUTE(SUBSTITUTE(C21:C25," ",""),"0",""),"-","")))</f>
      </c>
      <c r="D20" s="18"/>
      <c r="E20" s="18" t="str">
        <f>SUMPRODUCT(LEN(SUBSTITUTE(SUBSTITUTE(SUBSTITUTE(E21:E25," ",""),"0",""),"-",""))+LEN(SUBSTITUTE(SUBSTITUTE(SUBSTITUTE(F21:F25," ",""),"0",""),"-","")))</f>
      </c>
      <c r="F20" s="18" t="str">
        <f>SUMPRODUCT((UPPER(D21:D25)&lt;&gt;"X")*((LEN(SUBSTITUTE(SUBSTITUTE(SUBSTITUTE(E21:E25," ",""),"0",""),"-",""))+LEN(SUBSTITUTE(SUBSTITUTE(SUBSTITUTE(F21:F25," ",""),"0",""),"-","")))&gt;(LEN(SUBSTITUTE(SUBSTITUTE(SUBSTITUTE(B21:B25," ",""),"0",""),"-",""))+LEN(SUBSTITUTE(SUBSTITUTE(SUBSTITUTE(C21:C25," ",""),"0",""),"-",""))))*1)</f>
      </c>
      <c r="G20" s="14" t="str">
        <f>data!$B$4</f>
      </c>
      <c r="I20" s="14" t="str">
        <f>data!$B$52</f>
      </c>
      <c r="J20" s="18" t="str">
        <f>SUMPRODUCT((UPPER(L21:L25)&lt;&gt;"X")*((LEN(SUBSTITUTE(SUBSTITUTE(SUBSTITUTE(J21:J25," ",""),"0",""),"-",""))+LEN(SUBSTITUTE(SUBSTITUTE(SUBSTITUTE(K21:K25," ",""),"0",""),"-","")))&gt;(LEN(SUBSTITUTE(SUBSTITUTE(SUBSTITUTE(M21:M25," ",""),"0",""),"-",""))+LEN(SUBSTITUTE(SUBSTITUTE(SUBSTITUTE(N21:N25," ",""),"0",""),"-",""))))*1)</f>
      </c>
      <c r="K20" s="18" t="str">
        <f>SUMPRODUCT(LEN(SUBSTITUTE(SUBSTITUTE(SUBSTITUTE(J21:J25," ",""),"0",""),"-",""))+LEN(SUBSTITUTE(SUBSTITUTE(SUBSTITUTE(K21:K25," ",""),"0",""),"-","")))</f>
      </c>
      <c r="L20" s="18"/>
      <c r="M20" s="18" t="str">
        <f>SUMPRODUCT(LEN(SUBSTITUTE(SUBSTITUTE(SUBSTITUTE(M21:M25," ",""),"0",""),"-",""))+LEN(SUBSTITUTE(SUBSTITUTE(SUBSTITUTE(N21:N25," ",""),"0",""),"-","")))</f>
      </c>
      <c r="N20" s="18" t="str">
        <f>SUMPRODUCT((UPPER(L21:L25)&lt;&gt;"X")*((LEN(SUBSTITUTE(SUBSTITUTE(SUBSTITUTE(M21:M25," ",""),"0",""),"-",""))+LEN(SUBSTITUTE(SUBSTITUTE(SUBSTITUTE(N21:N25," ",""),"0",""),"-","")))&gt;(LEN(SUBSTITUTE(SUBSTITUTE(SUBSTITUTE(J21:J25," ",""),"0",""),"-",""))+LEN(SUBSTITUTE(SUBSTITUTE(SUBSTITUTE(K21:K25," ",""),"0",""),"-",""))))*1)</f>
      </c>
      <c r="O20" s="14" t="str">
        <f>data!$B$51</f>
      </c>
    </row>
    <row r="21">
      <c r="A21" s="18">
        <v>1</v>
      </c>
      <c r="B21" s="18"/>
      <c r="C21" s="18"/>
      <c r="D21" s="18"/>
      <c r="E21" s="18"/>
      <c r="F21" s="18"/>
      <c r="G21" s="18">
        <v>1</v>
      </c>
      <c r="I21" s="18">
        <v>1</v>
      </c>
      <c r="J21" s="18"/>
      <c r="K21" s="18"/>
      <c r="L21" s="18"/>
      <c r="M21" s="18"/>
      <c r="N21" s="18"/>
      <c r="O21" s="18">
        <v>1</v>
      </c>
    </row>
    <row r="22">
      <c r="A22" s="18">
        <v>2</v>
      </c>
      <c r="B22" s="18"/>
      <c r="C22" s="18"/>
      <c r="D22" s="18"/>
      <c r="E22" s="18"/>
      <c r="F22" s="18"/>
      <c r="G22" s="18">
        <v>2</v>
      </c>
      <c r="I22" s="18">
        <v>2</v>
      </c>
      <c r="J22" s="18"/>
      <c r="K22" s="18"/>
      <c r="L22" s="18"/>
      <c r="M22" s="18"/>
      <c r="N22" s="18"/>
      <c r="O22" s="18">
        <v>2</v>
      </c>
    </row>
    <row r="23">
      <c r="A23" s="18">
        <v>3</v>
      </c>
      <c r="B23" s="18"/>
      <c r="C23" s="18"/>
      <c r="D23" s="18"/>
      <c r="E23" s="18"/>
      <c r="F23" s="18"/>
      <c r="G23" s="18">
        <v>3</v>
      </c>
      <c r="I23" s="18">
        <v>3</v>
      </c>
      <c r="J23" s="18"/>
      <c r="K23" s="18"/>
      <c r="L23" s="18"/>
      <c r="M23" s="18"/>
      <c r="N23" s="18"/>
      <c r="O23" s="18">
        <v>3</v>
      </c>
    </row>
    <row r="24">
      <c r="A24" s="18">
        <v>4</v>
      </c>
      <c r="B24" s="18"/>
      <c r="C24" s="18"/>
      <c r="D24" s="18"/>
      <c r="E24" s="18"/>
      <c r="F24" s="18"/>
      <c r="G24" s="18">
        <v>4</v>
      </c>
      <c r="I24" s="18">
        <v>4</v>
      </c>
      <c r="J24" s="18"/>
      <c r="K24" s="18"/>
      <c r="L24" s="18"/>
      <c r="M24" s="18"/>
      <c r="N24" s="18"/>
      <c r="O24" s="18">
        <v>4</v>
      </c>
    </row>
    <row r="25">
      <c r="A25" s="18">
        <v>5</v>
      </c>
      <c r="B25" s="18"/>
      <c r="C25" s="18"/>
      <c r="D25" s="18"/>
      <c r="E25" s="18"/>
      <c r="F25" s="18"/>
      <c r="G25" s="18">
        <v>5</v>
      </c>
      <c r="I25" s="18">
        <v>5</v>
      </c>
      <c r="J25" s="18"/>
      <c r="K25" s="18"/>
      <c r="L25" s="18"/>
      <c r="M25" s="18"/>
      <c r="N25" s="18"/>
      <c r="O25" s="18">
        <v>5</v>
      </c>
    </row>
    <row r="28">
      <c r="A28" s="13"/>
      <c r="B28" s="13" t="s">
        <v>242</v>
      </c>
      <c r="C28" s="13" t="s">
        <v>243</v>
      </c>
      <c r="D28" s="13" t="s">
        <v>244</v>
      </c>
      <c r="I28" s="13"/>
      <c r="J28" s="13" t="s">
        <v>242</v>
      </c>
      <c r="K28" s="13" t="s">
        <v>243</v>
      </c>
      <c r="L28" s="13" t="s">
        <v>244</v>
      </c>
    </row>
    <row r="29">
      <c r="A29" t="str">
        <f>data!$B$3</f>
      </c>
      <c r="B29" s="14" t="str">
        <f>IF(OR(COUNTA(B5:C9,E5:F9)&gt;0,OR(D4="X",D4="x")),IF(OR(D4="X",D4="x"),0,IF(OR(F4&gt;B4,AND(F4=B4,E4&gt;C4)),1,0)),0)+IF(OR(COUNTA(B13:C17,E13:F17)&gt;0,OR(D12="X",D12="x")),IF(OR(D12="X",D12="x"),0,IF(OR(F12&gt;B12,AND(F12=B12,E12&gt;C12)),1,0)),0)</f>
      </c>
      <c r="C29" s="14" t="str">
        <f>IF(OR(COUNTA(B5:C9,E5:F9)&gt;0,OR(D4="X",D4="x")),IF(OR(D4="X",D4="x"),0,IF(OR(F4&lt;B4,AND(F4=B4,E4&lt;C4)),1,0)),0)+IF(OR(COUNTA(B13:C17,E13:F17)&gt;0,OR(D12="X",D12="x")),IF(OR(D12="X",D12="x"),0,IF(OR(F12&lt;B12,AND(F12=B12,E12&lt;C12)),1,0)),0)</f>
      </c>
      <c r="D29" s="14" t="str">
        <f>IF(OR(COUNTA(B5:C9,E5:F9)&gt;0,OR(D4="X",D4="x")),IF(OR(D4="X",D4="x"),1,0),0)+IF(OR(COUNTA(B13:C17,E13:F17)&gt;0,OR(D12="X",D12="x")),IF(OR(D12="X",D12="x"),1,0),0)</f>
      </c>
      <c r="I29" t="str">
        <f>data!$B$50</f>
      </c>
      <c r="J29" s="14" t="str">
        <f>IF(OR(COUNTA(J5:K9,M5:N9)&gt;0,OR(L4="X",L4="x")),IF(OR(L4="X",L4="x"),0,IF(OR(N4&gt;J4,AND(N4=J4,M4&gt;K4)),1,0)),0)+IF(OR(COUNTA(J13:K17,M13:N17)&gt;0,OR(L12="X",L12="x")),IF(OR(L12="X",L12="x"),0,IF(OR(N12&gt;J12,AND(N12=J12,M12&gt;K12)),1,0)),0)</f>
      </c>
      <c r="K29" s="14" t="str">
        <f>IF(OR(COUNTA(J5:K9,M5:N9)&gt;0,OR(L4="X",L4="x")),IF(OR(L4="X",L4="x"),0,IF(OR(N4&lt;J4,AND(N4=J4,M4&lt;K4)),1,0)),0)+IF(OR(COUNTA(J13:K17,M13:N17)&gt;0,OR(L12="X",L12="x")),IF(OR(L12="X",L12="x"),0,IF(OR(N12&lt;J12,AND(N12=J12,M12&lt;K12)),1,0)),0)</f>
      </c>
      <c r="L29" s="14" t="str">
        <f>IF(OR(COUNTA(J5:K9,M5:N9)&gt;0,OR(L4="X",L4="x")),IF(OR(L4="X",L4="x"),1,0),0)+IF(OR(COUNTA(J13:K17,M13:N17)&gt;0,OR(L12="X",L12="x")),IF(OR(L12="X",L12="x"),1,0),0)</f>
      </c>
    </row>
    <row r="30">
      <c r="A30" t="str">
        <f>data!$B$4</f>
      </c>
      <c r="B30" s="14" t="str">
        <f>IF(OR(COUNTA(B5:C9,E5:F9)&gt;0,OR(D4="X",D4="x")),IF(OR(D4="X",D4="x"),0,IF(OR(B4&gt;F4,AND(B4=F4,C4&gt;E4)),1,0)),0)+IF(OR(COUNTA(B21:C25,E21:F25)&gt;0,OR(D20="X",D20="x")),IF(OR(D20="X",D20="x"),0,IF(OR(F20&gt;B20,AND(F20=B20,E20&gt;C20)),1,0)),0)</f>
      </c>
      <c r="C30" s="14" t="str">
        <f>IF(OR(COUNTA(B5:C9,E5:F9)&gt;0,OR(D4="X",D4="x")),IF(OR(D4="X",D4="x"),0,IF(OR(B4&lt;F4,AND(B4=F4,C4&lt;E4)),1,0)),0)+IF(OR(COUNTA(B21:C25,E21:F25)&gt;0,OR(D20="X",D20="x")),IF(OR(D20="X",D20="x"),0,IF(OR(F20&lt;B20,AND(F20=B20,E20&lt;C20)),1,0)),0)</f>
      </c>
      <c r="D30" s="14" t="str">
        <f>IF(OR(COUNTA(B5:C9,E5:F9)&gt;0,OR(D4="X",D4="x")),IF(OR(D4="X",D4="x"),1,0),0)+IF(OR(COUNTA(B21:C25,E21:F25)&gt;0,OR(D20="X",D20="x")),IF(OR(D20="X",D20="x"),1,0),0)</f>
      </c>
      <c r="I30" t="str">
        <f>data!$B$51</f>
      </c>
      <c r="J30" s="14" t="str">
        <f>IF(OR(COUNTA(J5:K9,M5:N9)&gt;0,OR(L4="X",L4="x")),IF(OR(L4="X",L4="x"),0,IF(OR(J4&gt;N4,AND(J4=N4,K4&gt;M4)),1,0)),0)+IF(OR(COUNTA(J21:K25,M21:N25)&gt;0,OR(L20="X",L20="x")),IF(OR(L20="X",L20="x"),0,IF(OR(N20&gt;J20,AND(N20=J20,M20&gt;K20)),1,0)),0)</f>
      </c>
      <c r="K30" s="14" t="str">
        <f>IF(OR(COUNTA(J5:K9,M5:N9)&gt;0,OR(L4="X",L4="x")),IF(OR(L4="X",L4="x"),0,IF(OR(J4&lt;N4,AND(J4=N4,K4&lt;M4)),1,0)),0)+IF(OR(COUNTA(J21:K25,M21:N25)&gt;0,OR(L20="X",L20="x")),IF(OR(L20="X",L20="x"),0,IF(OR(N20&lt;J20,AND(N20=J20,M20&lt;K20)),1,0)),0)</f>
      </c>
      <c r="L30" s="14" t="str">
        <f>IF(OR(COUNTA(J5:K9,M5:N9)&gt;0,OR(L4="X",L4="x")),IF(OR(L4="X",L4="x"),1,0),0)+IF(OR(COUNTA(J21:K25,M21:N25)&gt;0,OR(L20="X",L20="x")),IF(OR(L20="X",L20="x"),1,0),0)</f>
      </c>
    </row>
    <row r="31">
      <c r="A31" t="str">
        <f>data!$B$5</f>
      </c>
      <c r="B31" s="14" t="str">
        <f>IF(OR(COUNTA(B13:C17,E13:F17)&gt;0,OR(D12="X",D12="x")),IF(OR(D12="X",D12="x"),0,IF(OR(B12&gt;F12,AND(B12=F12,C12&gt;E12)),1,0)),0)+IF(OR(COUNTA(B21:C25,E21:F25)&gt;0,OR(D20="X",D20="x")),IF(OR(D20="X",D20="x"),0,IF(OR(B20&gt;F20,AND(B20=F20,C20&gt;E20)),1,0)),0)</f>
      </c>
      <c r="C31" s="14" t="str">
        <f>IF(OR(COUNTA(B13:C17,E13:F17)&gt;0,OR(D12="X",D12="x")),IF(OR(D12="X",D12="x"),0,IF(OR(B12&lt;F12,AND(B12=F12,C12&lt;E12)),1,0)),0)+IF(OR(COUNTA(B21:C25,E21:F25)&gt;0,OR(D20="X",D20="x")),IF(OR(D20="X",D20="x"),0,IF(OR(B20&lt;F20,AND(B20=F20,C20&lt;E20)),1,0)),0)</f>
      </c>
      <c r="D31" s="14" t="str">
        <f>IF(OR(COUNTA(B13:C17,E13:F17)&gt;0,OR(D12="X",D12="x")),IF(OR(D12="X",D12="x"),1,0),0)+IF(OR(COUNTA(B21:C25,E21:F25)&gt;0,OR(D20="X",D20="x")),IF(OR(D20="X",D20="x"),1,0),0)</f>
      </c>
      <c r="I31" t="str">
        <f>data!$B$52</f>
      </c>
      <c r="J31" s="14" t="str">
        <f>IF(OR(COUNTA(J13:K17,M13:N17)&gt;0,OR(L12="X",L12="x")),IF(OR(L12="X",L12="x"),0,IF(OR(J12&gt;N12,AND(J12=N12,K12&gt;M12)),1,0)),0)+IF(OR(COUNTA(J21:K25,M21:N25)&gt;0,OR(L20="X",L20="x")),IF(OR(L20="X",L20="x"),0,IF(OR(J20&gt;N20,AND(J20=N20,K20&gt;M20)),1,0)),0)</f>
      </c>
      <c r="K31" s="14" t="str">
        <f>IF(OR(COUNTA(J13:K17,M13:N17)&gt;0,OR(L12="X",L12="x")),IF(OR(L12="X",L12="x"),0,IF(OR(J12&lt;N12,AND(J12=N12,K12&lt;M12)),1,0)),0)+IF(OR(COUNTA(J21:K25,M21:N25)&gt;0,OR(L20="X",L20="x")),IF(OR(L20="X",L20="x"),0,IF(OR(J20&lt;N20,AND(J20=N20,K20&lt;M20)),1,0)),0)</f>
      </c>
      <c r="L31" s="14" t="str">
        <f>IF(OR(COUNTA(J13:K17,M13:N17)&gt;0,OR(L12="X",L12="x")),IF(OR(L12="X",L12="x"),1,0),0)+IF(OR(COUNTA(J21:K25,M21:N25)&gt;0,OR(L20="X",L20="x")),IF(OR(L20="X",L20="x"),1,0),0)</f>
      </c>
    </row>
    <row r="33">
      <c r="A33" s="13"/>
      <c r="B33" s="13" t="s">
        <v>245</v>
      </c>
      <c r="C33" s="13" t="s">
        <v>246</v>
      </c>
      <c r="D33" s="13" t="s">
        <v>247</v>
      </c>
      <c r="E33" s="13" t="s">
        <v>248</v>
      </c>
      <c r="F33" s="13" t="s">
        <v>249</v>
      </c>
      <c r="I33" s="13"/>
      <c r="J33" s="13" t="s">
        <v>245</v>
      </c>
      <c r="K33" s="13" t="s">
        <v>246</v>
      </c>
      <c r="L33" s="13" t="s">
        <v>247</v>
      </c>
      <c r="M33" s="13" t="s">
        <v>248</v>
      </c>
      <c r="N33" s="13" t="s">
        <v>249</v>
      </c>
    </row>
    <row r="34">
      <c r="A34" t="str">
        <f>data!$B$3</f>
      </c>
      <c r="B34" s="14" t="str">
        <f>IF(OR(COUNTA(B5:C9,E5:F9)&gt;0,OR(D4="X",D4="x")),F4,0)+IF(OR(COUNTA(B13:C17,E13:F17)&gt;0,OR(D12="X",D12="x")),F12,0)</f>
      </c>
      <c r="C34" s="14" t="str">
        <f>IF(OR(COUNTA(B5:C9,E5:F9)&gt;0,OR(D4="X",D4="x")),B4,0)+IF(OR(COUNTA(B13:C17,E13:F17)&gt;0,OR(D12="X",D12="x")),B12,0)</f>
      </c>
      <c r="D34" s="14" t="str">
        <f>IF(OR(COUNTA(B5:C9,E5:F9)&gt;0,OR(D4="X",D4="x")),(IF(OR(D5="X",D5="x"),1,0)+IF(OR(D6="X",D6="x"),1,0)+IF(OR(D7="X",D7="x"),1,0)+IF(OR(D8="X",D8="x"),1,0)+IF(OR(D9="X",D9="x"),1,0)),0)+IF(OR(COUNTA(B13:C17,E13:F17)&gt;0,OR(D12="X",D12="x")),(IF(OR(D13="X",D13="x"),1,0)+IF(OR(D14="X",D14="x"),1,0)+IF(OR(D15="X",D15="x"),1,0)+IF(OR(D16="X",D16="x"),1,0)+IF(OR(D17="X",D17="x"),1,0)),0)</f>
      </c>
      <c r="E34" s="14" t="str">
        <f>E4+E12</f>
      </c>
      <c r="F34" s="14" t="str">
        <f>C4+C12</f>
      </c>
      <c r="I34" t="str">
        <f>data!$B$50</f>
      </c>
      <c r="J34" s="14" t="str">
        <f>IF(OR(COUNTA(J5:K9,M5:N9)&gt;0,OR(L4="X",L4="x")),N4,0)+IF(OR(COUNTA(J13:K17,M13:N17)&gt;0,OR(L12="X",L12="x")),N12,0)</f>
      </c>
      <c r="K34" s="14" t="str">
        <f>IF(OR(COUNTA(J5:K9,M5:N9)&gt;0,OR(L4="X",L4="x")),J4,0)+IF(OR(COUNTA(J13:K17,M13:N17)&gt;0,OR(L12="X",L12="x")),J12,0)</f>
      </c>
      <c r="L34" s="14" t="str">
        <f>IF(OR(COUNTA(J5:K9,M5:N9)&gt;0,OR(L4="X",L4="x")),(IF(OR(L5="X",L5="x"),1,0)+IF(OR(L6="X",L6="x"),1,0)+IF(OR(L7="X",L7="x"),1,0)+IF(OR(L8="X",L8="x"),1,0)+IF(OR(L9="X",L9="x"),1,0)),0)+IF(OR(COUNTA(J13:K17,M13:N17)&gt;0,OR(L12="X",L12="x")),(IF(OR(L13="X",L13="x"),1,0)+IF(OR(L14="X",L14="x"),1,0)+IF(OR(L15="X",L15="x"),1,0)+IF(OR(L16="X",L16="x"),1,0)+IF(OR(L17="X",L17="x"),1,0)),0)</f>
      </c>
      <c r="M34" s="14" t="str">
        <f>M4+M12</f>
      </c>
      <c r="N34" s="14" t="str">
        <f>K4+K12</f>
      </c>
    </row>
    <row r="35">
      <c r="A35" t="str">
        <f>data!$B$4</f>
      </c>
      <c r="B35" s="14" t="str">
        <f>IF(OR(COUNTA(B5:C9,E5:F9)&gt;0,OR(D4="X",D4="x")),B4,0)+IF(OR(COUNTA(B21:C25,E21:F25)&gt;0,OR(D20="X",D20="x")),F20,0)</f>
      </c>
      <c r="C35" s="14" t="str">
        <f>IF(OR(COUNTA(B5:C9,E5:F9)&gt;0,OR(D4="X",D4="x")),F4,0)+IF(OR(COUNTA(B21:C25,E21:F25)&gt;0,OR(D20="X",D20="x")),B20,0)</f>
      </c>
      <c r="D35" s="14" t="str">
        <f>IF(OR(COUNTA(B5:C9,E5:F9)&gt;0,OR(D4="X",D4="x")),(IF(OR(D5="X",D5="x"),1,0)+IF(OR(D6="X",D6="x"),1,0)+IF(OR(D7="X",D7="x"),1,0)+IF(OR(D8="X",D8="x"),1,0)+IF(OR(D9="X",D9="x"),1,0)),0)+IF(OR(COUNTA(B21:C25,E21:F25)&gt;0,OR(D20="X",D20="x")),(IF(OR(D21="X",D21="x"),1,0)+IF(OR(D22="X",D22="x"),1,0)+IF(OR(D23="X",D23="x"),1,0)+IF(OR(D24="X",D24="x"),1,0)+IF(OR(D25="X",D25="x"),1,0)),0)</f>
      </c>
      <c r="E35" s="14" t="str">
        <f>C4+E20</f>
      </c>
      <c r="F35" s="14" t="str">
        <f>E4+C20</f>
      </c>
      <c r="I35" t="str">
        <f>data!$B$51</f>
      </c>
      <c r="J35" s="14" t="str">
        <f>IF(OR(COUNTA(J5:K9,M5:N9)&gt;0,OR(L4="X",L4="x")),J4,0)+IF(OR(COUNTA(J21:K25,M21:N25)&gt;0,OR(L20="X",L20="x")),N20,0)</f>
      </c>
      <c r="K35" s="14" t="str">
        <f>IF(OR(COUNTA(J5:K9,M5:N9)&gt;0,OR(L4="X",L4="x")),N4,0)+IF(OR(COUNTA(J21:K25,M21:N25)&gt;0,OR(L20="X",L20="x")),J20,0)</f>
      </c>
      <c r="L35" s="14" t="str">
        <f>IF(OR(COUNTA(J5:K9,M5:N9)&gt;0,OR(L4="X",L4="x")),(IF(OR(L5="X",L5="x"),1,0)+IF(OR(L6="X",L6="x"),1,0)+IF(OR(L7="X",L7="x"),1,0)+IF(OR(L8="X",L8="x"),1,0)+IF(OR(L9="X",L9="x"),1,0)),0)+IF(OR(COUNTA(J21:K25,M21:N25)&gt;0,OR(L20="X",L20="x")),(IF(OR(L21="X",L21="x"),1,0)+IF(OR(L22="X",L22="x"),1,0)+IF(OR(L23="X",L23="x"),1,0)+IF(OR(L24="X",L24="x"),1,0)+IF(OR(L25="X",L25="x"),1,0)),0)</f>
      </c>
      <c r="M35" s="14" t="str">
        <f>K4+M20</f>
      </c>
      <c r="N35" s="14" t="str">
        <f>M4+K20</f>
      </c>
    </row>
    <row r="36">
      <c r="A36" t="str">
        <f>data!$B$5</f>
      </c>
      <c r="B36" s="14" t="str">
        <f>IF(OR(COUNTA(B13:C17,E13:F17)&gt;0,OR(D12="X",D12="x")),B12,0)+IF(OR(COUNTA(B21:C25,E21:F25)&gt;0,OR(D20="X",D20="x")),B20,0)</f>
      </c>
      <c r="C36" s="14" t="str">
        <f>IF(OR(COUNTA(B13:C17,E13:F17)&gt;0,OR(D12="X",D12="x")),F12,0)+IF(OR(COUNTA(B21:C25,E21:F25)&gt;0,OR(D20="X",D20="x")),F20,0)</f>
      </c>
      <c r="D36" s="14" t="str">
        <f>IF(OR(COUNTA(B13:C17,E13:F17)&gt;0,OR(D12="X",D12="x")),(IF(OR(D13="X",D13="x"),1,0)+IF(OR(D14="X",D14="x"),1,0)+IF(OR(D15="X",D15="x"),1,0)+IF(OR(D16="X",D16="x"),1,0)+IF(OR(D17="X",D17="x"),1,0)),0)+IF(OR(COUNTA(B21:C25,E21:F25)&gt;0,OR(D20="X",D20="x")),(IF(OR(D21="X",D21="x"),1,0)+IF(OR(D22="X",D22="x"),1,0)+IF(OR(D23="X",D23="x"),1,0)+IF(OR(D24="X",D24="x"),1,0)+IF(OR(D25="X",D25="x"),1,0)),0)</f>
      </c>
      <c r="E36" s="14" t="str">
        <f>C12+C20</f>
      </c>
      <c r="F36" s="14" t="str">
        <f>E12+E20</f>
      </c>
      <c r="I36" t="str">
        <f>data!$B$52</f>
      </c>
      <c r="J36" s="14" t="str">
        <f>IF(OR(COUNTA(J13:K17,M13:N17)&gt;0,OR(L12="X",L12="x")),J12,0)+IF(OR(COUNTA(J21:K25,M21:N25)&gt;0,OR(L20="X",L20="x")),J20,0)</f>
      </c>
      <c r="K36" s="14" t="str">
        <f>IF(OR(COUNTA(J13:K17,M13:N17)&gt;0,OR(L12="X",L12="x")),N12,0)+IF(OR(COUNTA(J21:K25,M21:N25)&gt;0,OR(L20="X",L20="x")),N20,0)</f>
      </c>
      <c r="L36" s="14" t="str">
        <f>IF(OR(COUNTA(J13:K17,M13:N17)&gt;0,OR(L12="X",L12="x")),(IF(OR(L13="X",L13="x"),1,0)+IF(OR(L14="X",L14="x"),1,0)+IF(OR(L15="X",L15="x"),1,0)+IF(OR(L16="X",L16="x"),1,0)+IF(OR(L17="X",L17="x"),1,0)),0)+IF(OR(COUNTA(J21:K25,M21:N25)&gt;0,OR(L20="X",L20="x")),(IF(OR(L21="X",L21="x"),1,0)+IF(OR(L22="X",L22="x"),1,0)+IF(OR(L23="X",L23="x"),1,0)+IF(OR(L24="X",L24="x"),1,0)+IF(OR(L25="X",L25="x"),1,0)),0)</f>
      </c>
      <c r="M36" s="14" t="str">
        <f>K12+K20</f>
      </c>
      <c r="N36" s="14" t="str">
        <f>M12+M20</f>
      </c>
    </row>
    <row r="39">
      <c r="F39" s="13"/>
      <c r="G39" s="13" t="s">
        <v>250</v>
      </c>
      <c r="N39" s="13"/>
      <c r="O39" s="13" t="s">
        <v>250</v>
      </c>
    </row>
    <row r="40">
      <c r="F40" t="s">
        <v>251</v>
      </c>
      <c r="G40" s="19"/>
      <c r="N40" t="s">
        <v>251</v>
      </c>
      <c r="O40" s="19"/>
    </row>
    <row r="41">
      <c r="F41" t="s">
        <v>252</v>
      </c>
      <c r="G41" s="19"/>
      <c r="N41" t="s">
        <v>252</v>
      </c>
      <c r="O41" s="19"/>
    </row>
    <row r="42">
      <c r="F42" t="s">
        <v>253</v>
      </c>
      <c r="G42" s="19"/>
      <c r="N42" t="s">
        <v>253</v>
      </c>
      <c r="O42" s="19"/>
    </row>
    <row r="44">
      <c r="A44" s="13" t="str">
        <f>data!$A$8</f>
      </c>
      <c r="B44" s="13"/>
      <c r="C44" s="13"/>
      <c r="D44" s="13"/>
      <c r="E44" s="13"/>
      <c r="F44" s="13"/>
      <c r="G44" s="13"/>
      <c r="I44" s="13" t="str">
        <f>data!$A$55</f>
      </c>
      <c r="J44" s="13"/>
      <c r="K44" s="13"/>
      <c r="L44" s="13"/>
      <c r="M44" s="13"/>
      <c r="N44" s="13"/>
      <c r="O44" s="13"/>
    </row>
    <row r="45">
      <c r="A45" s="17" t="s">
        <v>239</v>
      </c>
      <c r="B45" s="14"/>
      <c r="C45" s="14"/>
      <c r="D45" s="14" t="s">
        <v>240</v>
      </c>
      <c r="E45" s="14"/>
      <c r="F45" s="14"/>
      <c r="G45" s="16" t="s">
        <v>241</v>
      </c>
      <c r="I45" s="17" t="s">
        <v>239</v>
      </c>
      <c r="J45" s="14"/>
      <c r="K45" s="14"/>
      <c r="L45" s="14" t="s">
        <v>240</v>
      </c>
      <c r="M45" s="14"/>
      <c r="N45" s="14"/>
      <c r="O45" s="16" t="s">
        <v>241</v>
      </c>
    </row>
    <row r="46">
      <c r="A46" s="14" t="str">
        <f>data!$B$7</f>
      </c>
      <c r="B46" s="18" t="str">
        <f>SUMPRODUCT((UPPER(D47:D51)&lt;&gt;"X")*((LEN(SUBSTITUTE(SUBSTITUTE(SUBSTITUTE(B47:B51," ",""),"0",""),"-",""))+LEN(SUBSTITUTE(SUBSTITUTE(SUBSTITUTE(C47:C51," ",""),"0",""),"-","")))&gt;(LEN(SUBSTITUTE(SUBSTITUTE(SUBSTITUTE(E47:E51," ",""),"0",""),"-",""))+LEN(SUBSTITUTE(SUBSTITUTE(SUBSTITUTE(F47:F51," ",""),"0",""),"-",""))))*1)</f>
      </c>
      <c r="C46" s="18" t="str">
        <f>SUMPRODUCT(LEN(SUBSTITUTE(SUBSTITUTE(SUBSTITUTE(B47:B51," ",""),"0",""),"-",""))+LEN(SUBSTITUTE(SUBSTITUTE(SUBSTITUTE(C47:C51," ",""),"0",""),"-","")))</f>
      </c>
      <c r="D46" s="18"/>
      <c r="E46" s="18" t="str">
        <f>SUMPRODUCT(LEN(SUBSTITUTE(SUBSTITUTE(SUBSTITUTE(E47:E51," ",""),"0",""),"-",""))+LEN(SUBSTITUTE(SUBSTITUTE(SUBSTITUTE(F47:F51," ",""),"0",""),"-","")))</f>
      </c>
      <c r="F46" s="18" t="str">
        <f>SUMPRODUCT((UPPER(D47:D51)&lt;&gt;"X")*((LEN(SUBSTITUTE(SUBSTITUTE(SUBSTITUTE(E47:E51," ",""),"0",""),"-",""))+LEN(SUBSTITUTE(SUBSTITUTE(SUBSTITUTE(F47:F51," ",""),"0",""),"-","")))&gt;(LEN(SUBSTITUTE(SUBSTITUTE(SUBSTITUTE(B47:B51," ",""),"0",""),"-",""))+LEN(SUBSTITUTE(SUBSTITUTE(SUBSTITUTE(C47:C51," ",""),"0",""),"-",""))))*1)</f>
      </c>
      <c r="G46" s="14" t="str">
        <f>data!$B$6</f>
      </c>
      <c r="I46" s="14" t="str">
        <f>data!$B$54</f>
      </c>
      <c r="J46" s="18" t="str">
        <f>SUMPRODUCT((UPPER(L47:L51)&lt;&gt;"X")*((LEN(SUBSTITUTE(SUBSTITUTE(SUBSTITUTE(J47:J51," ",""),"0",""),"-",""))+LEN(SUBSTITUTE(SUBSTITUTE(SUBSTITUTE(K47:K51," ",""),"0",""),"-","")))&gt;(LEN(SUBSTITUTE(SUBSTITUTE(SUBSTITUTE(M47:M51," ",""),"0",""),"-",""))+LEN(SUBSTITUTE(SUBSTITUTE(SUBSTITUTE(N47:N51," ",""),"0",""),"-",""))))*1)</f>
      </c>
      <c r="K46" s="18" t="str">
        <f>SUMPRODUCT(LEN(SUBSTITUTE(SUBSTITUTE(SUBSTITUTE(J47:J51," ",""),"0",""),"-",""))+LEN(SUBSTITUTE(SUBSTITUTE(SUBSTITUTE(K47:K51," ",""),"0",""),"-","")))</f>
      </c>
      <c r="L46" s="18"/>
      <c r="M46" s="18" t="str">
        <f>SUMPRODUCT(LEN(SUBSTITUTE(SUBSTITUTE(SUBSTITUTE(M47:M51," ",""),"0",""),"-",""))+LEN(SUBSTITUTE(SUBSTITUTE(SUBSTITUTE(N47:N51," ",""),"0",""),"-","")))</f>
      </c>
      <c r="N46" s="18" t="str">
        <f>SUMPRODUCT((UPPER(L47:L51)&lt;&gt;"X")*((LEN(SUBSTITUTE(SUBSTITUTE(SUBSTITUTE(M47:M51," ",""),"0",""),"-",""))+LEN(SUBSTITUTE(SUBSTITUTE(SUBSTITUTE(N47:N51," ",""),"0",""),"-","")))&gt;(LEN(SUBSTITUTE(SUBSTITUTE(SUBSTITUTE(J47:J51," ",""),"0",""),"-",""))+LEN(SUBSTITUTE(SUBSTITUTE(SUBSTITUTE(K47:K51," ",""),"0",""),"-",""))))*1)</f>
      </c>
      <c r="O46" s="14" t="str">
        <f>data!$B$53</f>
      </c>
    </row>
    <row r="47">
      <c r="A47" s="18">
        <v>1</v>
      </c>
      <c r="B47" s="18"/>
      <c r="C47" s="18"/>
      <c r="D47" s="18"/>
      <c r="E47" s="18"/>
      <c r="F47" s="18"/>
      <c r="G47" s="18">
        <v>1</v>
      </c>
      <c r="I47" s="18">
        <v>1</v>
      </c>
      <c r="J47" s="18"/>
      <c r="K47" s="18"/>
      <c r="L47" s="18"/>
      <c r="M47" s="18"/>
      <c r="N47" s="18"/>
      <c r="O47" s="18">
        <v>1</v>
      </c>
    </row>
    <row r="48">
      <c r="A48" s="18">
        <v>2</v>
      </c>
      <c r="B48" s="18"/>
      <c r="C48" s="18"/>
      <c r="D48" s="18"/>
      <c r="E48" s="18"/>
      <c r="F48" s="18"/>
      <c r="G48" s="18">
        <v>2</v>
      </c>
      <c r="I48" s="18">
        <v>2</v>
      </c>
      <c r="J48" s="18"/>
      <c r="K48" s="18"/>
      <c r="L48" s="18"/>
      <c r="M48" s="18"/>
      <c r="N48" s="18"/>
      <c r="O48" s="18">
        <v>2</v>
      </c>
    </row>
    <row r="49">
      <c r="A49" s="18">
        <v>3</v>
      </c>
      <c r="B49" s="18"/>
      <c r="C49" s="18"/>
      <c r="D49" s="18"/>
      <c r="E49" s="18"/>
      <c r="F49" s="18"/>
      <c r="G49" s="18">
        <v>3</v>
      </c>
      <c r="I49" s="18">
        <v>3</v>
      </c>
      <c r="J49" s="18"/>
      <c r="K49" s="18"/>
      <c r="L49" s="18"/>
      <c r="M49" s="18"/>
      <c r="N49" s="18"/>
      <c r="O49" s="18">
        <v>3</v>
      </c>
    </row>
    <row r="50">
      <c r="A50" s="18">
        <v>4</v>
      </c>
      <c r="B50" s="18"/>
      <c r="C50" s="18"/>
      <c r="D50" s="18"/>
      <c r="E50" s="18"/>
      <c r="F50" s="18"/>
      <c r="G50" s="18">
        <v>4</v>
      </c>
      <c r="I50" s="18">
        <v>4</v>
      </c>
      <c r="J50" s="18"/>
      <c r="K50" s="18"/>
      <c r="L50" s="18"/>
      <c r="M50" s="18"/>
      <c r="N50" s="18"/>
      <c r="O50" s="18">
        <v>4</v>
      </c>
    </row>
    <row r="51">
      <c r="A51" s="18">
        <v>5</v>
      </c>
      <c r="B51" s="18"/>
      <c r="C51" s="18"/>
      <c r="D51" s="18"/>
      <c r="E51" s="18"/>
      <c r="F51" s="18"/>
      <c r="G51" s="18">
        <v>5</v>
      </c>
      <c r="I51" s="18">
        <v>5</v>
      </c>
      <c r="J51" s="18"/>
      <c r="K51" s="18"/>
      <c r="L51" s="18"/>
      <c r="M51" s="18"/>
      <c r="N51" s="18"/>
      <c r="O51" s="18">
        <v>5</v>
      </c>
    </row>
    <row r="53">
      <c r="A53" s="17" t="s">
        <v>239</v>
      </c>
      <c r="B53" s="14"/>
      <c r="C53" s="14"/>
      <c r="D53" s="14" t="s">
        <v>240</v>
      </c>
      <c r="E53" s="14"/>
      <c r="F53" s="14"/>
      <c r="G53" s="16" t="s">
        <v>241</v>
      </c>
      <c r="I53" s="17" t="s">
        <v>239</v>
      </c>
      <c r="J53" s="14"/>
      <c r="K53" s="14"/>
      <c r="L53" s="14" t="s">
        <v>240</v>
      </c>
      <c r="M53" s="14"/>
      <c r="N53" s="14"/>
      <c r="O53" s="16" t="s">
        <v>241</v>
      </c>
    </row>
    <row r="54">
      <c r="A54" s="14" t="str">
        <f>data!$B$8</f>
      </c>
      <c r="B54" s="18" t="str">
        <f>SUMPRODUCT((UPPER(D55:D59)&lt;&gt;"X")*((LEN(SUBSTITUTE(SUBSTITUTE(SUBSTITUTE(B55:B59," ",""),"0",""),"-",""))+LEN(SUBSTITUTE(SUBSTITUTE(SUBSTITUTE(C55:C59," ",""),"0",""),"-","")))&gt;(LEN(SUBSTITUTE(SUBSTITUTE(SUBSTITUTE(E55:E59," ",""),"0",""),"-",""))+LEN(SUBSTITUTE(SUBSTITUTE(SUBSTITUTE(F55:F59," ",""),"0",""),"-",""))))*1)</f>
      </c>
      <c r="C54" s="18" t="str">
        <f>SUMPRODUCT(LEN(SUBSTITUTE(SUBSTITUTE(SUBSTITUTE(B55:B59," ",""),"0",""),"-",""))+LEN(SUBSTITUTE(SUBSTITUTE(SUBSTITUTE(C55:C59," ",""),"0",""),"-","")))</f>
      </c>
      <c r="D54" s="18"/>
      <c r="E54" s="18" t="str">
        <f>SUMPRODUCT(LEN(SUBSTITUTE(SUBSTITUTE(SUBSTITUTE(E55:E59," ",""),"0",""),"-",""))+LEN(SUBSTITUTE(SUBSTITUTE(SUBSTITUTE(F55:F59," ",""),"0",""),"-","")))</f>
      </c>
      <c r="F54" s="18" t="str">
        <f>SUMPRODUCT((UPPER(D55:D59)&lt;&gt;"X")*((LEN(SUBSTITUTE(SUBSTITUTE(SUBSTITUTE(E55:E59," ",""),"0",""),"-",""))+LEN(SUBSTITUTE(SUBSTITUTE(SUBSTITUTE(F55:F59," ",""),"0",""),"-","")))&gt;(LEN(SUBSTITUTE(SUBSTITUTE(SUBSTITUTE(B55:B59," ",""),"0",""),"-",""))+LEN(SUBSTITUTE(SUBSTITUTE(SUBSTITUTE(C55:C59," ",""),"0",""),"-",""))))*1)</f>
      </c>
      <c r="G54" s="14" t="str">
        <f>data!$B$6</f>
      </c>
      <c r="I54" s="14" t="str">
        <f>data!$B$55</f>
      </c>
      <c r="J54" s="18" t="str">
        <f>SUMPRODUCT((UPPER(L55:L59)&lt;&gt;"X")*((LEN(SUBSTITUTE(SUBSTITUTE(SUBSTITUTE(J55:J59," ",""),"0",""),"-",""))+LEN(SUBSTITUTE(SUBSTITUTE(SUBSTITUTE(K55:K59," ",""),"0",""),"-","")))&gt;(LEN(SUBSTITUTE(SUBSTITUTE(SUBSTITUTE(M55:M59," ",""),"0",""),"-",""))+LEN(SUBSTITUTE(SUBSTITUTE(SUBSTITUTE(N55:N59," ",""),"0",""),"-",""))))*1)</f>
      </c>
      <c r="K54" s="18" t="str">
        <f>SUMPRODUCT(LEN(SUBSTITUTE(SUBSTITUTE(SUBSTITUTE(J55:J59," ",""),"0",""),"-",""))+LEN(SUBSTITUTE(SUBSTITUTE(SUBSTITUTE(K55:K59," ",""),"0",""),"-","")))</f>
      </c>
      <c r="L54" s="18"/>
      <c r="M54" s="18" t="str">
        <f>SUMPRODUCT(LEN(SUBSTITUTE(SUBSTITUTE(SUBSTITUTE(M55:M59," ",""),"0",""),"-",""))+LEN(SUBSTITUTE(SUBSTITUTE(SUBSTITUTE(N55:N59," ",""),"0",""),"-","")))</f>
      </c>
      <c r="N54" s="18" t="str">
        <f>SUMPRODUCT((UPPER(L55:L59)&lt;&gt;"X")*((LEN(SUBSTITUTE(SUBSTITUTE(SUBSTITUTE(M55:M59," ",""),"0",""),"-",""))+LEN(SUBSTITUTE(SUBSTITUTE(SUBSTITUTE(N55:N59," ",""),"0",""),"-","")))&gt;(LEN(SUBSTITUTE(SUBSTITUTE(SUBSTITUTE(J55:J59," ",""),"0",""),"-",""))+LEN(SUBSTITUTE(SUBSTITUTE(SUBSTITUTE(K55:K59," ",""),"0",""),"-",""))))*1)</f>
      </c>
      <c r="O54" s="14" t="str">
        <f>data!$B$53</f>
      </c>
    </row>
    <row r="55">
      <c r="A55" s="18">
        <v>1</v>
      </c>
      <c r="B55" s="18"/>
      <c r="C55" s="18"/>
      <c r="D55" s="18"/>
      <c r="E55" s="18"/>
      <c r="F55" s="18"/>
      <c r="G55" s="18">
        <v>1</v>
      </c>
      <c r="I55" s="18">
        <v>1</v>
      </c>
      <c r="J55" s="18"/>
      <c r="K55" s="18"/>
      <c r="L55" s="18"/>
      <c r="M55" s="18"/>
      <c r="N55" s="18"/>
      <c r="O55" s="18">
        <v>1</v>
      </c>
    </row>
    <row r="56">
      <c r="A56" s="18">
        <v>2</v>
      </c>
      <c r="B56" s="18"/>
      <c r="C56" s="18"/>
      <c r="D56" s="18"/>
      <c r="E56" s="18"/>
      <c r="F56" s="18"/>
      <c r="G56" s="18">
        <v>2</v>
      </c>
      <c r="I56" s="18">
        <v>2</v>
      </c>
      <c r="J56" s="18"/>
      <c r="K56" s="18"/>
      <c r="L56" s="18"/>
      <c r="M56" s="18"/>
      <c r="N56" s="18"/>
      <c r="O56" s="18">
        <v>2</v>
      </c>
    </row>
    <row r="57">
      <c r="A57" s="18">
        <v>3</v>
      </c>
      <c r="B57" s="18"/>
      <c r="C57" s="18"/>
      <c r="D57" s="18"/>
      <c r="E57" s="18"/>
      <c r="F57" s="18"/>
      <c r="G57" s="18">
        <v>3</v>
      </c>
      <c r="I57" s="18">
        <v>3</v>
      </c>
      <c r="J57" s="18"/>
      <c r="K57" s="18"/>
      <c r="L57" s="18"/>
      <c r="M57" s="18"/>
      <c r="N57" s="18"/>
      <c r="O57" s="18">
        <v>3</v>
      </c>
    </row>
    <row r="58">
      <c r="A58" s="18">
        <v>4</v>
      </c>
      <c r="B58" s="18"/>
      <c r="C58" s="18"/>
      <c r="D58" s="18"/>
      <c r="E58" s="18"/>
      <c r="F58" s="18"/>
      <c r="G58" s="18">
        <v>4</v>
      </c>
      <c r="I58" s="18">
        <v>4</v>
      </c>
      <c r="J58" s="18"/>
      <c r="K58" s="18"/>
      <c r="L58" s="18"/>
      <c r="M58" s="18"/>
      <c r="N58" s="18"/>
      <c r="O58" s="18">
        <v>4</v>
      </c>
    </row>
    <row r="59">
      <c r="A59" s="18">
        <v>5</v>
      </c>
      <c r="B59" s="18"/>
      <c r="C59" s="18"/>
      <c r="D59" s="18"/>
      <c r="E59" s="18"/>
      <c r="F59" s="18"/>
      <c r="G59" s="18">
        <v>5</v>
      </c>
      <c r="I59" s="18">
        <v>5</v>
      </c>
      <c r="J59" s="18"/>
      <c r="K59" s="18"/>
      <c r="L59" s="18"/>
      <c r="M59" s="18"/>
      <c r="N59" s="18"/>
      <c r="O59" s="18">
        <v>5</v>
      </c>
    </row>
    <row r="61">
      <c r="A61" s="17" t="s">
        <v>239</v>
      </c>
      <c r="B61" s="14"/>
      <c r="C61" s="14"/>
      <c r="D61" s="14" t="s">
        <v>240</v>
      </c>
      <c r="E61" s="14"/>
      <c r="F61" s="14"/>
      <c r="G61" s="16" t="s">
        <v>241</v>
      </c>
      <c r="I61" s="17" t="s">
        <v>239</v>
      </c>
      <c r="J61" s="14"/>
      <c r="K61" s="14"/>
      <c r="L61" s="14" t="s">
        <v>240</v>
      </c>
      <c r="M61" s="14"/>
      <c r="N61" s="14"/>
      <c r="O61" s="16" t="s">
        <v>241</v>
      </c>
    </row>
    <row r="62">
      <c r="A62" s="14" t="str">
        <f>data!$B$8</f>
      </c>
      <c r="B62" s="18" t="str">
        <f>SUMPRODUCT((UPPER(D63:D67)&lt;&gt;"X")*((LEN(SUBSTITUTE(SUBSTITUTE(SUBSTITUTE(B63:B67," ",""),"0",""),"-",""))+LEN(SUBSTITUTE(SUBSTITUTE(SUBSTITUTE(C63:C67," ",""),"0",""),"-","")))&gt;(LEN(SUBSTITUTE(SUBSTITUTE(SUBSTITUTE(E63:E67," ",""),"0",""),"-",""))+LEN(SUBSTITUTE(SUBSTITUTE(SUBSTITUTE(F63:F67," ",""),"0",""),"-",""))))*1)</f>
      </c>
      <c r="C62" s="18" t="str">
        <f>SUMPRODUCT(LEN(SUBSTITUTE(SUBSTITUTE(SUBSTITUTE(B63:B67," ",""),"0",""),"-",""))+LEN(SUBSTITUTE(SUBSTITUTE(SUBSTITUTE(C63:C67," ",""),"0",""),"-","")))</f>
      </c>
      <c r="D62" s="18"/>
      <c r="E62" s="18" t="str">
        <f>SUMPRODUCT(LEN(SUBSTITUTE(SUBSTITUTE(SUBSTITUTE(E63:E67," ",""),"0",""),"-",""))+LEN(SUBSTITUTE(SUBSTITUTE(SUBSTITUTE(F63:F67," ",""),"0",""),"-","")))</f>
      </c>
      <c r="F62" s="18" t="str">
        <f>SUMPRODUCT((UPPER(D63:D67)&lt;&gt;"X")*((LEN(SUBSTITUTE(SUBSTITUTE(SUBSTITUTE(E63:E67," ",""),"0",""),"-",""))+LEN(SUBSTITUTE(SUBSTITUTE(SUBSTITUTE(F63:F67," ",""),"0",""),"-","")))&gt;(LEN(SUBSTITUTE(SUBSTITUTE(SUBSTITUTE(B63:B67," ",""),"0",""),"-",""))+LEN(SUBSTITUTE(SUBSTITUTE(SUBSTITUTE(C63:C67," ",""),"0",""),"-",""))))*1)</f>
      </c>
      <c r="G62" s="14" t="str">
        <f>data!$B$7</f>
      </c>
      <c r="I62" s="14" t="str">
        <f>data!$B$55</f>
      </c>
      <c r="J62" s="18" t="str">
        <f>SUMPRODUCT((UPPER(L63:L67)&lt;&gt;"X")*((LEN(SUBSTITUTE(SUBSTITUTE(SUBSTITUTE(J63:J67," ",""),"0",""),"-",""))+LEN(SUBSTITUTE(SUBSTITUTE(SUBSTITUTE(K63:K67," ",""),"0",""),"-","")))&gt;(LEN(SUBSTITUTE(SUBSTITUTE(SUBSTITUTE(M63:M67," ",""),"0",""),"-",""))+LEN(SUBSTITUTE(SUBSTITUTE(SUBSTITUTE(N63:N67," ",""),"0",""),"-",""))))*1)</f>
      </c>
      <c r="K62" s="18" t="str">
        <f>SUMPRODUCT(LEN(SUBSTITUTE(SUBSTITUTE(SUBSTITUTE(J63:J67," ",""),"0",""),"-",""))+LEN(SUBSTITUTE(SUBSTITUTE(SUBSTITUTE(K63:K67," ",""),"0",""),"-","")))</f>
      </c>
      <c r="L62" s="18"/>
      <c r="M62" s="18" t="str">
        <f>SUMPRODUCT(LEN(SUBSTITUTE(SUBSTITUTE(SUBSTITUTE(M63:M67," ",""),"0",""),"-",""))+LEN(SUBSTITUTE(SUBSTITUTE(SUBSTITUTE(N63:N67," ",""),"0",""),"-","")))</f>
      </c>
      <c r="N62" s="18" t="str">
        <f>SUMPRODUCT((UPPER(L63:L67)&lt;&gt;"X")*((LEN(SUBSTITUTE(SUBSTITUTE(SUBSTITUTE(M63:M67," ",""),"0",""),"-",""))+LEN(SUBSTITUTE(SUBSTITUTE(SUBSTITUTE(N63:N67," ",""),"0",""),"-","")))&gt;(LEN(SUBSTITUTE(SUBSTITUTE(SUBSTITUTE(J63:J67," ",""),"0",""),"-",""))+LEN(SUBSTITUTE(SUBSTITUTE(SUBSTITUTE(K63:K67," ",""),"0",""),"-",""))))*1)</f>
      </c>
      <c r="O62" s="14" t="str">
        <f>data!$B$54</f>
      </c>
    </row>
    <row r="63">
      <c r="A63" s="18">
        <v>1</v>
      </c>
      <c r="B63" s="18"/>
      <c r="C63" s="18"/>
      <c r="D63" s="18"/>
      <c r="E63" s="18"/>
      <c r="F63" s="18"/>
      <c r="G63" s="18">
        <v>1</v>
      </c>
      <c r="I63" s="18">
        <v>1</v>
      </c>
      <c r="J63" s="18"/>
      <c r="K63" s="18"/>
      <c r="L63" s="18"/>
      <c r="M63" s="18"/>
      <c r="N63" s="18"/>
      <c r="O63" s="18">
        <v>1</v>
      </c>
    </row>
    <row r="64">
      <c r="A64" s="18">
        <v>2</v>
      </c>
      <c r="B64" s="18"/>
      <c r="C64" s="18"/>
      <c r="D64" s="18"/>
      <c r="E64" s="18"/>
      <c r="F64" s="18"/>
      <c r="G64" s="18">
        <v>2</v>
      </c>
      <c r="I64" s="18">
        <v>2</v>
      </c>
      <c r="J64" s="18"/>
      <c r="K64" s="18"/>
      <c r="L64" s="18"/>
      <c r="M64" s="18"/>
      <c r="N64" s="18"/>
      <c r="O64" s="18">
        <v>2</v>
      </c>
    </row>
    <row r="65">
      <c r="A65" s="18">
        <v>3</v>
      </c>
      <c r="B65" s="18"/>
      <c r="C65" s="18"/>
      <c r="D65" s="18"/>
      <c r="E65" s="18"/>
      <c r="F65" s="18"/>
      <c r="G65" s="18">
        <v>3</v>
      </c>
      <c r="I65" s="18">
        <v>3</v>
      </c>
      <c r="J65" s="18"/>
      <c r="K65" s="18"/>
      <c r="L65" s="18"/>
      <c r="M65" s="18"/>
      <c r="N65" s="18"/>
      <c r="O65" s="18">
        <v>3</v>
      </c>
    </row>
    <row r="66">
      <c r="A66" s="18">
        <v>4</v>
      </c>
      <c r="B66" s="18"/>
      <c r="C66" s="18"/>
      <c r="D66" s="18"/>
      <c r="E66" s="18"/>
      <c r="F66" s="18"/>
      <c r="G66" s="18">
        <v>4</v>
      </c>
      <c r="I66" s="18">
        <v>4</v>
      </c>
      <c r="J66" s="18"/>
      <c r="K66" s="18"/>
      <c r="L66" s="18"/>
      <c r="M66" s="18"/>
      <c r="N66" s="18"/>
      <c r="O66" s="18">
        <v>4</v>
      </c>
    </row>
    <row r="67">
      <c r="A67" s="18">
        <v>5</v>
      </c>
      <c r="B67" s="18"/>
      <c r="C67" s="18"/>
      <c r="D67" s="18"/>
      <c r="E67" s="18"/>
      <c r="F67" s="18"/>
      <c r="G67" s="18">
        <v>5</v>
      </c>
      <c r="I67" s="18">
        <v>5</v>
      </c>
      <c r="J67" s="18"/>
      <c r="K67" s="18"/>
      <c r="L67" s="18"/>
      <c r="M67" s="18"/>
      <c r="N67" s="18"/>
      <c r="O67" s="18">
        <v>5</v>
      </c>
    </row>
    <row r="70">
      <c r="A70" s="13"/>
      <c r="B70" s="13" t="s">
        <v>242</v>
      </c>
      <c r="C70" s="13" t="s">
        <v>243</v>
      </c>
      <c r="D70" s="13" t="s">
        <v>244</v>
      </c>
      <c r="I70" s="13"/>
      <c r="J70" s="13" t="s">
        <v>242</v>
      </c>
      <c r="K70" s="13" t="s">
        <v>243</v>
      </c>
      <c r="L70" s="13" t="s">
        <v>244</v>
      </c>
    </row>
    <row r="71">
      <c r="A71" t="str">
        <f>data!$B$6</f>
      </c>
      <c r="B71" s="14" t="str">
        <f>IF(OR(COUNTA(B47:C51,E47:F51)&gt;0,OR(D46="X",D46="x")),IF(OR(D46="X",D46="x"),0,IF(OR(F46&gt;B46,AND(F46=B46,E46&gt;C46)),1,0)),0)+IF(OR(COUNTA(B55:C59,E55:F59)&gt;0,OR(D54="X",D54="x")),IF(OR(D54="X",D54="x"),0,IF(OR(F54&gt;B54,AND(F54=B54,E54&gt;C54)),1,0)),0)</f>
      </c>
      <c r="C71" s="14" t="str">
        <f>IF(OR(COUNTA(B47:C51,E47:F51)&gt;0,OR(D46="X",D46="x")),IF(OR(D46="X",D46="x"),0,IF(OR(F46&lt;B46,AND(F46=B46,E46&lt;C46)),1,0)),0)+IF(OR(COUNTA(B55:C59,E55:F59)&gt;0,OR(D54="X",D54="x")),IF(OR(D54="X",D54="x"),0,IF(OR(F54&lt;B54,AND(F54=B54,E54&lt;C54)),1,0)),0)</f>
      </c>
      <c r="D71" s="14" t="str">
        <f>IF(OR(COUNTA(B47:C51,E47:F51)&gt;0,OR(D46="X",D46="x")),IF(OR(D46="X",D46="x"),1,0),0)+IF(OR(COUNTA(B55:C59,E55:F59)&gt;0,OR(D54="X",D54="x")),IF(OR(D54="X",D54="x"),1,0),0)</f>
      </c>
      <c r="I71" t="str">
        <f>data!$B$53</f>
      </c>
      <c r="J71" s="14" t="str">
        <f>IF(OR(COUNTA(J47:K51,M47:N51)&gt;0,OR(L46="X",L46="x")),IF(OR(L46="X",L46="x"),0,IF(OR(N46&gt;J46,AND(N46=J46,M46&gt;K46)),1,0)),0)+IF(OR(COUNTA(J55:K59,M55:N59)&gt;0,OR(L54="X",L54="x")),IF(OR(L54="X",L54="x"),0,IF(OR(N54&gt;J54,AND(N54=J54,M54&gt;K54)),1,0)),0)</f>
      </c>
      <c r="K71" s="14" t="str">
        <f>IF(OR(COUNTA(J47:K51,M47:N51)&gt;0,OR(L46="X",L46="x")),IF(OR(L46="X",L46="x"),0,IF(OR(N46&lt;J46,AND(N46=J46,M46&lt;K46)),1,0)),0)+IF(OR(COUNTA(J55:K59,M55:N59)&gt;0,OR(L54="X",L54="x")),IF(OR(L54="X",L54="x"),0,IF(OR(N54&lt;J54,AND(N54=J54,M54&lt;K54)),1,0)),0)</f>
      </c>
      <c r="L71" s="14" t="str">
        <f>IF(OR(COUNTA(J47:K51,M47:N51)&gt;0,OR(L46="X",L46="x")),IF(OR(L46="X",L46="x"),1,0),0)+IF(OR(COUNTA(J55:K59,M55:N59)&gt;0,OR(L54="X",L54="x")),IF(OR(L54="X",L54="x"),1,0),0)</f>
      </c>
    </row>
    <row r="72">
      <c r="A72" t="str">
        <f>data!$B$7</f>
      </c>
      <c r="B72" s="14" t="str">
        <f>IF(OR(COUNTA(B47:C51,E47:F51)&gt;0,OR(D46="X",D46="x")),IF(OR(D46="X",D46="x"),0,IF(OR(B46&gt;F46,AND(B46=F46,C46&gt;E46)),1,0)),0)+IF(OR(COUNTA(B63:C67,E63:F67)&gt;0,OR(D62="X",D62="x")),IF(OR(D62="X",D62="x"),0,IF(OR(F62&gt;B62,AND(F62=B62,E62&gt;C62)),1,0)),0)</f>
      </c>
      <c r="C72" s="14" t="str">
        <f>IF(OR(COUNTA(B47:C51,E47:F51)&gt;0,OR(D46="X",D46="x")),IF(OR(D46="X",D46="x"),0,IF(OR(B46&lt;F46,AND(B46=F46,C46&lt;E46)),1,0)),0)+IF(OR(COUNTA(B63:C67,E63:F67)&gt;0,OR(D62="X",D62="x")),IF(OR(D62="X",D62="x"),0,IF(OR(F62&lt;B62,AND(F62=B62,E62&lt;C62)),1,0)),0)</f>
      </c>
      <c r="D72" s="14" t="str">
        <f>IF(OR(COUNTA(B47:C51,E47:F51)&gt;0,OR(D46="X",D46="x")),IF(OR(D46="X",D46="x"),1,0),0)+IF(OR(COUNTA(B63:C67,E63:F67)&gt;0,OR(D62="X",D62="x")),IF(OR(D62="X",D62="x"),1,0),0)</f>
      </c>
      <c r="I72" t="str">
        <f>data!$B$54</f>
      </c>
      <c r="J72" s="14" t="str">
        <f>IF(OR(COUNTA(J47:K51,M47:N51)&gt;0,OR(L46="X",L46="x")),IF(OR(L46="X",L46="x"),0,IF(OR(J46&gt;N46,AND(J46=N46,K46&gt;M46)),1,0)),0)+IF(OR(COUNTA(J63:K67,M63:N67)&gt;0,OR(L62="X",L62="x")),IF(OR(L62="X",L62="x"),0,IF(OR(N62&gt;J62,AND(N62=J62,M62&gt;K62)),1,0)),0)</f>
      </c>
      <c r="K72" s="14" t="str">
        <f>IF(OR(COUNTA(J47:K51,M47:N51)&gt;0,OR(L46="X",L46="x")),IF(OR(L46="X",L46="x"),0,IF(OR(J46&lt;N46,AND(J46=N46,K46&lt;M46)),1,0)),0)+IF(OR(COUNTA(J63:K67,M63:N67)&gt;0,OR(L62="X",L62="x")),IF(OR(L62="X",L62="x"),0,IF(OR(N62&lt;J62,AND(N62=J62,M62&lt;K62)),1,0)),0)</f>
      </c>
      <c r="L72" s="14" t="str">
        <f>IF(OR(COUNTA(J47:K51,M47:N51)&gt;0,OR(L46="X",L46="x")),IF(OR(L46="X",L46="x"),1,0),0)+IF(OR(COUNTA(J63:K67,M63:N67)&gt;0,OR(L62="X",L62="x")),IF(OR(L62="X",L62="x"),1,0),0)</f>
      </c>
    </row>
    <row r="73">
      <c r="A73" t="str">
        <f>data!$B$8</f>
      </c>
      <c r="B73" s="14" t="str">
        <f>IF(OR(COUNTA(B55:C59,E55:F59)&gt;0,OR(D54="X",D54="x")),IF(OR(D54="X",D54="x"),0,IF(OR(B54&gt;F54,AND(B54=F54,C54&gt;E54)),1,0)),0)+IF(OR(COUNTA(B63:C67,E63:F67)&gt;0,OR(D62="X",D62="x")),IF(OR(D62="X",D62="x"),0,IF(OR(B62&gt;F62,AND(B62=F62,C62&gt;E62)),1,0)),0)</f>
      </c>
      <c r="C73" s="14" t="str">
        <f>IF(OR(COUNTA(B55:C59,E55:F59)&gt;0,OR(D54="X",D54="x")),IF(OR(D54="X",D54="x"),0,IF(OR(B54&lt;F54,AND(B54=F54,C54&lt;E54)),1,0)),0)+IF(OR(COUNTA(B63:C67,E63:F67)&gt;0,OR(D62="X",D62="x")),IF(OR(D62="X",D62="x"),0,IF(OR(B62&lt;F62,AND(B62=F62,C62&lt;E62)),1,0)),0)</f>
      </c>
      <c r="D73" s="14" t="str">
        <f>IF(OR(COUNTA(B55:C59,E55:F59)&gt;0,OR(D54="X",D54="x")),IF(OR(D54="X",D54="x"),1,0),0)+IF(OR(COUNTA(B63:C67,E63:F67)&gt;0,OR(D62="X",D62="x")),IF(OR(D62="X",D62="x"),1,0),0)</f>
      </c>
      <c r="I73" t="str">
        <f>data!$B$55</f>
      </c>
      <c r="J73" s="14" t="str">
        <f>IF(OR(COUNTA(J55:K59,M55:N59)&gt;0,OR(L54="X",L54="x")),IF(OR(L54="X",L54="x"),0,IF(OR(J54&gt;N54,AND(J54=N54,K54&gt;M54)),1,0)),0)+IF(OR(COUNTA(J63:K67,M63:N67)&gt;0,OR(L62="X",L62="x")),IF(OR(L62="X",L62="x"),0,IF(OR(J62&gt;N62,AND(J62=N62,K62&gt;M62)),1,0)),0)</f>
      </c>
      <c r="K73" s="14" t="str">
        <f>IF(OR(COUNTA(J55:K59,M55:N59)&gt;0,OR(L54="X",L54="x")),IF(OR(L54="X",L54="x"),0,IF(OR(J54&lt;N54,AND(J54=N54,K54&lt;M54)),1,0)),0)+IF(OR(COUNTA(J63:K67,M63:N67)&gt;0,OR(L62="X",L62="x")),IF(OR(L62="X",L62="x"),0,IF(OR(J62&lt;N62,AND(J62=N62,K62&lt;M62)),1,0)),0)</f>
      </c>
      <c r="L73" s="14" t="str">
        <f>IF(OR(COUNTA(J55:K59,M55:N59)&gt;0,OR(L54="X",L54="x")),IF(OR(L54="X",L54="x"),1,0),0)+IF(OR(COUNTA(J63:K67,M63:N67)&gt;0,OR(L62="X",L62="x")),IF(OR(L62="X",L62="x"),1,0),0)</f>
      </c>
    </row>
    <row r="75">
      <c r="A75" s="13"/>
      <c r="B75" s="13" t="s">
        <v>245</v>
      </c>
      <c r="C75" s="13" t="s">
        <v>246</v>
      </c>
      <c r="D75" s="13" t="s">
        <v>247</v>
      </c>
      <c r="E75" s="13" t="s">
        <v>248</v>
      </c>
      <c r="F75" s="13" t="s">
        <v>249</v>
      </c>
      <c r="I75" s="13"/>
      <c r="J75" s="13" t="s">
        <v>245</v>
      </c>
      <c r="K75" s="13" t="s">
        <v>246</v>
      </c>
      <c r="L75" s="13" t="s">
        <v>247</v>
      </c>
      <c r="M75" s="13" t="s">
        <v>248</v>
      </c>
      <c r="N75" s="13" t="s">
        <v>249</v>
      </c>
    </row>
    <row r="76">
      <c r="A76" t="str">
        <f>data!$B$6</f>
      </c>
      <c r="B76" s="14" t="str">
        <f>IF(OR(COUNTA(B47:C51,E47:F51)&gt;0,OR(D46="X",D46="x")),F46,0)+IF(OR(COUNTA(B55:C59,E55:F59)&gt;0,OR(D54="X",D54="x")),F54,0)</f>
      </c>
      <c r="C76" s="14" t="str">
        <f>IF(OR(COUNTA(B47:C51,E47:F51)&gt;0,OR(D46="X",D46="x")),B46,0)+IF(OR(COUNTA(B55:C59,E55:F59)&gt;0,OR(D54="X",D54="x")),B54,0)</f>
      </c>
      <c r="D76" s="14" t="str">
        <f>IF(OR(COUNTA(B47:C51,E47:F51)&gt;0,OR(D46="X",D46="x")),(IF(OR(D47="X",D47="x"),1,0)+IF(OR(D48="X",D48="x"),1,0)+IF(OR(D49="X",D49="x"),1,0)+IF(OR(D50="X",D50="x"),1,0)+IF(OR(D51="X",D51="x"),1,0)),0)+IF(OR(COUNTA(B55:C59,E55:F59)&gt;0,OR(D54="X",D54="x")),(IF(OR(D55="X",D55="x"),1,0)+IF(OR(D56="X",D56="x"),1,0)+IF(OR(D57="X",D57="x"),1,0)+IF(OR(D58="X",D58="x"),1,0)+IF(OR(D59="X",D59="x"),1,0)),0)</f>
      </c>
      <c r="E76" s="14" t="str">
        <f>E46+E54</f>
      </c>
      <c r="F76" s="14" t="str">
        <f>C46+C54</f>
      </c>
      <c r="I76" t="str">
        <f>data!$B$53</f>
      </c>
      <c r="J76" s="14" t="str">
        <f>IF(OR(COUNTA(J47:K51,M47:N51)&gt;0,OR(L46="X",L46="x")),N46,0)+IF(OR(COUNTA(J55:K59,M55:N59)&gt;0,OR(L54="X",L54="x")),N54,0)</f>
      </c>
      <c r="K76" s="14" t="str">
        <f>IF(OR(COUNTA(J47:K51,M47:N51)&gt;0,OR(L46="X",L46="x")),J46,0)+IF(OR(COUNTA(J55:K59,M55:N59)&gt;0,OR(L54="X",L54="x")),J54,0)</f>
      </c>
      <c r="L76" s="14" t="str">
        <f>IF(OR(COUNTA(J47:K51,M47:N51)&gt;0,OR(L46="X",L46="x")),(IF(OR(L47="X",L47="x"),1,0)+IF(OR(L48="X",L48="x"),1,0)+IF(OR(L49="X",L49="x"),1,0)+IF(OR(L50="X",L50="x"),1,0)+IF(OR(L51="X",L51="x"),1,0)),0)+IF(OR(COUNTA(J55:K59,M55:N59)&gt;0,OR(L54="X",L54="x")),(IF(OR(L55="X",L55="x"),1,0)+IF(OR(L56="X",L56="x"),1,0)+IF(OR(L57="X",L57="x"),1,0)+IF(OR(L58="X",L58="x"),1,0)+IF(OR(L59="X",L59="x"),1,0)),0)</f>
      </c>
      <c r="M76" s="14" t="str">
        <f>M46+M54</f>
      </c>
      <c r="N76" s="14" t="str">
        <f>K46+K54</f>
      </c>
    </row>
    <row r="77">
      <c r="A77" t="str">
        <f>data!$B$7</f>
      </c>
      <c r="B77" s="14" t="str">
        <f>IF(OR(COUNTA(B47:C51,E47:F51)&gt;0,OR(D46="X",D46="x")),B46,0)+IF(OR(COUNTA(B63:C67,E63:F67)&gt;0,OR(D62="X",D62="x")),F62,0)</f>
      </c>
      <c r="C77" s="14" t="str">
        <f>IF(OR(COUNTA(B47:C51,E47:F51)&gt;0,OR(D46="X",D46="x")),F46,0)+IF(OR(COUNTA(B63:C67,E63:F67)&gt;0,OR(D62="X",D62="x")),B62,0)</f>
      </c>
      <c r="D77" s="14" t="str">
        <f>IF(OR(COUNTA(B47:C51,E47:F51)&gt;0,OR(D46="X",D46="x")),(IF(OR(D47="X",D47="x"),1,0)+IF(OR(D48="X",D48="x"),1,0)+IF(OR(D49="X",D49="x"),1,0)+IF(OR(D50="X",D50="x"),1,0)+IF(OR(D51="X",D51="x"),1,0)),0)+IF(OR(COUNTA(B63:C67,E63:F67)&gt;0,OR(D62="X",D62="x")),(IF(OR(D63="X",D63="x"),1,0)+IF(OR(D64="X",D64="x"),1,0)+IF(OR(D65="X",D65="x"),1,0)+IF(OR(D66="X",D66="x"),1,0)+IF(OR(D67="X",D67="x"),1,0)),0)</f>
      </c>
      <c r="E77" s="14" t="str">
        <f>C46+E62</f>
      </c>
      <c r="F77" s="14" t="str">
        <f>E46+C62</f>
      </c>
      <c r="I77" t="str">
        <f>data!$B$54</f>
      </c>
      <c r="J77" s="14" t="str">
        <f>IF(OR(COUNTA(J47:K51,M47:N51)&gt;0,OR(L46="X",L46="x")),J46,0)+IF(OR(COUNTA(J63:K67,M63:N67)&gt;0,OR(L62="X",L62="x")),N62,0)</f>
      </c>
      <c r="K77" s="14" t="str">
        <f>IF(OR(COUNTA(J47:K51,M47:N51)&gt;0,OR(L46="X",L46="x")),N46,0)+IF(OR(COUNTA(J63:K67,M63:N67)&gt;0,OR(L62="X",L62="x")),J62,0)</f>
      </c>
      <c r="L77" s="14" t="str">
        <f>IF(OR(COUNTA(J47:K51,M47:N51)&gt;0,OR(L46="X",L46="x")),(IF(OR(L47="X",L47="x"),1,0)+IF(OR(L48="X",L48="x"),1,0)+IF(OR(L49="X",L49="x"),1,0)+IF(OR(L50="X",L50="x"),1,0)+IF(OR(L51="X",L51="x"),1,0)),0)+IF(OR(COUNTA(J63:K67,M63:N67)&gt;0,OR(L62="X",L62="x")),(IF(OR(L63="X",L63="x"),1,0)+IF(OR(L64="X",L64="x"),1,0)+IF(OR(L65="X",L65="x"),1,0)+IF(OR(L66="X",L66="x"),1,0)+IF(OR(L67="X",L67="x"),1,0)),0)</f>
      </c>
      <c r="M77" s="14" t="str">
        <f>K46+M62</f>
      </c>
      <c r="N77" s="14" t="str">
        <f>M46+K62</f>
      </c>
    </row>
    <row r="78">
      <c r="A78" t="str">
        <f>data!$B$8</f>
      </c>
      <c r="B78" s="14" t="str">
        <f>IF(OR(COUNTA(B55:C59,E55:F59)&gt;0,OR(D54="X",D54="x")),B54,0)+IF(OR(COUNTA(B63:C67,E63:F67)&gt;0,OR(D62="X",D62="x")),B62,0)</f>
      </c>
      <c r="C78" s="14" t="str">
        <f>IF(OR(COUNTA(B55:C59,E55:F59)&gt;0,OR(D54="X",D54="x")),F54,0)+IF(OR(COUNTA(B63:C67,E63:F67)&gt;0,OR(D62="X",D62="x")),F62,0)</f>
      </c>
      <c r="D78" s="14" t="str">
        <f>IF(OR(COUNTA(B55:C59,E55:F59)&gt;0,OR(D54="X",D54="x")),(IF(OR(D55="X",D55="x"),1,0)+IF(OR(D56="X",D56="x"),1,0)+IF(OR(D57="X",D57="x"),1,0)+IF(OR(D58="X",D58="x"),1,0)+IF(OR(D59="X",D59="x"),1,0)),0)+IF(OR(COUNTA(B63:C67,E63:F67)&gt;0,OR(D62="X",D62="x")),(IF(OR(D63="X",D63="x"),1,0)+IF(OR(D64="X",D64="x"),1,0)+IF(OR(D65="X",D65="x"),1,0)+IF(OR(D66="X",D66="x"),1,0)+IF(OR(D67="X",D67="x"),1,0)),0)</f>
      </c>
      <c r="E78" s="14" t="str">
        <f>C54+C62</f>
      </c>
      <c r="F78" s="14" t="str">
        <f>E54+E62</f>
      </c>
      <c r="I78" t="str">
        <f>data!$B$55</f>
      </c>
      <c r="J78" s="14" t="str">
        <f>IF(OR(COUNTA(J55:K59,M55:N59)&gt;0,OR(L54="X",L54="x")),J54,0)+IF(OR(COUNTA(J63:K67,M63:N67)&gt;0,OR(L62="X",L62="x")),J62,0)</f>
      </c>
      <c r="K78" s="14" t="str">
        <f>IF(OR(COUNTA(J55:K59,M55:N59)&gt;0,OR(L54="X",L54="x")),N54,0)+IF(OR(COUNTA(J63:K67,M63:N67)&gt;0,OR(L62="X",L62="x")),N62,0)</f>
      </c>
      <c r="L78" s="14" t="str">
        <f>IF(OR(COUNTA(J55:K59,M55:N59)&gt;0,OR(L54="X",L54="x")),(IF(OR(L55="X",L55="x"),1,0)+IF(OR(L56="X",L56="x"),1,0)+IF(OR(L57="X",L57="x"),1,0)+IF(OR(L58="X",L58="x"),1,0)+IF(OR(L59="X",L59="x"),1,0)),0)+IF(OR(COUNTA(J63:K67,M63:N67)&gt;0,OR(L62="X",L62="x")),(IF(OR(L63="X",L63="x"),1,0)+IF(OR(L64="X",L64="x"),1,0)+IF(OR(L65="X",L65="x"),1,0)+IF(OR(L66="X",L66="x"),1,0)+IF(OR(L67="X",L67="x"),1,0)),0)</f>
      </c>
      <c r="M78" s="14" t="str">
        <f>K54+K62</f>
      </c>
      <c r="N78" s="14" t="str">
        <f>M54+M62</f>
      </c>
    </row>
    <row r="81">
      <c r="F81" s="13"/>
      <c r="G81" s="13" t="s">
        <v>250</v>
      </c>
      <c r="N81" s="13"/>
      <c r="O81" s="13" t="s">
        <v>250</v>
      </c>
    </row>
    <row r="82">
      <c r="F82" t="s">
        <v>251</v>
      </c>
      <c r="G82" s="19"/>
      <c r="N82" t="s">
        <v>251</v>
      </c>
      <c r="O82" s="19"/>
    </row>
    <row r="83">
      <c r="F83" t="s">
        <v>252</v>
      </c>
      <c r="G83" s="19"/>
      <c r="N83" t="s">
        <v>252</v>
      </c>
      <c r="O83" s="19"/>
    </row>
    <row r="84">
      <c r="F84" t="s">
        <v>253</v>
      </c>
      <c r="G84" s="19"/>
      <c r="N84" t="s">
        <v>253</v>
      </c>
      <c r="O84" s="19"/>
    </row>
    <row r="86">
      <c r="A86" s="13" t="str">
        <f>data!$A$11</f>
      </c>
      <c r="B86" s="13"/>
      <c r="C86" s="13"/>
      <c r="D86" s="13"/>
      <c r="E86" s="13"/>
      <c r="F86" s="13"/>
      <c r="G86" s="13"/>
      <c r="I86" s="13" t="str">
        <f>data!$A$58</f>
      </c>
      <c r="J86" s="13"/>
      <c r="K86" s="13"/>
      <c r="L86" s="13"/>
      <c r="M86" s="13"/>
      <c r="N86" s="13"/>
      <c r="O86" s="13"/>
    </row>
    <row r="87">
      <c r="A87" s="17" t="s">
        <v>239</v>
      </c>
      <c r="B87" s="14"/>
      <c r="C87" s="14"/>
      <c r="D87" s="14" t="s">
        <v>240</v>
      </c>
      <c r="E87" s="14"/>
      <c r="F87" s="14"/>
      <c r="G87" s="16" t="s">
        <v>241</v>
      </c>
      <c r="I87" s="17" t="s">
        <v>239</v>
      </c>
      <c r="J87" s="14"/>
      <c r="K87" s="14"/>
      <c r="L87" s="14" t="s">
        <v>240</v>
      </c>
      <c r="M87" s="14"/>
      <c r="N87" s="14"/>
      <c r="O87" s="16" t="s">
        <v>241</v>
      </c>
    </row>
    <row r="88">
      <c r="A88" s="14" t="str">
        <f>data!$B$10</f>
      </c>
      <c r="B88" s="18" t="str">
        <f>SUMPRODUCT((UPPER(D89:D93)&lt;&gt;"X")*((LEN(SUBSTITUTE(SUBSTITUTE(SUBSTITUTE(B89:B93," ",""),"0",""),"-",""))+LEN(SUBSTITUTE(SUBSTITUTE(SUBSTITUTE(C89:C93," ",""),"0",""),"-","")))&gt;(LEN(SUBSTITUTE(SUBSTITUTE(SUBSTITUTE(E89:E93," ",""),"0",""),"-",""))+LEN(SUBSTITUTE(SUBSTITUTE(SUBSTITUTE(F89:F93," ",""),"0",""),"-",""))))*1)</f>
      </c>
      <c r="C88" s="18" t="str">
        <f>SUMPRODUCT(LEN(SUBSTITUTE(SUBSTITUTE(SUBSTITUTE(B89:B93," ",""),"0",""),"-",""))+LEN(SUBSTITUTE(SUBSTITUTE(SUBSTITUTE(C89:C93," ",""),"0",""),"-","")))</f>
      </c>
      <c r="D88" s="18"/>
      <c r="E88" s="18" t="str">
        <f>SUMPRODUCT(LEN(SUBSTITUTE(SUBSTITUTE(SUBSTITUTE(E89:E93," ",""),"0",""),"-",""))+LEN(SUBSTITUTE(SUBSTITUTE(SUBSTITUTE(F89:F93," ",""),"0",""),"-","")))</f>
      </c>
      <c r="F88" s="18" t="str">
        <f>SUMPRODUCT((UPPER(D89:D93)&lt;&gt;"X")*((LEN(SUBSTITUTE(SUBSTITUTE(SUBSTITUTE(E89:E93," ",""),"0",""),"-",""))+LEN(SUBSTITUTE(SUBSTITUTE(SUBSTITUTE(F89:F93," ",""),"0",""),"-","")))&gt;(LEN(SUBSTITUTE(SUBSTITUTE(SUBSTITUTE(B89:B93," ",""),"0",""),"-",""))+LEN(SUBSTITUTE(SUBSTITUTE(SUBSTITUTE(C89:C93," ",""),"0",""),"-",""))))*1)</f>
      </c>
      <c r="G88" s="14" t="str">
        <f>data!$B$9</f>
      </c>
      <c r="I88" s="14" t="str">
        <f>data!$B$57</f>
      </c>
      <c r="J88" s="18" t="str">
        <f>SUMPRODUCT((UPPER(L89:L93)&lt;&gt;"X")*((LEN(SUBSTITUTE(SUBSTITUTE(SUBSTITUTE(J89:J93," ",""),"0",""),"-",""))+LEN(SUBSTITUTE(SUBSTITUTE(SUBSTITUTE(K89:K93," ",""),"0",""),"-","")))&gt;(LEN(SUBSTITUTE(SUBSTITUTE(SUBSTITUTE(M89:M93," ",""),"0",""),"-",""))+LEN(SUBSTITUTE(SUBSTITUTE(SUBSTITUTE(N89:N93," ",""),"0",""),"-",""))))*1)</f>
      </c>
      <c r="K88" s="18" t="str">
        <f>SUMPRODUCT(LEN(SUBSTITUTE(SUBSTITUTE(SUBSTITUTE(J89:J93," ",""),"0",""),"-",""))+LEN(SUBSTITUTE(SUBSTITUTE(SUBSTITUTE(K89:K93," ",""),"0",""),"-","")))</f>
      </c>
      <c r="L88" s="18"/>
      <c r="M88" s="18" t="str">
        <f>SUMPRODUCT(LEN(SUBSTITUTE(SUBSTITUTE(SUBSTITUTE(M89:M93," ",""),"0",""),"-",""))+LEN(SUBSTITUTE(SUBSTITUTE(SUBSTITUTE(N89:N93," ",""),"0",""),"-","")))</f>
      </c>
      <c r="N88" s="18" t="str">
        <f>SUMPRODUCT((UPPER(L89:L93)&lt;&gt;"X")*((LEN(SUBSTITUTE(SUBSTITUTE(SUBSTITUTE(M89:M93," ",""),"0",""),"-",""))+LEN(SUBSTITUTE(SUBSTITUTE(SUBSTITUTE(N89:N93," ",""),"0",""),"-","")))&gt;(LEN(SUBSTITUTE(SUBSTITUTE(SUBSTITUTE(J89:J93," ",""),"0",""),"-",""))+LEN(SUBSTITUTE(SUBSTITUTE(SUBSTITUTE(K89:K93," ",""),"0",""),"-",""))))*1)</f>
      </c>
      <c r="O88" s="14" t="str">
        <f>data!$B$56</f>
      </c>
    </row>
    <row r="89">
      <c r="A89" s="18">
        <v>1</v>
      </c>
      <c r="B89" s="18"/>
      <c r="C89" s="18"/>
      <c r="D89" s="18"/>
      <c r="E89" s="18"/>
      <c r="F89" s="18"/>
      <c r="G89" s="18">
        <v>1</v>
      </c>
      <c r="I89" s="18">
        <v>1</v>
      </c>
      <c r="J89" s="18"/>
      <c r="K89" s="18"/>
      <c r="L89" s="18"/>
      <c r="M89" s="18"/>
      <c r="N89" s="18"/>
      <c r="O89" s="18">
        <v>1</v>
      </c>
    </row>
    <row r="90">
      <c r="A90" s="18">
        <v>2</v>
      </c>
      <c r="B90" s="18"/>
      <c r="C90" s="18"/>
      <c r="D90" s="18"/>
      <c r="E90" s="18"/>
      <c r="F90" s="18"/>
      <c r="G90" s="18">
        <v>2</v>
      </c>
      <c r="I90" s="18">
        <v>2</v>
      </c>
      <c r="J90" s="18"/>
      <c r="K90" s="18"/>
      <c r="L90" s="18"/>
      <c r="M90" s="18"/>
      <c r="N90" s="18"/>
      <c r="O90" s="18">
        <v>2</v>
      </c>
    </row>
    <row r="91">
      <c r="A91" s="18">
        <v>3</v>
      </c>
      <c r="B91" s="18"/>
      <c r="C91" s="18"/>
      <c r="D91" s="18"/>
      <c r="E91" s="18"/>
      <c r="F91" s="18"/>
      <c r="G91" s="18">
        <v>3</v>
      </c>
      <c r="I91" s="18">
        <v>3</v>
      </c>
      <c r="J91" s="18"/>
      <c r="K91" s="18"/>
      <c r="L91" s="18"/>
      <c r="M91" s="18"/>
      <c r="N91" s="18"/>
      <c r="O91" s="18">
        <v>3</v>
      </c>
    </row>
    <row r="92">
      <c r="A92" s="18">
        <v>4</v>
      </c>
      <c r="B92" s="18"/>
      <c r="C92" s="18"/>
      <c r="D92" s="18"/>
      <c r="E92" s="18"/>
      <c r="F92" s="18"/>
      <c r="G92" s="18">
        <v>4</v>
      </c>
      <c r="I92" s="18">
        <v>4</v>
      </c>
      <c r="J92" s="18"/>
      <c r="K92" s="18"/>
      <c r="L92" s="18"/>
      <c r="M92" s="18"/>
      <c r="N92" s="18"/>
      <c r="O92" s="18">
        <v>4</v>
      </c>
    </row>
    <row r="93">
      <c r="A93" s="18">
        <v>5</v>
      </c>
      <c r="B93" s="18"/>
      <c r="C93" s="18"/>
      <c r="D93" s="18"/>
      <c r="E93" s="18"/>
      <c r="F93" s="18"/>
      <c r="G93" s="18">
        <v>5</v>
      </c>
      <c r="I93" s="18">
        <v>5</v>
      </c>
      <c r="J93" s="18"/>
      <c r="K93" s="18"/>
      <c r="L93" s="18"/>
      <c r="M93" s="18"/>
      <c r="N93" s="18"/>
      <c r="O93" s="18">
        <v>5</v>
      </c>
    </row>
    <row r="95">
      <c r="A95" s="17" t="s">
        <v>239</v>
      </c>
      <c r="B95" s="14"/>
      <c r="C95" s="14"/>
      <c r="D95" s="14" t="s">
        <v>240</v>
      </c>
      <c r="E95" s="14"/>
      <c r="F95" s="14"/>
      <c r="G95" s="16" t="s">
        <v>241</v>
      </c>
      <c r="I95" s="17" t="s">
        <v>239</v>
      </c>
      <c r="J95" s="14"/>
      <c r="K95" s="14"/>
      <c r="L95" s="14" t="s">
        <v>240</v>
      </c>
      <c r="M95" s="14"/>
      <c r="N95" s="14"/>
      <c r="O95" s="16" t="s">
        <v>241</v>
      </c>
    </row>
    <row r="96">
      <c r="A96" s="14" t="str">
        <f>data!$B$11</f>
      </c>
      <c r="B96" s="18" t="str">
        <f>SUMPRODUCT((UPPER(D97:D101)&lt;&gt;"X")*((LEN(SUBSTITUTE(SUBSTITUTE(SUBSTITUTE(B97:B101," ",""),"0",""),"-",""))+LEN(SUBSTITUTE(SUBSTITUTE(SUBSTITUTE(C97:C101," ",""),"0",""),"-","")))&gt;(LEN(SUBSTITUTE(SUBSTITUTE(SUBSTITUTE(E97:E101," ",""),"0",""),"-",""))+LEN(SUBSTITUTE(SUBSTITUTE(SUBSTITUTE(F97:F101," ",""),"0",""),"-",""))))*1)</f>
      </c>
      <c r="C96" s="18" t="str">
        <f>SUMPRODUCT(LEN(SUBSTITUTE(SUBSTITUTE(SUBSTITUTE(B97:B101," ",""),"0",""),"-",""))+LEN(SUBSTITUTE(SUBSTITUTE(SUBSTITUTE(C97:C101," ",""),"0",""),"-","")))</f>
      </c>
      <c r="D96" s="18"/>
      <c r="E96" s="18" t="str">
        <f>SUMPRODUCT(LEN(SUBSTITUTE(SUBSTITUTE(SUBSTITUTE(E97:E101," ",""),"0",""),"-",""))+LEN(SUBSTITUTE(SUBSTITUTE(SUBSTITUTE(F97:F101," ",""),"0",""),"-","")))</f>
      </c>
      <c r="F96" s="18" t="str">
        <f>SUMPRODUCT((UPPER(D97:D101)&lt;&gt;"X")*((LEN(SUBSTITUTE(SUBSTITUTE(SUBSTITUTE(E97:E101," ",""),"0",""),"-",""))+LEN(SUBSTITUTE(SUBSTITUTE(SUBSTITUTE(F97:F101," ",""),"0",""),"-","")))&gt;(LEN(SUBSTITUTE(SUBSTITUTE(SUBSTITUTE(B97:B101," ",""),"0",""),"-",""))+LEN(SUBSTITUTE(SUBSTITUTE(SUBSTITUTE(C97:C101," ",""),"0",""),"-",""))))*1)</f>
      </c>
      <c r="G96" s="14" t="str">
        <f>data!$B$9</f>
      </c>
      <c r="I96" s="14" t="str">
        <f>data!$B$58</f>
      </c>
      <c r="J96" s="18" t="str">
        <f>SUMPRODUCT((UPPER(L97:L101)&lt;&gt;"X")*((LEN(SUBSTITUTE(SUBSTITUTE(SUBSTITUTE(J97:J101," ",""),"0",""),"-",""))+LEN(SUBSTITUTE(SUBSTITUTE(SUBSTITUTE(K97:K101," ",""),"0",""),"-","")))&gt;(LEN(SUBSTITUTE(SUBSTITUTE(SUBSTITUTE(M97:M101," ",""),"0",""),"-",""))+LEN(SUBSTITUTE(SUBSTITUTE(SUBSTITUTE(N97:N101," ",""),"0",""),"-",""))))*1)</f>
      </c>
      <c r="K96" s="18" t="str">
        <f>SUMPRODUCT(LEN(SUBSTITUTE(SUBSTITUTE(SUBSTITUTE(J97:J101," ",""),"0",""),"-",""))+LEN(SUBSTITUTE(SUBSTITUTE(SUBSTITUTE(K97:K101," ",""),"0",""),"-","")))</f>
      </c>
      <c r="L96" s="18"/>
      <c r="M96" s="18" t="str">
        <f>SUMPRODUCT(LEN(SUBSTITUTE(SUBSTITUTE(SUBSTITUTE(M97:M101," ",""),"0",""),"-",""))+LEN(SUBSTITUTE(SUBSTITUTE(SUBSTITUTE(N97:N101," ",""),"0",""),"-","")))</f>
      </c>
      <c r="N96" s="18" t="str">
        <f>SUMPRODUCT((UPPER(L97:L101)&lt;&gt;"X")*((LEN(SUBSTITUTE(SUBSTITUTE(SUBSTITUTE(M97:M101," ",""),"0",""),"-",""))+LEN(SUBSTITUTE(SUBSTITUTE(SUBSTITUTE(N97:N101," ",""),"0",""),"-","")))&gt;(LEN(SUBSTITUTE(SUBSTITUTE(SUBSTITUTE(J97:J101," ",""),"0",""),"-",""))+LEN(SUBSTITUTE(SUBSTITUTE(SUBSTITUTE(K97:K101," ",""),"0",""),"-",""))))*1)</f>
      </c>
      <c r="O96" s="14" t="str">
        <f>data!$B$56</f>
      </c>
    </row>
    <row r="97">
      <c r="A97" s="18">
        <v>1</v>
      </c>
      <c r="B97" s="18"/>
      <c r="C97" s="18"/>
      <c r="D97" s="18"/>
      <c r="E97" s="18"/>
      <c r="F97" s="18"/>
      <c r="G97" s="18">
        <v>1</v>
      </c>
      <c r="I97" s="18">
        <v>1</v>
      </c>
      <c r="J97" s="18"/>
      <c r="K97" s="18"/>
      <c r="L97" s="18"/>
      <c r="M97" s="18"/>
      <c r="N97" s="18"/>
      <c r="O97" s="18">
        <v>1</v>
      </c>
    </row>
    <row r="98">
      <c r="A98" s="18">
        <v>2</v>
      </c>
      <c r="B98" s="18"/>
      <c r="C98" s="18"/>
      <c r="D98" s="18"/>
      <c r="E98" s="18"/>
      <c r="F98" s="18"/>
      <c r="G98" s="18">
        <v>2</v>
      </c>
      <c r="I98" s="18">
        <v>2</v>
      </c>
      <c r="J98" s="18"/>
      <c r="K98" s="18"/>
      <c r="L98" s="18"/>
      <c r="M98" s="18"/>
      <c r="N98" s="18"/>
      <c r="O98" s="18">
        <v>2</v>
      </c>
    </row>
    <row r="99">
      <c r="A99" s="18">
        <v>3</v>
      </c>
      <c r="B99" s="18"/>
      <c r="C99" s="18"/>
      <c r="D99" s="18"/>
      <c r="E99" s="18"/>
      <c r="F99" s="18"/>
      <c r="G99" s="18">
        <v>3</v>
      </c>
      <c r="I99" s="18">
        <v>3</v>
      </c>
      <c r="J99" s="18"/>
      <c r="K99" s="18"/>
      <c r="L99" s="18"/>
      <c r="M99" s="18"/>
      <c r="N99" s="18"/>
      <c r="O99" s="18">
        <v>3</v>
      </c>
    </row>
    <row r="100">
      <c r="A100" s="18">
        <v>4</v>
      </c>
      <c r="B100" s="18"/>
      <c r="C100" s="18"/>
      <c r="D100" s="18"/>
      <c r="E100" s="18"/>
      <c r="F100" s="18"/>
      <c r="G100" s="18">
        <v>4</v>
      </c>
      <c r="I100" s="18">
        <v>4</v>
      </c>
      <c r="J100" s="18"/>
      <c r="K100" s="18"/>
      <c r="L100" s="18"/>
      <c r="M100" s="18"/>
      <c r="N100" s="18"/>
      <c r="O100" s="18">
        <v>4</v>
      </c>
    </row>
    <row r="101">
      <c r="A101" s="18">
        <v>5</v>
      </c>
      <c r="B101" s="18"/>
      <c r="C101" s="18"/>
      <c r="D101" s="18"/>
      <c r="E101" s="18"/>
      <c r="F101" s="18"/>
      <c r="G101" s="18">
        <v>5</v>
      </c>
      <c r="I101" s="18">
        <v>5</v>
      </c>
      <c r="J101" s="18"/>
      <c r="K101" s="18"/>
      <c r="L101" s="18"/>
      <c r="M101" s="18"/>
      <c r="N101" s="18"/>
      <c r="O101" s="18">
        <v>5</v>
      </c>
    </row>
    <row r="103">
      <c r="A103" s="17" t="s">
        <v>239</v>
      </c>
      <c r="B103" s="14"/>
      <c r="C103" s="14"/>
      <c r="D103" s="14" t="s">
        <v>240</v>
      </c>
      <c r="E103" s="14"/>
      <c r="F103" s="14"/>
      <c r="G103" s="16" t="s">
        <v>241</v>
      </c>
      <c r="I103" s="17" t="s">
        <v>239</v>
      </c>
      <c r="J103" s="14"/>
      <c r="K103" s="14"/>
      <c r="L103" s="14" t="s">
        <v>240</v>
      </c>
      <c r="M103" s="14"/>
      <c r="N103" s="14"/>
      <c r="O103" s="16" t="s">
        <v>241</v>
      </c>
    </row>
    <row r="104">
      <c r="A104" s="14" t="str">
        <f>data!$B$11</f>
      </c>
      <c r="B104" s="18" t="str">
        <f>SUMPRODUCT((UPPER(D105:D109)&lt;&gt;"X")*((LEN(SUBSTITUTE(SUBSTITUTE(SUBSTITUTE(B105:B109," ",""),"0",""),"-",""))+LEN(SUBSTITUTE(SUBSTITUTE(SUBSTITUTE(C105:C109," ",""),"0",""),"-","")))&gt;(LEN(SUBSTITUTE(SUBSTITUTE(SUBSTITUTE(E105:E109," ",""),"0",""),"-",""))+LEN(SUBSTITUTE(SUBSTITUTE(SUBSTITUTE(F105:F109," ",""),"0",""),"-",""))))*1)</f>
      </c>
      <c r="C104" s="18" t="str">
        <f>SUMPRODUCT(LEN(SUBSTITUTE(SUBSTITUTE(SUBSTITUTE(B105:B109," ",""),"0",""),"-",""))+LEN(SUBSTITUTE(SUBSTITUTE(SUBSTITUTE(C105:C109," ",""),"0",""),"-","")))</f>
      </c>
      <c r="D104" s="18"/>
      <c r="E104" s="18" t="str">
        <f>SUMPRODUCT(LEN(SUBSTITUTE(SUBSTITUTE(SUBSTITUTE(E105:E109," ",""),"0",""),"-",""))+LEN(SUBSTITUTE(SUBSTITUTE(SUBSTITUTE(F105:F109," ",""),"0",""),"-","")))</f>
      </c>
      <c r="F104" s="18" t="str">
        <f>SUMPRODUCT((UPPER(D105:D109)&lt;&gt;"X")*((LEN(SUBSTITUTE(SUBSTITUTE(SUBSTITUTE(E105:E109," ",""),"0",""),"-",""))+LEN(SUBSTITUTE(SUBSTITUTE(SUBSTITUTE(F105:F109," ",""),"0",""),"-","")))&gt;(LEN(SUBSTITUTE(SUBSTITUTE(SUBSTITUTE(B105:B109," ",""),"0",""),"-",""))+LEN(SUBSTITUTE(SUBSTITUTE(SUBSTITUTE(C105:C109," ",""),"0",""),"-",""))))*1)</f>
      </c>
      <c r="G104" s="14" t="str">
        <f>data!$B$10</f>
      </c>
      <c r="I104" s="14" t="str">
        <f>data!$B$58</f>
      </c>
      <c r="J104" s="18" t="str">
        <f>SUMPRODUCT((UPPER(L105:L109)&lt;&gt;"X")*((LEN(SUBSTITUTE(SUBSTITUTE(SUBSTITUTE(J105:J109," ",""),"0",""),"-",""))+LEN(SUBSTITUTE(SUBSTITUTE(SUBSTITUTE(K105:K109," ",""),"0",""),"-","")))&gt;(LEN(SUBSTITUTE(SUBSTITUTE(SUBSTITUTE(M105:M109," ",""),"0",""),"-",""))+LEN(SUBSTITUTE(SUBSTITUTE(SUBSTITUTE(N105:N109," ",""),"0",""),"-",""))))*1)</f>
      </c>
      <c r="K104" s="18" t="str">
        <f>SUMPRODUCT(LEN(SUBSTITUTE(SUBSTITUTE(SUBSTITUTE(J105:J109," ",""),"0",""),"-",""))+LEN(SUBSTITUTE(SUBSTITUTE(SUBSTITUTE(K105:K109," ",""),"0",""),"-","")))</f>
      </c>
      <c r="L104" s="18"/>
      <c r="M104" s="18" t="str">
        <f>SUMPRODUCT(LEN(SUBSTITUTE(SUBSTITUTE(SUBSTITUTE(M105:M109," ",""),"0",""),"-",""))+LEN(SUBSTITUTE(SUBSTITUTE(SUBSTITUTE(N105:N109," ",""),"0",""),"-","")))</f>
      </c>
      <c r="N104" s="18" t="str">
        <f>SUMPRODUCT((UPPER(L105:L109)&lt;&gt;"X")*((LEN(SUBSTITUTE(SUBSTITUTE(SUBSTITUTE(M105:M109," ",""),"0",""),"-",""))+LEN(SUBSTITUTE(SUBSTITUTE(SUBSTITUTE(N105:N109," ",""),"0",""),"-","")))&gt;(LEN(SUBSTITUTE(SUBSTITUTE(SUBSTITUTE(J105:J109," ",""),"0",""),"-",""))+LEN(SUBSTITUTE(SUBSTITUTE(SUBSTITUTE(K105:K109," ",""),"0",""),"-",""))))*1)</f>
      </c>
      <c r="O104" s="14" t="str">
        <f>data!$B$57</f>
      </c>
    </row>
    <row r="105">
      <c r="A105" s="18">
        <v>1</v>
      </c>
      <c r="B105" s="18"/>
      <c r="C105" s="18"/>
      <c r="D105" s="18"/>
      <c r="E105" s="18"/>
      <c r="F105" s="18"/>
      <c r="G105" s="18">
        <v>1</v>
      </c>
      <c r="I105" s="18">
        <v>1</v>
      </c>
      <c r="J105" s="18"/>
      <c r="K105" s="18"/>
      <c r="L105" s="18"/>
      <c r="M105" s="18"/>
      <c r="N105" s="18"/>
      <c r="O105" s="18">
        <v>1</v>
      </c>
    </row>
    <row r="106">
      <c r="A106" s="18">
        <v>2</v>
      </c>
      <c r="B106" s="18"/>
      <c r="C106" s="18"/>
      <c r="D106" s="18"/>
      <c r="E106" s="18"/>
      <c r="F106" s="18"/>
      <c r="G106" s="18">
        <v>2</v>
      </c>
      <c r="I106" s="18">
        <v>2</v>
      </c>
      <c r="J106" s="18"/>
      <c r="K106" s="18"/>
      <c r="L106" s="18"/>
      <c r="M106" s="18"/>
      <c r="N106" s="18"/>
      <c r="O106" s="18">
        <v>2</v>
      </c>
    </row>
    <row r="107">
      <c r="A107" s="18">
        <v>3</v>
      </c>
      <c r="B107" s="18"/>
      <c r="C107" s="18"/>
      <c r="D107" s="18"/>
      <c r="E107" s="18"/>
      <c r="F107" s="18"/>
      <c r="G107" s="18">
        <v>3</v>
      </c>
      <c r="I107" s="18">
        <v>3</v>
      </c>
      <c r="J107" s="18"/>
      <c r="K107" s="18"/>
      <c r="L107" s="18"/>
      <c r="M107" s="18"/>
      <c r="N107" s="18"/>
      <c r="O107" s="18">
        <v>3</v>
      </c>
    </row>
    <row r="108">
      <c r="A108" s="18">
        <v>4</v>
      </c>
      <c r="B108" s="18"/>
      <c r="C108" s="18"/>
      <c r="D108" s="18"/>
      <c r="E108" s="18"/>
      <c r="F108" s="18"/>
      <c r="G108" s="18">
        <v>4</v>
      </c>
      <c r="I108" s="18">
        <v>4</v>
      </c>
      <c r="J108" s="18"/>
      <c r="K108" s="18"/>
      <c r="L108" s="18"/>
      <c r="M108" s="18"/>
      <c r="N108" s="18"/>
      <c r="O108" s="18">
        <v>4</v>
      </c>
    </row>
    <row r="109">
      <c r="A109" s="18">
        <v>5</v>
      </c>
      <c r="B109" s="18"/>
      <c r="C109" s="18"/>
      <c r="D109" s="18"/>
      <c r="E109" s="18"/>
      <c r="F109" s="18"/>
      <c r="G109" s="18">
        <v>5</v>
      </c>
      <c r="I109" s="18">
        <v>5</v>
      </c>
      <c r="J109" s="18"/>
      <c r="K109" s="18"/>
      <c r="L109" s="18"/>
      <c r="M109" s="18"/>
      <c r="N109" s="18"/>
      <c r="O109" s="18">
        <v>5</v>
      </c>
    </row>
    <row r="112">
      <c r="A112" s="13"/>
      <c r="B112" s="13" t="s">
        <v>242</v>
      </c>
      <c r="C112" s="13" t="s">
        <v>243</v>
      </c>
      <c r="D112" s="13" t="s">
        <v>244</v>
      </c>
      <c r="I112" s="13"/>
      <c r="J112" s="13" t="s">
        <v>242</v>
      </c>
      <c r="K112" s="13" t="s">
        <v>243</v>
      </c>
      <c r="L112" s="13" t="s">
        <v>244</v>
      </c>
    </row>
    <row r="113">
      <c r="A113" t="str">
        <f>data!$B$9</f>
      </c>
      <c r="B113" s="14" t="str">
        <f>IF(OR(COUNTA(B89:C93,E89:F93)&gt;0,OR(D88="X",D88="x")),IF(OR(D88="X",D88="x"),0,IF(OR(F88&gt;B88,AND(F88=B88,E88&gt;C88)),1,0)),0)+IF(OR(COUNTA(B97:C101,E97:F101)&gt;0,OR(D96="X",D96="x")),IF(OR(D96="X",D96="x"),0,IF(OR(F96&gt;B96,AND(F96=B96,E96&gt;C96)),1,0)),0)</f>
      </c>
      <c r="C113" s="14" t="str">
        <f>IF(OR(COUNTA(B89:C93,E89:F93)&gt;0,OR(D88="X",D88="x")),IF(OR(D88="X",D88="x"),0,IF(OR(F88&lt;B88,AND(F88=B88,E88&lt;C88)),1,0)),0)+IF(OR(COUNTA(B97:C101,E97:F101)&gt;0,OR(D96="X",D96="x")),IF(OR(D96="X",D96="x"),0,IF(OR(F96&lt;B96,AND(F96=B96,E96&lt;C96)),1,0)),0)</f>
      </c>
      <c r="D113" s="14" t="str">
        <f>IF(OR(COUNTA(B89:C93,E89:F93)&gt;0,OR(D88="X",D88="x")),IF(OR(D88="X",D88="x"),1,0),0)+IF(OR(COUNTA(B97:C101,E97:F101)&gt;0,OR(D96="X",D96="x")),IF(OR(D96="X",D96="x"),1,0),0)</f>
      </c>
      <c r="I113" t="str">
        <f>data!$B$56</f>
      </c>
      <c r="J113" s="14" t="str">
        <f>IF(OR(COUNTA(J89:K93,M89:N93)&gt;0,OR(L88="X",L88="x")),IF(OR(L88="X",L88="x"),0,IF(OR(N88&gt;J88,AND(N88=J88,M88&gt;K88)),1,0)),0)+IF(OR(COUNTA(J97:K101,M97:N101)&gt;0,OR(L96="X",L96="x")),IF(OR(L96="X",L96="x"),0,IF(OR(N96&gt;J96,AND(N96=J96,M96&gt;K96)),1,0)),0)</f>
      </c>
      <c r="K113" s="14" t="str">
        <f>IF(OR(COUNTA(J89:K93,M89:N93)&gt;0,OR(L88="X",L88="x")),IF(OR(L88="X",L88="x"),0,IF(OR(N88&lt;J88,AND(N88=J88,M88&lt;K88)),1,0)),0)+IF(OR(COUNTA(J97:K101,M97:N101)&gt;0,OR(L96="X",L96="x")),IF(OR(L96="X",L96="x"),0,IF(OR(N96&lt;J96,AND(N96=J96,M96&lt;K96)),1,0)),0)</f>
      </c>
      <c r="L113" s="14" t="str">
        <f>IF(OR(COUNTA(J89:K93,M89:N93)&gt;0,OR(L88="X",L88="x")),IF(OR(L88="X",L88="x"),1,0),0)+IF(OR(COUNTA(J97:K101,M97:N101)&gt;0,OR(L96="X",L96="x")),IF(OR(L96="X",L96="x"),1,0),0)</f>
      </c>
    </row>
    <row r="114">
      <c r="A114" t="str">
        <f>data!$B$10</f>
      </c>
      <c r="B114" s="14" t="str">
        <f>IF(OR(COUNTA(B89:C93,E89:F93)&gt;0,OR(D88="X",D88="x")),IF(OR(D88="X",D88="x"),0,IF(OR(B88&gt;F88,AND(B88=F88,C88&gt;E88)),1,0)),0)+IF(OR(COUNTA(B105:C109,E105:F109)&gt;0,OR(D104="X",D104="x")),IF(OR(D104="X",D104="x"),0,IF(OR(F104&gt;B104,AND(F104=B104,E104&gt;C104)),1,0)),0)</f>
      </c>
      <c r="C114" s="14" t="str">
        <f>IF(OR(COUNTA(B89:C93,E89:F93)&gt;0,OR(D88="X",D88="x")),IF(OR(D88="X",D88="x"),0,IF(OR(B88&lt;F88,AND(B88=F88,C88&lt;E88)),1,0)),0)+IF(OR(COUNTA(B105:C109,E105:F109)&gt;0,OR(D104="X",D104="x")),IF(OR(D104="X",D104="x"),0,IF(OR(F104&lt;B104,AND(F104=B104,E104&lt;C104)),1,0)),0)</f>
      </c>
      <c r="D114" s="14" t="str">
        <f>IF(OR(COUNTA(B89:C93,E89:F93)&gt;0,OR(D88="X",D88="x")),IF(OR(D88="X",D88="x"),1,0),0)+IF(OR(COUNTA(B105:C109,E105:F109)&gt;0,OR(D104="X",D104="x")),IF(OR(D104="X",D104="x"),1,0),0)</f>
      </c>
      <c r="I114" t="str">
        <f>data!$B$57</f>
      </c>
      <c r="J114" s="14" t="str">
        <f>IF(OR(COUNTA(J89:K93,M89:N93)&gt;0,OR(L88="X",L88="x")),IF(OR(L88="X",L88="x"),0,IF(OR(J88&gt;N88,AND(J88=N88,K88&gt;M88)),1,0)),0)+IF(OR(COUNTA(J105:K109,M105:N109)&gt;0,OR(L104="X",L104="x")),IF(OR(L104="X",L104="x"),0,IF(OR(N104&gt;J104,AND(N104=J104,M104&gt;K104)),1,0)),0)</f>
      </c>
      <c r="K114" s="14" t="str">
        <f>IF(OR(COUNTA(J89:K93,M89:N93)&gt;0,OR(L88="X",L88="x")),IF(OR(L88="X",L88="x"),0,IF(OR(J88&lt;N88,AND(J88=N88,K88&lt;M88)),1,0)),0)+IF(OR(COUNTA(J105:K109,M105:N109)&gt;0,OR(L104="X",L104="x")),IF(OR(L104="X",L104="x"),0,IF(OR(N104&lt;J104,AND(N104=J104,M104&lt;K104)),1,0)),0)</f>
      </c>
      <c r="L114" s="14" t="str">
        <f>IF(OR(COUNTA(J89:K93,M89:N93)&gt;0,OR(L88="X",L88="x")),IF(OR(L88="X",L88="x"),1,0),0)+IF(OR(COUNTA(J105:K109,M105:N109)&gt;0,OR(L104="X",L104="x")),IF(OR(L104="X",L104="x"),1,0),0)</f>
      </c>
    </row>
    <row r="115">
      <c r="A115" t="str">
        <f>data!$B$11</f>
      </c>
      <c r="B115" s="14" t="str">
        <f>IF(OR(COUNTA(B97:C101,E97:F101)&gt;0,OR(D96="X",D96="x")),IF(OR(D96="X",D96="x"),0,IF(OR(B96&gt;F96,AND(B96=F96,C96&gt;E96)),1,0)),0)+IF(OR(COUNTA(B105:C109,E105:F109)&gt;0,OR(D104="X",D104="x")),IF(OR(D104="X",D104="x"),0,IF(OR(B104&gt;F104,AND(B104=F104,C104&gt;E104)),1,0)),0)</f>
      </c>
      <c r="C115" s="14" t="str">
        <f>IF(OR(COUNTA(B97:C101,E97:F101)&gt;0,OR(D96="X",D96="x")),IF(OR(D96="X",D96="x"),0,IF(OR(B96&lt;F96,AND(B96=F96,C96&lt;E96)),1,0)),0)+IF(OR(COUNTA(B105:C109,E105:F109)&gt;0,OR(D104="X",D104="x")),IF(OR(D104="X",D104="x"),0,IF(OR(B104&lt;F104,AND(B104=F104,C104&lt;E104)),1,0)),0)</f>
      </c>
      <c r="D115" s="14" t="str">
        <f>IF(OR(COUNTA(B97:C101,E97:F101)&gt;0,OR(D96="X",D96="x")),IF(OR(D96="X",D96="x"),1,0),0)+IF(OR(COUNTA(B105:C109,E105:F109)&gt;0,OR(D104="X",D104="x")),IF(OR(D104="X",D104="x"),1,0),0)</f>
      </c>
      <c r="I115" t="str">
        <f>data!$B$58</f>
      </c>
      <c r="J115" s="14" t="str">
        <f>IF(OR(COUNTA(J97:K101,M97:N101)&gt;0,OR(L96="X",L96="x")),IF(OR(L96="X",L96="x"),0,IF(OR(J96&gt;N96,AND(J96=N96,K96&gt;M96)),1,0)),0)+IF(OR(COUNTA(J105:K109,M105:N109)&gt;0,OR(L104="X",L104="x")),IF(OR(L104="X",L104="x"),0,IF(OR(J104&gt;N104,AND(J104=N104,K104&gt;M104)),1,0)),0)</f>
      </c>
      <c r="K115" s="14" t="str">
        <f>IF(OR(COUNTA(J97:K101,M97:N101)&gt;0,OR(L96="X",L96="x")),IF(OR(L96="X",L96="x"),0,IF(OR(J96&lt;N96,AND(J96=N96,K96&lt;M96)),1,0)),0)+IF(OR(COUNTA(J105:K109,M105:N109)&gt;0,OR(L104="X",L104="x")),IF(OR(L104="X",L104="x"),0,IF(OR(J104&lt;N104,AND(J104=N104,K104&lt;M104)),1,0)),0)</f>
      </c>
      <c r="L115" s="14" t="str">
        <f>IF(OR(COUNTA(J97:K101,M97:N101)&gt;0,OR(L96="X",L96="x")),IF(OR(L96="X",L96="x"),1,0),0)+IF(OR(COUNTA(J105:K109,M105:N109)&gt;0,OR(L104="X",L104="x")),IF(OR(L104="X",L104="x"),1,0),0)</f>
      </c>
    </row>
    <row r="117">
      <c r="A117" s="13"/>
      <c r="B117" s="13" t="s">
        <v>245</v>
      </c>
      <c r="C117" s="13" t="s">
        <v>246</v>
      </c>
      <c r="D117" s="13" t="s">
        <v>247</v>
      </c>
      <c r="E117" s="13" t="s">
        <v>248</v>
      </c>
      <c r="F117" s="13" t="s">
        <v>249</v>
      </c>
      <c r="I117" s="13"/>
      <c r="J117" s="13" t="s">
        <v>245</v>
      </c>
      <c r="K117" s="13" t="s">
        <v>246</v>
      </c>
      <c r="L117" s="13" t="s">
        <v>247</v>
      </c>
      <c r="M117" s="13" t="s">
        <v>248</v>
      </c>
      <c r="N117" s="13" t="s">
        <v>249</v>
      </c>
    </row>
    <row r="118">
      <c r="A118" t="str">
        <f>data!$B$9</f>
      </c>
      <c r="B118" s="14" t="str">
        <f>IF(OR(COUNTA(B89:C93,E89:F93)&gt;0,OR(D88="X",D88="x")),F88,0)+IF(OR(COUNTA(B97:C101,E97:F101)&gt;0,OR(D96="X",D96="x")),F96,0)</f>
      </c>
      <c r="C118" s="14" t="str">
        <f>IF(OR(COUNTA(B89:C93,E89:F93)&gt;0,OR(D88="X",D88="x")),B88,0)+IF(OR(COUNTA(B97:C101,E97:F101)&gt;0,OR(D96="X",D96="x")),B96,0)</f>
      </c>
      <c r="D118" s="14" t="str">
        <f>IF(OR(COUNTA(B89:C93,E89:F93)&gt;0,OR(D88="X",D88="x")),(IF(OR(D89="X",D89="x"),1,0)+IF(OR(D90="X",D90="x"),1,0)+IF(OR(D91="X",D91="x"),1,0)+IF(OR(D92="X",D92="x"),1,0)+IF(OR(D93="X",D93="x"),1,0)),0)+IF(OR(COUNTA(B97:C101,E97:F101)&gt;0,OR(D96="X",D96="x")),(IF(OR(D97="X",D97="x"),1,0)+IF(OR(D98="X",D98="x"),1,0)+IF(OR(D99="X",D99="x"),1,0)+IF(OR(D100="X",D100="x"),1,0)+IF(OR(D101="X",D101="x"),1,0)),0)</f>
      </c>
      <c r="E118" s="14" t="str">
        <f>E88+E96</f>
      </c>
      <c r="F118" s="14" t="str">
        <f>C88+C96</f>
      </c>
      <c r="I118" t="str">
        <f>data!$B$56</f>
      </c>
      <c r="J118" s="14" t="str">
        <f>IF(OR(COUNTA(J89:K93,M89:N93)&gt;0,OR(L88="X",L88="x")),N88,0)+IF(OR(COUNTA(J97:K101,M97:N101)&gt;0,OR(L96="X",L96="x")),N96,0)</f>
      </c>
      <c r="K118" s="14" t="str">
        <f>IF(OR(COUNTA(J89:K93,M89:N93)&gt;0,OR(L88="X",L88="x")),J88,0)+IF(OR(COUNTA(J97:K101,M97:N101)&gt;0,OR(L96="X",L96="x")),J96,0)</f>
      </c>
      <c r="L118" s="14" t="str">
        <f>IF(OR(COUNTA(J89:K93,M89:N93)&gt;0,OR(L88="X",L88="x")),(IF(OR(L89="X",L89="x"),1,0)+IF(OR(L90="X",L90="x"),1,0)+IF(OR(L91="X",L91="x"),1,0)+IF(OR(L92="X",L92="x"),1,0)+IF(OR(L93="X",L93="x"),1,0)),0)+IF(OR(COUNTA(J97:K101,M97:N101)&gt;0,OR(L96="X",L96="x")),(IF(OR(L97="X",L97="x"),1,0)+IF(OR(L98="X",L98="x"),1,0)+IF(OR(L99="X",L99="x"),1,0)+IF(OR(L100="X",L100="x"),1,0)+IF(OR(L101="X",L101="x"),1,0)),0)</f>
      </c>
      <c r="M118" s="14" t="str">
        <f>M88+M96</f>
      </c>
      <c r="N118" s="14" t="str">
        <f>K88+K96</f>
      </c>
    </row>
    <row r="119">
      <c r="A119" t="str">
        <f>data!$B$10</f>
      </c>
      <c r="B119" s="14" t="str">
        <f>IF(OR(COUNTA(B89:C93,E89:F93)&gt;0,OR(D88="X",D88="x")),B88,0)+IF(OR(COUNTA(B105:C109,E105:F109)&gt;0,OR(D104="X",D104="x")),F104,0)</f>
      </c>
      <c r="C119" s="14" t="str">
        <f>IF(OR(COUNTA(B89:C93,E89:F93)&gt;0,OR(D88="X",D88="x")),F88,0)+IF(OR(COUNTA(B105:C109,E105:F109)&gt;0,OR(D104="X",D104="x")),B104,0)</f>
      </c>
      <c r="D119" s="14" t="str">
        <f>IF(OR(COUNTA(B89:C93,E89:F93)&gt;0,OR(D88="X",D88="x")),(IF(OR(D89="X",D89="x"),1,0)+IF(OR(D90="X",D90="x"),1,0)+IF(OR(D91="X",D91="x"),1,0)+IF(OR(D92="X",D92="x"),1,0)+IF(OR(D93="X",D93="x"),1,0)),0)+IF(OR(COUNTA(B105:C109,E105:F109)&gt;0,OR(D104="X",D104="x")),(IF(OR(D105="X",D105="x"),1,0)+IF(OR(D106="X",D106="x"),1,0)+IF(OR(D107="X",D107="x"),1,0)+IF(OR(D108="X",D108="x"),1,0)+IF(OR(D109="X",D109="x"),1,0)),0)</f>
      </c>
      <c r="E119" s="14" t="str">
        <f>C88+E104</f>
      </c>
      <c r="F119" s="14" t="str">
        <f>E88+C104</f>
      </c>
      <c r="I119" t="str">
        <f>data!$B$57</f>
      </c>
      <c r="J119" s="14" t="str">
        <f>IF(OR(COUNTA(J89:K93,M89:N93)&gt;0,OR(L88="X",L88="x")),J88,0)+IF(OR(COUNTA(J105:K109,M105:N109)&gt;0,OR(L104="X",L104="x")),N104,0)</f>
      </c>
      <c r="K119" s="14" t="str">
        <f>IF(OR(COUNTA(J89:K93,M89:N93)&gt;0,OR(L88="X",L88="x")),N88,0)+IF(OR(COUNTA(J105:K109,M105:N109)&gt;0,OR(L104="X",L104="x")),J104,0)</f>
      </c>
      <c r="L119" s="14" t="str">
        <f>IF(OR(COUNTA(J89:K93,M89:N93)&gt;0,OR(L88="X",L88="x")),(IF(OR(L89="X",L89="x"),1,0)+IF(OR(L90="X",L90="x"),1,0)+IF(OR(L91="X",L91="x"),1,0)+IF(OR(L92="X",L92="x"),1,0)+IF(OR(L93="X",L93="x"),1,0)),0)+IF(OR(COUNTA(J105:K109,M105:N109)&gt;0,OR(L104="X",L104="x")),(IF(OR(L105="X",L105="x"),1,0)+IF(OR(L106="X",L106="x"),1,0)+IF(OR(L107="X",L107="x"),1,0)+IF(OR(L108="X",L108="x"),1,0)+IF(OR(L109="X",L109="x"),1,0)),0)</f>
      </c>
      <c r="M119" s="14" t="str">
        <f>K88+M104</f>
      </c>
      <c r="N119" s="14" t="str">
        <f>M88+K104</f>
      </c>
    </row>
    <row r="120">
      <c r="A120" t="str">
        <f>data!$B$11</f>
      </c>
      <c r="B120" s="14" t="str">
        <f>IF(OR(COUNTA(B97:C101,E97:F101)&gt;0,OR(D96="X",D96="x")),B96,0)+IF(OR(COUNTA(B105:C109,E105:F109)&gt;0,OR(D104="X",D104="x")),B104,0)</f>
      </c>
      <c r="C120" s="14" t="str">
        <f>IF(OR(COUNTA(B97:C101,E97:F101)&gt;0,OR(D96="X",D96="x")),F96,0)+IF(OR(COUNTA(B105:C109,E105:F109)&gt;0,OR(D104="X",D104="x")),F104,0)</f>
      </c>
      <c r="D120" s="14" t="str">
        <f>IF(OR(COUNTA(B97:C101,E97:F101)&gt;0,OR(D96="X",D96="x")),(IF(OR(D97="X",D97="x"),1,0)+IF(OR(D98="X",D98="x"),1,0)+IF(OR(D99="X",D99="x"),1,0)+IF(OR(D100="X",D100="x"),1,0)+IF(OR(D101="X",D101="x"),1,0)),0)+IF(OR(COUNTA(B105:C109,E105:F109)&gt;0,OR(D104="X",D104="x")),(IF(OR(D105="X",D105="x"),1,0)+IF(OR(D106="X",D106="x"),1,0)+IF(OR(D107="X",D107="x"),1,0)+IF(OR(D108="X",D108="x"),1,0)+IF(OR(D109="X",D109="x"),1,0)),0)</f>
      </c>
      <c r="E120" s="14" t="str">
        <f>C96+C104</f>
      </c>
      <c r="F120" s="14" t="str">
        <f>E96+E104</f>
      </c>
      <c r="I120" t="str">
        <f>data!$B$58</f>
      </c>
      <c r="J120" s="14" t="str">
        <f>IF(OR(COUNTA(J97:K101,M97:N101)&gt;0,OR(L96="X",L96="x")),J96,0)+IF(OR(COUNTA(J105:K109,M105:N109)&gt;0,OR(L104="X",L104="x")),J104,0)</f>
      </c>
      <c r="K120" s="14" t="str">
        <f>IF(OR(COUNTA(J97:K101,M97:N101)&gt;0,OR(L96="X",L96="x")),N96,0)+IF(OR(COUNTA(J105:K109,M105:N109)&gt;0,OR(L104="X",L104="x")),N104,0)</f>
      </c>
      <c r="L120" s="14" t="str">
        <f>IF(OR(COUNTA(J97:K101,M97:N101)&gt;0,OR(L96="X",L96="x")),(IF(OR(L97="X",L97="x"),1,0)+IF(OR(L98="X",L98="x"),1,0)+IF(OR(L99="X",L99="x"),1,0)+IF(OR(L100="X",L100="x"),1,0)+IF(OR(L101="X",L101="x"),1,0)),0)+IF(OR(COUNTA(J105:K109,M105:N109)&gt;0,OR(L104="X",L104="x")),(IF(OR(L105="X",L105="x"),1,0)+IF(OR(L106="X",L106="x"),1,0)+IF(OR(L107="X",L107="x"),1,0)+IF(OR(L108="X",L108="x"),1,0)+IF(OR(L109="X",L109="x"),1,0)),0)</f>
      </c>
      <c r="M120" s="14" t="str">
        <f>K96+K104</f>
      </c>
      <c r="N120" s="14" t="str">
        <f>M96+M104</f>
      </c>
    </row>
    <row r="123">
      <c r="F123" s="13"/>
      <c r="G123" s="13" t="s">
        <v>250</v>
      </c>
      <c r="N123" s="13"/>
      <c r="O123" s="13" t="s">
        <v>250</v>
      </c>
    </row>
    <row r="124">
      <c r="F124" t="s">
        <v>251</v>
      </c>
      <c r="G124" s="19"/>
      <c r="N124" t="s">
        <v>251</v>
      </c>
      <c r="O124" s="19"/>
    </row>
    <row r="125">
      <c r="F125" t="s">
        <v>252</v>
      </c>
      <c r="G125" s="19"/>
      <c r="N125" t="s">
        <v>252</v>
      </c>
      <c r="O125" s="19"/>
    </row>
    <row r="126">
      <c r="F126" t="s">
        <v>253</v>
      </c>
      <c r="G126" s="19"/>
      <c r="N126" t="s">
        <v>253</v>
      </c>
      <c r="O126" s="19"/>
    </row>
    <row r="128">
      <c r="A128" s="13" t="str">
        <f>data!$A$14</f>
      </c>
      <c r="B128" s="13"/>
      <c r="C128" s="13"/>
      <c r="D128" s="13"/>
      <c r="E128" s="13"/>
      <c r="F128" s="13"/>
      <c r="G128" s="13"/>
      <c r="I128" s="13" t="str">
        <f>data!$A$61</f>
      </c>
      <c r="J128" s="13"/>
      <c r="K128" s="13"/>
      <c r="L128" s="13"/>
      <c r="M128" s="13"/>
      <c r="N128" s="13"/>
      <c r="O128" s="13"/>
    </row>
    <row r="129">
      <c r="A129" s="17" t="s">
        <v>239</v>
      </c>
      <c r="B129" s="14"/>
      <c r="C129" s="14"/>
      <c r="D129" s="14" t="s">
        <v>240</v>
      </c>
      <c r="E129" s="14"/>
      <c r="F129" s="14"/>
      <c r="G129" s="16" t="s">
        <v>241</v>
      </c>
      <c r="I129" s="17" t="s">
        <v>239</v>
      </c>
      <c r="J129" s="14"/>
      <c r="K129" s="14"/>
      <c r="L129" s="14" t="s">
        <v>240</v>
      </c>
      <c r="M129" s="14"/>
      <c r="N129" s="14"/>
      <c r="O129" s="16" t="s">
        <v>241</v>
      </c>
    </row>
    <row r="130">
      <c r="A130" s="14" t="str">
        <f>data!$B$13</f>
      </c>
      <c r="B130" s="18" t="str">
        <f>SUMPRODUCT((UPPER(D131:D135)&lt;&gt;"X")*((LEN(SUBSTITUTE(SUBSTITUTE(SUBSTITUTE(B131:B135," ",""),"0",""),"-",""))+LEN(SUBSTITUTE(SUBSTITUTE(SUBSTITUTE(C131:C135," ",""),"0",""),"-","")))&gt;(LEN(SUBSTITUTE(SUBSTITUTE(SUBSTITUTE(E131:E135," ",""),"0",""),"-",""))+LEN(SUBSTITUTE(SUBSTITUTE(SUBSTITUTE(F131:F135," ",""),"0",""),"-",""))))*1)</f>
      </c>
      <c r="C130" s="18" t="str">
        <f>SUMPRODUCT(LEN(SUBSTITUTE(SUBSTITUTE(SUBSTITUTE(B131:B135," ",""),"0",""),"-",""))+LEN(SUBSTITUTE(SUBSTITUTE(SUBSTITUTE(C131:C135," ",""),"0",""),"-","")))</f>
      </c>
      <c r="D130" s="18"/>
      <c r="E130" s="18" t="str">
        <f>SUMPRODUCT(LEN(SUBSTITUTE(SUBSTITUTE(SUBSTITUTE(E131:E135," ",""),"0",""),"-",""))+LEN(SUBSTITUTE(SUBSTITUTE(SUBSTITUTE(F131:F135," ",""),"0",""),"-","")))</f>
      </c>
      <c r="F130" s="18" t="str">
        <f>SUMPRODUCT((UPPER(D131:D135)&lt;&gt;"X")*((LEN(SUBSTITUTE(SUBSTITUTE(SUBSTITUTE(E131:E135," ",""),"0",""),"-",""))+LEN(SUBSTITUTE(SUBSTITUTE(SUBSTITUTE(F131:F135," ",""),"0",""),"-","")))&gt;(LEN(SUBSTITUTE(SUBSTITUTE(SUBSTITUTE(B131:B135," ",""),"0",""),"-",""))+LEN(SUBSTITUTE(SUBSTITUTE(SUBSTITUTE(C131:C135," ",""),"0",""),"-",""))))*1)</f>
      </c>
      <c r="G130" s="14" t="str">
        <f>data!$B$12</f>
      </c>
      <c r="I130" s="14" t="str">
        <f>data!$B$60</f>
      </c>
      <c r="J130" s="18" t="str">
        <f>SUMPRODUCT((UPPER(L131:L135)&lt;&gt;"X")*((LEN(SUBSTITUTE(SUBSTITUTE(SUBSTITUTE(J131:J135," ",""),"0",""),"-",""))+LEN(SUBSTITUTE(SUBSTITUTE(SUBSTITUTE(K131:K135," ",""),"0",""),"-","")))&gt;(LEN(SUBSTITUTE(SUBSTITUTE(SUBSTITUTE(M131:M135," ",""),"0",""),"-",""))+LEN(SUBSTITUTE(SUBSTITUTE(SUBSTITUTE(N131:N135," ",""),"0",""),"-",""))))*1)</f>
      </c>
      <c r="K130" s="18" t="str">
        <f>SUMPRODUCT(LEN(SUBSTITUTE(SUBSTITUTE(SUBSTITUTE(J131:J135," ",""),"0",""),"-",""))+LEN(SUBSTITUTE(SUBSTITUTE(SUBSTITUTE(K131:K135," ",""),"0",""),"-","")))</f>
      </c>
      <c r="L130" s="18"/>
      <c r="M130" s="18" t="str">
        <f>SUMPRODUCT(LEN(SUBSTITUTE(SUBSTITUTE(SUBSTITUTE(M131:M135," ",""),"0",""),"-",""))+LEN(SUBSTITUTE(SUBSTITUTE(SUBSTITUTE(N131:N135," ",""),"0",""),"-","")))</f>
      </c>
      <c r="N130" s="18" t="str">
        <f>SUMPRODUCT((UPPER(L131:L135)&lt;&gt;"X")*((LEN(SUBSTITUTE(SUBSTITUTE(SUBSTITUTE(M131:M135," ",""),"0",""),"-",""))+LEN(SUBSTITUTE(SUBSTITUTE(SUBSTITUTE(N131:N135," ",""),"0",""),"-","")))&gt;(LEN(SUBSTITUTE(SUBSTITUTE(SUBSTITUTE(J131:J135," ",""),"0",""),"-",""))+LEN(SUBSTITUTE(SUBSTITUTE(SUBSTITUTE(K131:K135," ",""),"0",""),"-",""))))*1)</f>
      </c>
      <c r="O130" s="14" t="str">
        <f>data!$B$59</f>
      </c>
    </row>
    <row r="131">
      <c r="A131" s="18">
        <v>1</v>
      </c>
      <c r="B131" s="18"/>
      <c r="C131" s="18"/>
      <c r="D131" s="18"/>
      <c r="E131" s="18"/>
      <c r="F131" s="18"/>
      <c r="G131" s="18">
        <v>1</v>
      </c>
      <c r="I131" s="18">
        <v>1</v>
      </c>
      <c r="J131" s="18"/>
      <c r="K131" s="18"/>
      <c r="L131" s="18"/>
      <c r="M131" s="18"/>
      <c r="N131" s="18"/>
      <c r="O131" s="18">
        <v>1</v>
      </c>
    </row>
    <row r="132">
      <c r="A132" s="18">
        <v>2</v>
      </c>
      <c r="B132" s="18"/>
      <c r="C132" s="18"/>
      <c r="D132" s="18"/>
      <c r="E132" s="18"/>
      <c r="F132" s="18"/>
      <c r="G132" s="18">
        <v>2</v>
      </c>
      <c r="I132" s="18">
        <v>2</v>
      </c>
      <c r="J132" s="18"/>
      <c r="K132" s="18"/>
      <c r="L132" s="18"/>
      <c r="M132" s="18"/>
      <c r="N132" s="18"/>
      <c r="O132" s="18">
        <v>2</v>
      </c>
    </row>
    <row r="133">
      <c r="A133" s="18">
        <v>3</v>
      </c>
      <c r="B133" s="18"/>
      <c r="C133" s="18"/>
      <c r="D133" s="18"/>
      <c r="E133" s="18"/>
      <c r="F133" s="18"/>
      <c r="G133" s="18">
        <v>3</v>
      </c>
      <c r="I133" s="18">
        <v>3</v>
      </c>
      <c r="J133" s="18"/>
      <c r="K133" s="18"/>
      <c r="L133" s="18"/>
      <c r="M133" s="18"/>
      <c r="N133" s="18"/>
      <c r="O133" s="18">
        <v>3</v>
      </c>
    </row>
    <row r="134">
      <c r="A134" s="18">
        <v>4</v>
      </c>
      <c r="B134" s="18"/>
      <c r="C134" s="18"/>
      <c r="D134" s="18"/>
      <c r="E134" s="18"/>
      <c r="F134" s="18"/>
      <c r="G134" s="18">
        <v>4</v>
      </c>
      <c r="I134" s="18">
        <v>4</v>
      </c>
      <c r="J134" s="18"/>
      <c r="K134" s="18"/>
      <c r="L134" s="18"/>
      <c r="M134" s="18"/>
      <c r="N134" s="18"/>
      <c r="O134" s="18">
        <v>4</v>
      </c>
    </row>
    <row r="135">
      <c r="A135" s="18">
        <v>5</v>
      </c>
      <c r="B135" s="18"/>
      <c r="C135" s="18"/>
      <c r="D135" s="18"/>
      <c r="E135" s="18"/>
      <c r="F135" s="18"/>
      <c r="G135" s="18">
        <v>5</v>
      </c>
      <c r="I135" s="18">
        <v>5</v>
      </c>
      <c r="J135" s="18"/>
      <c r="K135" s="18"/>
      <c r="L135" s="18"/>
      <c r="M135" s="18"/>
      <c r="N135" s="18"/>
      <c r="O135" s="18">
        <v>5</v>
      </c>
    </row>
    <row r="137">
      <c r="A137" s="17" t="s">
        <v>239</v>
      </c>
      <c r="B137" s="14"/>
      <c r="C137" s="14"/>
      <c r="D137" s="14" t="s">
        <v>240</v>
      </c>
      <c r="E137" s="14"/>
      <c r="F137" s="14"/>
      <c r="G137" s="16" t="s">
        <v>241</v>
      </c>
      <c r="I137" s="17" t="s">
        <v>239</v>
      </c>
      <c r="J137" s="14"/>
      <c r="K137" s="14"/>
      <c r="L137" s="14" t="s">
        <v>240</v>
      </c>
      <c r="M137" s="14"/>
      <c r="N137" s="14"/>
      <c r="O137" s="16" t="s">
        <v>241</v>
      </c>
    </row>
    <row r="138">
      <c r="A138" s="14" t="str">
        <f>data!$B$14</f>
      </c>
      <c r="B138" s="18" t="str">
        <f>SUMPRODUCT((UPPER(D139:D143)&lt;&gt;"X")*((LEN(SUBSTITUTE(SUBSTITUTE(SUBSTITUTE(B139:B143," ",""),"0",""),"-",""))+LEN(SUBSTITUTE(SUBSTITUTE(SUBSTITUTE(C139:C143," ",""),"0",""),"-","")))&gt;(LEN(SUBSTITUTE(SUBSTITUTE(SUBSTITUTE(E139:E143," ",""),"0",""),"-",""))+LEN(SUBSTITUTE(SUBSTITUTE(SUBSTITUTE(F139:F143," ",""),"0",""),"-",""))))*1)</f>
      </c>
      <c r="C138" s="18" t="str">
        <f>SUMPRODUCT(LEN(SUBSTITUTE(SUBSTITUTE(SUBSTITUTE(B139:B143," ",""),"0",""),"-",""))+LEN(SUBSTITUTE(SUBSTITUTE(SUBSTITUTE(C139:C143," ",""),"0",""),"-","")))</f>
      </c>
      <c r="D138" s="18"/>
      <c r="E138" s="18" t="str">
        <f>SUMPRODUCT(LEN(SUBSTITUTE(SUBSTITUTE(SUBSTITUTE(E139:E143," ",""),"0",""),"-",""))+LEN(SUBSTITUTE(SUBSTITUTE(SUBSTITUTE(F139:F143," ",""),"0",""),"-","")))</f>
      </c>
      <c r="F138" s="18" t="str">
        <f>SUMPRODUCT((UPPER(D139:D143)&lt;&gt;"X")*((LEN(SUBSTITUTE(SUBSTITUTE(SUBSTITUTE(E139:E143," ",""),"0",""),"-",""))+LEN(SUBSTITUTE(SUBSTITUTE(SUBSTITUTE(F139:F143," ",""),"0",""),"-","")))&gt;(LEN(SUBSTITUTE(SUBSTITUTE(SUBSTITUTE(B139:B143," ",""),"0",""),"-",""))+LEN(SUBSTITUTE(SUBSTITUTE(SUBSTITUTE(C139:C143," ",""),"0",""),"-",""))))*1)</f>
      </c>
      <c r="G138" s="14" t="str">
        <f>data!$B$12</f>
      </c>
      <c r="I138" s="14" t="str">
        <f>data!$B$61</f>
      </c>
      <c r="J138" s="18" t="str">
        <f>SUMPRODUCT((UPPER(L139:L143)&lt;&gt;"X")*((LEN(SUBSTITUTE(SUBSTITUTE(SUBSTITUTE(J139:J143," ",""),"0",""),"-",""))+LEN(SUBSTITUTE(SUBSTITUTE(SUBSTITUTE(K139:K143," ",""),"0",""),"-","")))&gt;(LEN(SUBSTITUTE(SUBSTITUTE(SUBSTITUTE(M139:M143," ",""),"0",""),"-",""))+LEN(SUBSTITUTE(SUBSTITUTE(SUBSTITUTE(N139:N143," ",""),"0",""),"-",""))))*1)</f>
      </c>
      <c r="K138" s="18" t="str">
        <f>SUMPRODUCT(LEN(SUBSTITUTE(SUBSTITUTE(SUBSTITUTE(J139:J143," ",""),"0",""),"-",""))+LEN(SUBSTITUTE(SUBSTITUTE(SUBSTITUTE(K139:K143," ",""),"0",""),"-","")))</f>
      </c>
      <c r="L138" s="18"/>
      <c r="M138" s="18" t="str">
        <f>SUMPRODUCT(LEN(SUBSTITUTE(SUBSTITUTE(SUBSTITUTE(M139:M143," ",""),"0",""),"-",""))+LEN(SUBSTITUTE(SUBSTITUTE(SUBSTITUTE(N139:N143," ",""),"0",""),"-","")))</f>
      </c>
      <c r="N138" s="18" t="str">
        <f>SUMPRODUCT((UPPER(L139:L143)&lt;&gt;"X")*((LEN(SUBSTITUTE(SUBSTITUTE(SUBSTITUTE(M139:M143," ",""),"0",""),"-",""))+LEN(SUBSTITUTE(SUBSTITUTE(SUBSTITUTE(N139:N143," ",""),"0",""),"-","")))&gt;(LEN(SUBSTITUTE(SUBSTITUTE(SUBSTITUTE(J139:J143," ",""),"0",""),"-",""))+LEN(SUBSTITUTE(SUBSTITUTE(SUBSTITUTE(K139:K143," ",""),"0",""),"-",""))))*1)</f>
      </c>
      <c r="O138" s="14" t="str">
        <f>data!$B$59</f>
      </c>
    </row>
    <row r="139">
      <c r="A139" s="18">
        <v>1</v>
      </c>
      <c r="B139" s="18"/>
      <c r="C139" s="18"/>
      <c r="D139" s="18"/>
      <c r="E139" s="18"/>
      <c r="F139" s="18"/>
      <c r="G139" s="18">
        <v>1</v>
      </c>
      <c r="I139" s="18">
        <v>1</v>
      </c>
      <c r="J139" s="18"/>
      <c r="K139" s="18"/>
      <c r="L139" s="18"/>
      <c r="M139" s="18"/>
      <c r="N139" s="18"/>
      <c r="O139" s="18">
        <v>1</v>
      </c>
    </row>
    <row r="140">
      <c r="A140" s="18">
        <v>2</v>
      </c>
      <c r="B140" s="18"/>
      <c r="C140" s="18"/>
      <c r="D140" s="18"/>
      <c r="E140" s="18"/>
      <c r="F140" s="18"/>
      <c r="G140" s="18">
        <v>2</v>
      </c>
      <c r="I140" s="18">
        <v>2</v>
      </c>
      <c r="J140" s="18"/>
      <c r="K140" s="18"/>
      <c r="L140" s="18"/>
      <c r="M140" s="18"/>
      <c r="N140" s="18"/>
      <c r="O140" s="18">
        <v>2</v>
      </c>
    </row>
    <row r="141">
      <c r="A141" s="18">
        <v>3</v>
      </c>
      <c r="B141" s="18"/>
      <c r="C141" s="18"/>
      <c r="D141" s="18"/>
      <c r="E141" s="18"/>
      <c r="F141" s="18"/>
      <c r="G141" s="18">
        <v>3</v>
      </c>
      <c r="I141" s="18">
        <v>3</v>
      </c>
      <c r="J141" s="18"/>
      <c r="K141" s="18"/>
      <c r="L141" s="18"/>
      <c r="M141" s="18"/>
      <c r="N141" s="18"/>
      <c r="O141" s="18">
        <v>3</v>
      </c>
    </row>
    <row r="142">
      <c r="A142" s="18">
        <v>4</v>
      </c>
      <c r="B142" s="18"/>
      <c r="C142" s="18"/>
      <c r="D142" s="18"/>
      <c r="E142" s="18"/>
      <c r="F142" s="18"/>
      <c r="G142" s="18">
        <v>4</v>
      </c>
      <c r="I142" s="18">
        <v>4</v>
      </c>
      <c r="J142" s="18"/>
      <c r="K142" s="18"/>
      <c r="L142" s="18"/>
      <c r="M142" s="18"/>
      <c r="N142" s="18"/>
      <c r="O142" s="18">
        <v>4</v>
      </c>
    </row>
    <row r="143">
      <c r="A143" s="18">
        <v>5</v>
      </c>
      <c r="B143" s="18"/>
      <c r="C143" s="18"/>
      <c r="D143" s="18"/>
      <c r="E143" s="18"/>
      <c r="F143" s="18"/>
      <c r="G143" s="18">
        <v>5</v>
      </c>
      <c r="I143" s="18">
        <v>5</v>
      </c>
      <c r="J143" s="18"/>
      <c r="K143" s="18"/>
      <c r="L143" s="18"/>
      <c r="M143" s="18"/>
      <c r="N143" s="18"/>
      <c r="O143" s="18">
        <v>5</v>
      </c>
    </row>
    <row r="145">
      <c r="A145" s="17" t="s">
        <v>239</v>
      </c>
      <c r="B145" s="14"/>
      <c r="C145" s="14"/>
      <c r="D145" s="14" t="s">
        <v>240</v>
      </c>
      <c r="E145" s="14"/>
      <c r="F145" s="14"/>
      <c r="G145" s="16" t="s">
        <v>241</v>
      </c>
      <c r="I145" s="17" t="s">
        <v>239</v>
      </c>
      <c r="J145" s="14"/>
      <c r="K145" s="14"/>
      <c r="L145" s="14" t="s">
        <v>240</v>
      </c>
      <c r="M145" s="14"/>
      <c r="N145" s="14"/>
      <c r="O145" s="16" t="s">
        <v>241</v>
      </c>
    </row>
    <row r="146">
      <c r="A146" s="14" t="str">
        <f>data!$B$14</f>
      </c>
      <c r="B146" s="18" t="str">
        <f>SUMPRODUCT((UPPER(D147:D151)&lt;&gt;"X")*((LEN(SUBSTITUTE(SUBSTITUTE(SUBSTITUTE(B147:B151," ",""),"0",""),"-",""))+LEN(SUBSTITUTE(SUBSTITUTE(SUBSTITUTE(C147:C151," ",""),"0",""),"-","")))&gt;(LEN(SUBSTITUTE(SUBSTITUTE(SUBSTITUTE(E147:E151," ",""),"0",""),"-",""))+LEN(SUBSTITUTE(SUBSTITUTE(SUBSTITUTE(F147:F151," ",""),"0",""),"-",""))))*1)</f>
      </c>
      <c r="C146" s="18" t="str">
        <f>SUMPRODUCT(LEN(SUBSTITUTE(SUBSTITUTE(SUBSTITUTE(B147:B151," ",""),"0",""),"-",""))+LEN(SUBSTITUTE(SUBSTITUTE(SUBSTITUTE(C147:C151," ",""),"0",""),"-","")))</f>
      </c>
      <c r="D146" s="18"/>
      <c r="E146" s="18" t="str">
        <f>SUMPRODUCT(LEN(SUBSTITUTE(SUBSTITUTE(SUBSTITUTE(E147:E151," ",""),"0",""),"-",""))+LEN(SUBSTITUTE(SUBSTITUTE(SUBSTITUTE(F147:F151," ",""),"0",""),"-","")))</f>
      </c>
      <c r="F146" s="18" t="str">
        <f>SUMPRODUCT((UPPER(D147:D151)&lt;&gt;"X")*((LEN(SUBSTITUTE(SUBSTITUTE(SUBSTITUTE(E147:E151," ",""),"0",""),"-",""))+LEN(SUBSTITUTE(SUBSTITUTE(SUBSTITUTE(F147:F151," ",""),"0",""),"-","")))&gt;(LEN(SUBSTITUTE(SUBSTITUTE(SUBSTITUTE(B147:B151," ",""),"0",""),"-",""))+LEN(SUBSTITUTE(SUBSTITUTE(SUBSTITUTE(C147:C151," ",""),"0",""),"-",""))))*1)</f>
      </c>
      <c r="G146" s="14" t="str">
        <f>data!$B$13</f>
      </c>
      <c r="I146" s="14" t="str">
        <f>data!$B$61</f>
      </c>
      <c r="J146" s="18" t="str">
        <f>SUMPRODUCT((UPPER(L147:L151)&lt;&gt;"X")*((LEN(SUBSTITUTE(SUBSTITUTE(SUBSTITUTE(J147:J151," ",""),"0",""),"-",""))+LEN(SUBSTITUTE(SUBSTITUTE(SUBSTITUTE(K147:K151," ",""),"0",""),"-","")))&gt;(LEN(SUBSTITUTE(SUBSTITUTE(SUBSTITUTE(M147:M151," ",""),"0",""),"-",""))+LEN(SUBSTITUTE(SUBSTITUTE(SUBSTITUTE(N147:N151," ",""),"0",""),"-",""))))*1)</f>
      </c>
      <c r="K146" s="18" t="str">
        <f>SUMPRODUCT(LEN(SUBSTITUTE(SUBSTITUTE(SUBSTITUTE(J147:J151," ",""),"0",""),"-",""))+LEN(SUBSTITUTE(SUBSTITUTE(SUBSTITUTE(K147:K151," ",""),"0",""),"-","")))</f>
      </c>
      <c r="L146" s="18"/>
      <c r="M146" s="18" t="str">
        <f>SUMPRODUCT(LEN(SUBSTITUTE(SUBSTITUTE(SUBSTITUTE(M147:M151," ",""),"0",""),"-",""))+LEN(SUBSTITUTE(SUBSTITUTE(SUBSTITUTE(N147:N151," ",""),"0",""),"-","")))</f>
      </c>
      <c r="N146" s="18" t="str">
        <f>SUMPRODUCT((UPPER(L147:L151)&lt;&gt;"X")*((LEN(SUBSTITUTE(SUBSTITUTE(SUBSTITUTE(M147:M151," ",""),"0",""),"-",""))+LEN(SUBSTITUTE(SUBSTITUTE(SUBSTITUTE(N147:N151," ",""),"0",""),"-","")))&gt;(LEN(SUBSTITUTE(SUBSTITUTE(SUBSTITUTE(J147:J151," ",""),"0",""),"-",""))+LEN(SUBSTITUTE(SUBSTITUTE(SUBSTITUTE(K147:K151," ",""),"0",""),"-",""))))*1)</f>
      </c>
      <c r="O146" s="14" t="str">
        <f>data!$B$60</f>
      </c>
    </row>
    <row r="147">
      <c r="A147" s="18">
        <v>1</v>
      </c>
      <c r="B147" s="18"/>
      <c r="C147" s="18"/>
      <c r="D147" s="18"/>
      <c r="E147" s="18"/>
      <c r="F147" s="18"/>
      <c r="G147" s="18">
        <v>1</v>
      </c>
      <c r="I147" s="18">
        <v>1</v>
      </c>
      <c r="J147" s="18"/>
      <c r="K147" s="18"/>
      <c r="L147" s="18"/>
      <c r="M147" s="18"/>
      <c r="N147" s="18"/>
      <c r="O147" s="18">
        <v>1</v>
      </c>
    </row>
    <row r="148">
      <c r="A148" s="18">
        <v>2</v>
      </c>
      <c r="B148" s="18"/>
      <c r="C148" s="18"/>
      <c r="D148" s="18"/>
      <c r="E148" s="18"/>
      <c r="F148" s="18"/>
      <c r="G148" s="18">
        <v>2</v>
      </c>
      <c r="I148" s="18">
        <v>2</v>
      </c>
      <c r="J148" s="18"/>
      <c r="K148" s="18"/>
      <c r="L148" s="18"/>
      <c r="M148" s="18"/>
      <c r="N148" s="18"/>
      <c r="O148" s="18">
        <v>2</v>
      </c>
    </row>
    <row r="149">
      <c r="A149" s="18">
        <v>3</v>
      </c>
      <c r="B149" s="18"/>
      <c r="C149" s="18"/>
      <c r="D149" s="18"/>
      <c r="E149" s="18"/>
      <c r="F149" s="18"/>
      <c r="G149" s="18">
        <v>3</v>
      </c>
      <c r="I149" s="18">
        <v>3</v>
      </c>
      <c r="J149" s="18"/>
      <c r="K149" s="18"/>
      <c r="L149" s="18"/>
      <c r="M149" s="18"/>
      <c r="N149" s="18"/>
      <c r="O149" s="18">
        <v>3</v>
      </c>
    </row>
    <row r="150">
      <c r="A150" s="18">
        <v>4</v>
      </c>
      <c r="B150" s="18"/>
      <c r="C150" s="18"/>
      <c r="D150" s="18"/>
      <c r="E150" s="18"/>
      <c r="F150" s="18"/>
      <c r="G150" s="18">
        <v>4</v>
      </c>
      <c r="I150" s="18">
        <v>4</v>
      </c>
      <c r="J150" s="18"/>
      <c r="K150" s="18"/>
      <c r="L150" s="18"/>
      <c r="M150" s="18"/>
      <c r="N150" s="18"/>
      <c r="O150" s="18">
        <v>4</v>
      </c>
    </row>
    <row r="151">
      <c r="A151" s="18">
        <v>5</v>
      </c>
      <c r="B151" s="18"/>
      <c r="C151" s="18"/>
      <c r="D151" s="18"/>
      <c r="E151" s="18"/>
      <c r="F151" s="18"/>
      <c r="G151" s="18">
        <v>5</v>
      </c>
      <c r="I151" s="18">
        <v>5</v>
      </c>
      <c r="J151" s="18"/>
      <c r="K151" s="18"/>
      <c r="L151" s="18"/>
      <c r="M151" s="18"/>
      <c r="N151" s="18"/>
      <c r="O151" s="18">
        <v>5</v>
      </c>
    </row>
    <row r="154">
      <c r="A154" s="13"/>
      <c r="B154" s="13" t="s">
        <v>242</v>
      </c>
      <c r="C154" s="13" t="s">
        <v>243</v>
      </c>
      <c r="D154" s="13" t="s">
        <v>244</v>
      </c>
      <c r="I154" s="13"/>
      <c r="J154" s="13" t="s">
        <v>242</v>
      </c>
      <c r="K154" s="13" t="s">
        <v>243</v>
      </c>
      <c r="L154" s="13" t="s">
        <v>244</v>
      </c>
    </row>
    <row r="155">
      <c r="A155" t="str">
        <f>data!$B$12</f>
      </c>
      <c r="B155" s="14" t="str">
        <f>IF(OR(COUNTA(B131:C135,E131:F135)&gt;0,OR(D130="X",D130="x")),IF(OR(D130="X",D130="x"),0,IF(OR(F130&gt;B130,AND(F130=B130,E130&gt;C130)),1,0)),0)+IF(OR(COUNTA(B139:C143,E139:F143)&gt;0,OR(D138="X",D138="x")),IF(OR(D138="X",D138="x"),0,IF(OR(F138&gt;B138,AND(F138=B138,E138&gt;C138)),1,0)),0)</f>
      </c>
      <c r="C155" s="14" t="str">
        <f>IF(OR(COUNTA(B131:C135,E131:F135)&gt;0,OR(D130="X",D130="x")),IF(OR(D130="X",D130="x"),0,IF(OR(F130&lt;B130,AND(F130=B130,E130&lt;C130)),1,0)),0)+IF(OR(COUNTA(B139:C143,E139:F143)&gt;0,OR(D138="X",D138="x")),IF(OR(D138="X",D138="x"),0,IF(OR(F138&lt;B138,AND(F138=B138,E138&lt;C138)),1,0)),0)</f>
      </c>
      <c r="D155" s="14" t="str">
        <f>IF(OR(COUNTA(B131:C135,E131:F135)&gt;0,OR(D130="X",D130="x")),IF(OR(D130="X",D130="x"),1,0),0)+IF(OR(COUNTA(B139:C143,E139:F143)&gt;0,OR(D138="X",D138="x")),IF(OR(D138="X",D138="x"),1,0),0)</f>
      </c>
      <c r="I155" t="str">
        <f>data!$B$59</f>
      </c>
      <c r="J155" s="14" t="str">
        <f>IF(OR(COUNTA(J131:K135,M131:N135)&gt;0,OR(L130="X",L130="x")),IF(OR(L130="X",L130="x"),0,IF(OR(N130&gt;J130,AND(N130=J130,M130&gt;K130)),1,0)),0)+IF(OR(COUNTA(J139:K143,M139:N143)&gt;0,OR(L138="X",L138="x")),IF(OR(L138="X",L138="x"),0,IF(OR(N138&gt;J138,AND(N138=J138,M138&gt;K138)),1,0)),0)</f>
      </c>
      <c r="K155" s="14" t="str">
        <f>IF(OR(COUNTA(J131:K135,M131:N135)&gt;0,OR(L130="X",L130="x")),IF(OR(L130="X",L130="x"),0,IF(OR(N130&lt;J130,AND(N130=J130,M130&lt;K130)),1,0)),0)+IF(OR(COUNTA(J139:K143,M139:N143)&gt;0,OR(L138="X",L138="x")),IF(OR(L138="X",L138="x"),0,IF(OR(N138&lt;J138,AND(N138=J138,M138&lt;K138)),1,0)),0)</f>
      </c>
      <c r="L155" s="14" t="str">
        <f>IF(OR(COUNTA(J131:K135,M131:N135)&gt;0,OR(L130="X",L130="x")),IF(OR(L130="X",L130="x"),1,0),0)+IF(OR(COUNTA(J139:K143,M139:N143)&gt;0,OR(L138="X",L138="x")),IF(OR(L138="X",L138="x"),1,0),0)</f>
      </c>
    </row>
    <row r="156">
      <c r="A156" t="str">
        <f>data!$B$13</f>
      </c>
      <c r="B156" s="14" t="str">
        <f>IF(OR(COUNTA(B131:C135,E131:F135)&gt;0,OR(D130="X",D130="x")),IF(OR(D130="X",D130="x"),0,IF(OR(B130&gt;F130,AND(B130=F130,C130&gt;E130)),1,0)),0)+IF(OR(COUNTA(B147:C151,E147:F151)&gt;0,OR(D146="X",D146="x")),IF(OR(D146="X",D146="x"),0,IF(OR(F146&gt;B146,AND(F146=B146,E146&gt;C146)),1,0)),0)</f>
      </c>
      <c r="C156" s="14" t="str">
        <f>IF(OR(COUNTA(B131:C135,E131:F135)&gt;0,OR(D130="X",D130="x")),IF(OR(D130="X",D130="x"),0,IF(OR(B130&lt;F130,AND(B130=F130,C130&lt;E130)),1,0)),0)+IF(OR(COUNTA(B147:C151,E147:F151)&gt;0,OR(D146="X",D146="x")),IF(OR(D146="X",D146="x"),0,IF(OR(F146&lt;B146,AND(F146=B146,E146&lt;C146)),1,0)),0)</f>
      </c>
      <c r="D156" s="14" t="str">
        <f>IF(OR(COUNTA(B131:C135,E131:F135)&gt;0,OR(D130="X",D130="x")),IF(OR(D130="X",D130="x"),1,0),0)+IF(OR(COUNTA(B147:C151,E147:F151)&gt;0,OR(D146="X",D146="x")),IF(OR(D146="X",D146="x"),1,0),0)</f>
      </c>
      <c r="I156" t="str">
        <f>data!$B$60</f>
      </c>
      <c r="J156" s="14" t="str">
        <f>IF(OR(COUNTA(J131:K135,M131:N135)&gt;0,OR(L130="X",L130="x")),IF(OR(L130="X",L130="x"),0,IF(OR(J130&gt;N130,AND(J130=N130,K130&gt;M130)),1,0)),0)+IF(OR(COUNTA(J147:K151,M147:N151)&gt;0,OR(L146="X",L146="x")),IF(OR(L146="X",L146="x"),0,IF(OR(N146&gt;J146,AND(N146=J146,M146&gt;K146)),1,0)),0)</f>
      </c>
      <c r="K156" s="14" t="str">
        <f>IF(OR(COUNTA(J131:K135,M131:N135)&gt;0,OR(L130="X",L130="x")),IF(OR(L130="X",L130="x"),0,IF(OR(J130&lt;N130,AND(J130=N130,K130&lt;M130)),1,0)),0)+IF(OR(COUNTA(J147:K151,M147:N151)&gt;0,OR(L146="X",L146="x")),IF(OR(L146="X",L146="x"),0,IF(OR(N146&lt;J146,AND(N146=J146,M146&lt;K146)),1,0)),0)</f>
      </c>
      <c r="L156" s="14" t="str">
        <f>IF(OR(COUNTA(J131:K135,M131:N135)&gt;0,OR(L130="X",L130="x")),IF(OR(L130="X",L130="x"),1,0),0)+IF(OR(COUNTA(J147:K151,M147:N151)&gt;0,OR(L146="X",L146="x")),IF(OR(L146="X",L146="x"),1,0),0)</f>
      </c>
    </row>
    <row r="157">
      <c r="A157" t="str">
        <f>data!$B$14</f>
      </c>
      <c r="B157" s="14" t="str">
        <f>IF(OR(COUNTA(B139:C143,E139:F143)&gt;0,OR(D138="X",D138="x")),IF(OR(D138="X",D138="x"),0,IF(OR(B138&gt;F138,AND(B138=F138,C138&gt;E138)),1,0)),0)+IF(OR(COUNTA(B147:C151,E147:F151)&gt;0,OR(D146="X",D146="x")),IF(OR(D146="X",D146="x"),0,IF(OR(B146&gt;F146,AND(B146=F146,C146&gt;E146)),1,0)),0)</f>
      </c>
      <c r="C157" s="14" t="str">
        <f>IF(OR(COUNTA(B139:C143,E139:F143)&gt;0,OR(D138="X",D138="x")),IF(OR(D138="X",D138="x"),0,IF(OR(B138&lt;F138,AND(B138=F138,C138&lt;E138)),1,0)),0)+IF(OR(COUNTA(B147:C151,E147:F151)&gt;0,OR(D146="X",D146="x")),IF(OR(D146="X",D146="x"),0,IF(OR(B146&lt;F146,AND(B146=F146,C146&lt;E146)),1,0)),0)</f>
      </c>
      <c r="D157" s="14" t="str">
        <f>IF(OR(COUNTA(B139:C143,E139:F143)&gt;0,OR(D138="X",D138="x")),IF(OR(D138="X",D138="x"),1,0),0)+IF(OR(COUNTA(B147:C151,E147:F151)&gt;0,OR(D146="X",D146="x")),IF(OR(D146="X",D146="x"),1,0),0)</f>
      </c>
      <c r="I157" t="str">
        <f>data!$B$61</f>
      </c>
      <c r="J157" s="14" t="str">
        <f>IF(OR(COUNTA(J139:K143,M139:N143)&gt;0,OR(L138="X",L138="x")),IF(OR(L138="X",L138="x"),0,IF(OR(J138&gt;N138,AND(J138=N138,K138&gt;M138)),1,0)),0)+IF(OR(COUNTA(J147:K151,M147:N151)&gt;0,OR(L146="X",L146="x")),IF(OR(L146="X",L146="x"),0,IF(OR(J146&gt;N146,AND(J146=N146,K146&gt;M146)),1,0)),0)</f>
      </c>
      <c r="K157" s="14" t="str">
        <f>IF(OR(COUNTA(J139:K143,M139:N143)&gt;0,OR(L138="X",L138="x")),IF(OR(L138="X",L138="x"),0,IF(OR(J138&lt;N138,AND(J138=N138,K138&lt;M138)),1,0)),0)+IF(OR(COUNTA(J147:K151,M147:N151)&gt;0,OR(L146="X",L146="x")),IF(OR(L146="X",L146="x"),0,IF(OR(J146&lt;N146,AND(J146=N146,K146&lt;M146)),1,0)),0)</f>
      </c>
      <c r="L157" s="14" t="str">
        <f>IF(OR(COUNTA(J139:K143,M139:N143)&gt;0,OR(L138="X",L138="x")),IF(OR(L138="X",L138="x"),1,0),0)+IF(OR(COUNTA(J147:K151,M147:N151)&gt;0,OR(L146="X",L146="x")),IF(OR(L146="X",L146="x"),1,0),0)</f>
      </c>
    </row>
    <row r="159">
      <c r="A159" s="13"/>
      <c r="B159" s="13" t="s">
        <v>245</v>
      </c>
      <c r="C159" s="13" t="s">
        <v>246</v>
      </c>
      <c r="D159" s="13" t="s">
        <v>247</v>
      </c>
      <c r="E159" s="13" t="s">
        <v>248</v>
      </c>
      <c r="F159" s="13" t="s">
        <v>249</v>
      </c>
      <c r="I159" s="13"/>
      <c r="J159" s="13" t="s">
        <v>245</v>
      </c>
      <c r="K159" s="13" t="s">
        <v>246</v>
      </c>
      <c r="L159" s="13" t="s">
        <v>247</v>
      </c>
      <c r="M159" s="13" t="s">
        <v>248</v>
      </c>
      <c r="N159" s="13" t="s">
        <v>249</v>
      </c>
    </row>
    <row r="160">
      <c r="A160" t="str">
        <f>data!$B$12</f>
      </c>
      <c r="B160" s="14" t="str">
        <f>IF(OR(COUNTA(B131:C135,E131:F135)&gt;0,OR(D130="X",D130="x")),F130,0)+IF(OR(COUNTA(B139:C143,E139:F143)&gt;0,OR(D138="X",D138="x")),F138,0)</f>
      </c>
      <c r="C160" s="14" t="str">
        <f>IF(OR(COUNTA(B131:C135,E131:F135)&gt;0,OR(D130="X",D130="x")),B130,0)+IF(OR(COUNTA(B139:C143,E139:F143)&gt;0,OR(D138="X",D138="x")),B138,0)</f>
      </c>
      <c r="D160" s="14" t="str">
        <f>IF(OR(COUNTA(B131:C135,E131:F135)&gt;0,OR(D130="X",D130="x")),(IF(OR(D131="X",D131="x"),1,0)+IF(OR(D132="X",D132="x"),1,0)+IF(OR(D133="X",D133="x"),1,0)+IF(OR(D134="X",D134="x"),1,0)+IF(OR(D135="X",D135="x"),1,0)),0)+IF(OR(COUNTA(B139:C143,E139:F143)&gt;0,OR(D138="X",D138="x")),(IF(OR(D139="X",D139="x"),1,0)+IF(OR(D140="X",D140="x"),1,0)+IF(OR(D141="X",D141="x"),1,0)+IF(OR(D142="X",D142="x"),1,0)+IF(OR(D143="X",D143="x"),1,0)),0)</f>
      </c>
      <c r="E160" s="14" t="str">
        <f>E130+E138</f>
      </c>
      <c r="F160" s="14" t="str">
        <f>C130+C138</f>
      </c>
      <c r="I160" t="str">
        <f>data!$B$59</f>
      </c>
      <c r="J160" s="14" t="str">
        <f>IF(OR(COUNTA(J131:K135,M131:N135)&gt;0,OR(L130="X",L130="x")),N130,0)+IF(OR(COUNTA(J139:K143,M139:N143)&gt;0,OR(L138="X",L138="x")),N138,0)</f>
      </c>
      <c r="K160" s="14" t="str">
        <f>IF(OR(COUNTA(J131:K135,M131:N135)&gt;0,OR(L130="X",L130="x")),J130,0)+IF(OR(COUNTA(J139:K143,M139:N143)&gt;0,OR(L138="X",L138="x")),J138,0)</f>
      </c>
      <c r="L160" s="14" t="str">
        <f>IF(OR(COUNTA(J131:K135,M131:N135)&gt;0,OR(L130="X",L130="x")),(IF(OR(L131="X",L131="x"),1,0)+IF(OR(L132="X",L132="x"),1,0)+IF(OR(L133="X",L133="x"),1,0)+IF(OR(L134="X",L134="x"),1,0)+IF(OR(L135="X",L135="x"),1,0)),0)+IF(OR(COUNTA(J139:K143,M139:N143)&gt;0,OR(L138="X",L138="x")),(IF(OR(L139="X",L139="x"),1,0)+IF(OR(L140="X",L140="x"),1,0)+IF(OR(L141="X",L141="x"),1,0)+IF(OR(L142="X",L142="x"),1,0)+IF(OR(L143="X",L143="x"),1,0)),0)</f>
      </c>
      <c r="M160" s="14" t="str">
        <f>M130+M138</f>
      </c>
      <c r="N160" s="14" t="str">
        <f>K130+K138</f>
      </c>
    </row>
    <row r="161">
      <c r="A161" t="str">
        <f>data!$B$13</f>
      </c>
      <c r="B161" s="14" t="str">
        <f>IF(OR(COUNTA(B131:C135,E131:F135)&gt;0,OR(D130="X",D130="x")),B130,0)+IF(OR(COUNTA(B147:C151,E147:F151)&gt;0,OR(D146="X",D146="x")),F146,0)</f>
      </c>
      <c r="C161" s="14" t="str">
        <f>IF(OR(COUNTA(B131:C135,E131:F135)&gt;0,OR(D130="X",D130="x")),F130,0)+IF(OR(COUNTA(B147:C151,E147:F151)&gt;0,OR(D146="X",D146="x")),B146,0)</f>
      </c>
      <c r="D161" s="14" t="str">
        <f>IF(OR(COUNTA(B131:C135,E131:F135)&gt;0,OR(D130="X",D130="x")),(IF(OR(D131="X",D131="x"),1,0)+IF(OR(D132="X",D132="x"),1,0)+IF(OR(D133="X",D133="x"),1,0)+IF(OR(D134="X",D134="x"),1,0)+IF(OR(D135="X",D135="x"),1,0)),0)+IF(OR(COUNTA(B147:C151,E147:F151)&gt;0,OR(D146="X",D146="x")),(IF(OR(D147="X",D147="x"),1,0)+IF(OR(D148="X",D148="x"),1,0)+IF(OR(D149="X",D149="x"),1,0)+IF(OR(D150="X",D150="x"),1,0)+IF(OR(D151="X",D151="x"),1,0)),0)</f>
      </c>
      <c r="E161" s="14" t="str">
        <f>C130+E146</f>
      </c>
      <c r="F161" s="14" t="str">
        <f>E130+C146</f>
      </c>
      <c r="I161" t="str">
        <f>data!$B$60</f>
      </c>
      <c r="J161" s="14" t="str">
        <f>IF(OR(COUNTA(J131:K135,M131:N135)&gt;0,OR(L130="X",L130="x")),J130,0)+IF(OR(COUNTA(J147:K151,M147:N151)&gt;0,OR(L146="X",L146="x")),N146,0)</f>
      </c>
      <c r="K161" s="14" t="str">
        <f>IF(OR(COUNTA(J131:K135,M131:N135)&gt;0,OR(L130="X",L130="x")),N130,0)+IF(OR(COUNTA(J147:K151,M147:N151)&gt;0,OR(L146="X",L146="x")),J146,0)</f>
      </c>
      <c r="L161" s="14" t="str">
        <f>IF(OR(COUNTA(J131:K135,M131:N135)&gt;0,OR(L130="X",L130="x")),(IF(OR(L131="X",L131="x"),1,0)+IF(OR(L132="X",L132="x"),1,0)+IF(OR(L133="X",L133="x"),1,0)+IF(OR(L134="X",L134="x"),1,0)+IF(OR(L135="X",L135="x"),1,0)),0)+IF(OR(COUNTA(J147:K151,M147:N151)&gt;0,OR(L146="X",L146="x")),(IF(OR(L147="X",L147="x"),1,0)+IF(OR(L148="X",L148="x"),1,0)+IF(OR(L149="X",L149="x"),1,0)+IF(OR(L150="X",L150="x"),1,0)+IF(OR(L151="X",L151="x"),1,0)),0)</f>
      </c>
      <c r="M161" s="14" t="str">
        <f>K130+M146</f>
      </c>
      <c r="N161" s="14" t="str">
        <f>M130+K146</f>
      </c>
    </row>
    <row r="162">
      <c r="A162" t="str">
        <f>data!$B$14</f>
      </c>
      <c r="B162" s="14" t="str">
        <f>IF(OR(COUNTA(B139:C143,E139:F143)&gt;0,OR(D138="X",D138="x")),B138,0)+IF(OR(COUNTA(B147:C151,E147:F151)&gt;0,OR(D146="X",D146="x")),B146,0)</f>
      </c>
      <c r="C162" s="14" t="str">
        <f>IF(OR(COUNTA(B139:C143,E139:F143)&gt;0,OR(D138="X",D138="x")),F138,0)+IF(OR(COUNTA(B147:C151,E147:F151)&gt;0,OR(D146="X",D146="x")),F146,0)</f>
      </c>
      <c r="D162" s="14" t="str">
        <f>IF(OR(COUNTA(B139:C143,E139:F143)&gt;0,OR(D138="X",D138="x")),(IF(OR(D139="X",D139="x"),1,0)+IF(OR(D140="X",D140="x"),1,0)+IF(OR(D141="X",D141="x"),1,0)+IF(OR(D142="X",D142="x"),1,0)+IF(OR(D143="X",D143="x"),1,0)),0)+IF(OR(COUNTA(B147:C151,E147:F151)&gt;0,OR(D146="X",D146="x")),(IF(OR(D147="X",D147="x"),1,0)+IF(OR(D148="X",D148="x"),1,0)+IF(OR(D149="X",D149="x"),1,0)+IF(OR(D150="X",D150="x"),1,0)+IF(OR(D151="X",D151="x"),1,0)),0)</f>
      </c>
      <c r="E162" s="14" t="str">
        <f>C138+C146</f>
      </c>
      <c r="F162" s="14" t="str">
        <f>E138+E146</f>
      </c>
      <c r="I162" t="str">
        <f>data!$B$61</f>
      </c>
      <c r="J162" s="14" t="str">
        <f>IF(OR(COUNTA(J139:K143,M139:N143)&gt;0,OR(L138="X",L138="x")),J138,0)+IF(OR(COUNTA(J147:K151,M147:N151)&gt;0,OR(L146="X",L146="x")),J146,0)</f>
      </c>
      <c r="K162" s="14" t="str">
        <f>IF(OR(COUNTA(J139:K143,M139:N143)&gt;0,OR(L138="X",L138="x")),N138,0)+IF(OR(COUNTA(J147:K151,M147:N151)&gt;0,OR(L146="X",L146="x")),N146,0)</f>
      </c>
      <c r="L162" s="14" t="str">
        <f>IF(OR(COUNTA(J139:K143,M139:N143)&gt;0,OR(L138="X",L138="x")),(IF(OR(L139="X",L139="x"),1,0)+IF(OR(L140="X",L140="x"),1,0)+IF(OR(L141="X",L141="x"),1,0)+IF(OR(L142="X",L142="x"),1,0)+IF(OR(L143="X",L143="x"),1,0)),0)+IF(OR(COUNTA(J147:K151,M147:N151)&gt;0,OR(L146="X",L146="x")),(IF(OR(L147="X",L147="x"),1,0)+IF(OR(L148="X",L148="x"),1,0)+IF(OR(L149="X",L149="x"),1,0)+IF(OR(L150="X",L150="x"),1,0)+IF(OR(L151="X",L151="x"),1,0)),0)</f>
      </c>
      <c r="M162" s="14" t="str">
        <f>K138+K146</f>
      </c>
      <c r="N162" s="14" t="str">
        <f>M138+M146</f>
      </c>
    </row>
    <row r="165">
      <c r="F165" s="13"/>
      <c r="G165" s="13" t="s">
        <v>250</v>
      </c>
      <c r="N165" s="13"/>
      <c r="O165" s="13" t="s">
        <v>250</v>
      </c>
    </row>
    <row r="166">
      <c r="F166" t="s">
        <v>251</v>
      </c>
      <c r="G166" s="19"/>
      <c r="N166" t="s">
        <v>251</v>
      </c>
      <c r="O166" s="19"/>
    </row>
    <row r="167">
      <c r="F167" t="s">
        <v>252</v>
      </c>
      <c r="G167" s="19"/>
      <c r="N167" t="s">
        <v>252</v>
      </c>
      <c r="O167" s="19"/>
    </row>
    <row r="168">
      <c r="F168" t="s">
        <v>253</v>
      </c>
      <c r="G168" s="19"/>
      <c r="N168" t="s">
        <v>253</v>
      </c>
      <c r="O168" s="19"/>
    </row>
    <row r="170">
      <c r="A170" s="13" t="str">
        <f>data!$A$17</f>
      </c>
      <c r="B170" s="13"/>
      <c r="C170" s="13"/>
      <c r="D170" s="13"/>
      <c r="E170" s="13"/>
      <c r="F170" s="13"/>
      <c r="G170" s="13"/>
      <c r="I170" s="13" t="str">
        <f>data!$A$64</f>
      </c>
      <c r="J170" s="13"/>
      <c r="K170" s="13"/>
      <c r="L170" s="13"/>
      <c r="M170" s="13"/>
      <c r="N170" s="13"/>
      <c r="O170" s="13"/>
    </row>
    <row r="171">
      <c r="A171" s="17" t="s">
        <v>239</v>
      </c>
      <c r="B171" s="14"/>
      <c r="C171" s="14"/>
      <c r="D171" s="14" t="s">
        <v>240</v>
      </c>
      <c r="E171" s="14"/>
      <c r="F171" s="14"/>
      <c r="G171" s="16" t="s">
        <v>241</v>
      </c>
      <c r="I171" s="17" t="s">
        <v>239</v>
      </c>
      <c r="J171" s="14"/>
      <c r="K171" s="14"/>
      <c r="L171" s="14" t="s">
        <v>240</v>
      </c>
      <c r="M171" s="14"/>
      <c r="N171" s="14"/>
      <c r="O171" s="16" t="s">
        <v>241</v>
      </c>
    </row>
    <row r="172">
      <c r="A172" s="14" t="str">
        <f>data!$B$16</f>
      </c>
      <c r="B172" s="18" t="str">
        <f>SUMPRODUCT((UPPER(D173:D177)&lt;&gt;"X")*((LEN(SUBSTITUTE(SUBSTITUTE(SUBSTITUTE(B173:B177," ",""),"0",""),"-",""))+LEN(SUBSTITUTE(SUBSTITUTE(SUBSTITUTE(C173:C177," ",""),"0",""),"-","")))&gt;(LEN(SUBSTITUTE(SUBSTITUTE(SUBSTITUTE(E173:E177," ",""),"0",""),"-",""))+LEN(SUBSTITUTE(SUBSTITUTE(SUBSTITUTE(F173:F177," ",""),"0",""),"-",""))))*1)</f>
      </c>
      <c r="C172" s="18" t="str">
        <f>SUMPRODUCT(LEN(SUBSTITUTE(SUBSTITUTE(SUBSTITUTE(B173:B177," ",""),"0",""),"-",""))+LEN(SUBSTITUTE(SUBSTITUTE(SUBSTITUTE(C173:C177," ",""),"0",""),"-","")))</f>
      </c>
      <c r="D172" s="18"/>
      <c r="E172" s="18" t="str">
        <f>SUMPRODUCT(LEN(SUBSTITUTE(SUBSTITUTE(SUBSTITUTE(E173:E177," ",""),"0",""),"-",""))+LEN(SUBSTITUTE(SUBSTITUTE(SUBSTITUTE(F173:F177," ",""),"0",""),"-","")))</f>
      </c>
      <c r="F172" s="18" t="str">
        <f>SUMPRODUCT((UPPER(D173:D177)&lt;&gt;"X")*((LEN(SUBSTITUTE(SUBSTITUTE(SUBSTITUTE(E173:E177," ",""),"0",""),"-",""))+LEN(SUBSTITUTE(SUBSTITUTE(SUBSTITUTE(F173:F177," ",""),"0",""),"-","")))&gt;(LEN(SUBSTITUTE(SUBSTITUTE(SUBSTITUTE(B173:B177," ",""),"0",""),"-",""))+LEN(SUBSTITUTE(SUBSTITUTE(SUBSTITUTE(C173:C177," ",""),"0",""),"-",""))))*1)</f>
      </c>
      <c r="G172" s="14" t="str">
        <f>data!$B$15</f>
      </c>
      <c r="I172" s="14" t="str">
        <f>data!$B$63</f>
      </c>
      <c r="J172" s="18" t="str">
        <f>SUMPRODUCT((UPPER(L173:L177)&lt;&gt;"X")*((LEN(SUBSTITUTE(SUBSTITUTE(SUBSTITUTE(J173:J177," ",""),"0",""),"-",""))+LEN(SUBSTITUTE(SUBSTITUTE(SUBSTITUTE(K173:K177," ",""),"0",""),"-","")))&gt;(LEN(SUBSTITUTE(SUBSTITUTE(SUBSTITUTE(M173:M177," ",""),"0",""),"-",""))+LEN(SUBSTITUTE(SUBSTITUTE(SUBSTITUTE(N173:N177," ",""),"0",""),"-",""))))*1)</f>
      </c>
      <c r="K172" s="18" t="str">
        <f>SUMPRODUCT(LEN(SUBSTITUTE(SUBSTITUTE(SUBSTITUTE(J173:J177," ",""),"0",""),"-",""))+LEN(SUBSTITUTE(SUBSTITUTE(SUBSTITUTE(K173:K177," ",""),"0",""),"-","")))</f>
      </c>
      <c r="L172" s="18"/>
      <c r="M172" s="18" t="str">
        <f>SUMPRODUCT(LEN(SUBSTITUTE(SUBSTITUTE(SUBSTITUTE(M173:M177," ",""),"0",""),"-",""))+LEN(SUBSTITUTE(SUBSTITUTE(SUBSTITUTE(N173:N177," ",""),"0",""),"-","")))</f>
      </c>
      <c r="N172" s="18" t="str">
        <f>SUMPRODUCT((UPPER(L173:L177)&lt;&gt;"X")*((LEN(SUBSTITUTE(SUBSTITUTE(SUBSTITUTE(M173:M177," ",""),"0",""),"-",""))+LEN(SUBSTITUTE(SUBSTITUTE(SUBSTITUTE(N173:N177," ",""),"0",""),"-","")))&gt;(LEN(SUBSTITUTE(SUBSTITUTE(SUBSTITUTE(J173:J177," ",""),"0",""),"-",""))+LEN(SUBSTITUTE(SUBSTITUTE(SUBSTITUTE(K173:K177," ",""),"0",""),"-",""))))*1)</f>
      </c>
      <c r="O172" s="14" t="str">
        <f>data!$B$62</f>
      </c>
    </row>
    <row r="173">
      <c r="A173" s="18">
        <v>1</v>
      </c>
      <c r="B173" s="18"/>
      <c r="C173" s="18"/>
      <c r="D173" s="18"/>
      <c r="E173" s="18"/>
      <c r="F173" s="18"/>
      <c r="G173" s="18">
        <v>1</v>
      </c>
      <c r="I173" s="18">
        <v>1</v>
      </c>
      <c r="J173" s="18"/>
      <c r="K173" s="18"/>
      <c r="L173" s="18"/>
      <c r="M173" s="18"/>
      <c r="N173" s="18"/>
      <c r="O173" s="18">
        <v>1</v>
      </c>
    </row>
    <row r="174">
      <c r="A174" s="18">
        <v>2</v>
      </c>
      <c r="B174" s="18"/>
      <c r="C174" s="18"/>
      <c r="D174" s="18"/>
      <c r="E174" s="18"/>
      <c r="F174" s="18"/>
      <c r="G174" s="18">
        <v>2</v>
      </c>
      <c r="I174" s="18">
        <v>2</v>
      </c>
      <c r="J174" s="18"/>
      <c r="K174" s="18"/>
      <c r="L174" s="18"/>
      <c r="M174" s="18"/>
      <c r="N174" s="18"/>
      <c r="O174" s="18">
        <v>2</v>
      </c>
    </row>
    <row r="175">
      <c r="A175" s="18">
        <v>3</v>
      </c>
      <c r="B175" s="18"/>
      <c r="C175" s="18"/>
      <c r="D175" s="18"/>
      <c r="E175" s="18"/>
      <c r="F175" s="18"/>
      <c r="G175" s="18">
        <v>3</v>
      </c>
      <c r="I175" s="18">
        <v>3</v>
      </c>
      <c r="J175" s="18"/>
      <c r="K175" s="18"/>
      <c r="L175" s="18"/>
      <c r="M175" s="18"/>
      <c r="N175" s="18"/>
      <c r="O175" s="18">
        <v>3</v>
      </c>
    </row>
    <row r="176">
      <c r="A176" s="18">
        <v>4</v>
      </c>
      <c r="B176" s="18"/>
      <c r="C176" s="18"/>
      <c r="D176" s="18"/>
      <c r="E176" s="18"/>
      <c r="F176" s="18"/>
      <c r="G176" s="18">
        <v>4</v>
      </c>
      <c r="I176" s="18">
        <v>4</v>
      </c>
      <c r="J176" s="18"/>
      <c r="K176" s="18"/>
      <c r="L176" s="18"/>
      <c r="M176" s="18"/>
      <c r="N176" s="18"/>
      <c r="O176" s="18">
        <v>4</v>
      </c>
    </row>
    <row r="177">
      <c r="A177" s="18">
        <v>5</v>
      </c>
      <c r="B177" s="18"/>
      <c r="C177" s="18"/>
      <c r="D177" s="18"/>
      <c r="E177" s="18"/>
      <c r="F177" s="18"/>
      <c r="G177" s="18">
        <v>5</v>
      </c>
      <c r="I177" s="18">
        <v>5</v>
      </c>
      <c r="J177" s="18"/>
      <c r="K177" s="18"/>
      <c r="L177" s="18"/>
      <c r="M177" s="18"/>
      <c r="N177" s="18"/>
      <c r="O177" s="18">
        <v>5</v>
      </c>
    </row>
    <row r="179">
      <c r="A179" s="17" t="s">
        <v>239</v>
      </c>
      <c r="B179" s="14"/>
      <c r="C179" s="14"/>
      <c r="D179" s="14" t="s">
        <v>240</v>
      </c>
      <c r="E179" s="14"/>
      <c r="F179" s="14"/>
      <c r="G179" s="16" t="s">
        <v>241</v>
      </c>
      <c r="I179" s="17" t="s">
        <v>239</v>
      </c>
      <c r="J179" s="14"/>
      <c r="K179" s="14"/>
      <c r="L179" s="14" t="s">
        <v>240</v>
      </c>
      <c r="M179" s="14"/>
      <c r="N179" s="14"/>
      <c r="O179" s="16" t="s">
        <v>241</v>
      </c>
    </row>
    <row r="180">
      <c r="A180" s="14" t="str">
        <f>data!$B$17</f>
      </c>
      <c r="B180" s="18" t="str">
        <f>SUMPRODUCT((UPPER(D181:D185)&lt;&gt;"X")*((LEN(SUBSTITUTE(SUBSTITUTE(SUBSTITUTE(B181:B185," ",""),"0",""),"-",""))+LEN(SUBSTITUTE(SUBSTITUTE(SUBSTITUTE(C181:C185," ",""),"0",""),"-","")))&gt;(LEN(SUBSTITUTE(SUBSTITUTE(SUBSTITUTE(E181:E185," ",""),"0",""),"-",""))+LEN(SUBSTITUTE(SUBSTITUTE(SUBSTITUTE(F181:F185," ",""),"0",""),"-",""))))*1)</f>
      </c>
      <c r="C180" s="18" t="str">
        <f>SUMPRODUCT(LEN(SUBSTITUTE(SUBSTITUTE(SUBSTITUTE(B181:B185," ",""),"0",""),"-",""))+LEN(SUBSTITUTE(SUBSTITUTE(SUBSTITUTE(C181:C185," ",""),"0",""),"-","")))</f>
      </c>
      <c r="D180" s="18"/>
      <c r="E180" s="18" t="str">
        <f>SUMPRODUCT(LEN(SUBSTITUTE(SUBSTITUTE(SUBSTITUTE(E181:E185," ",""),"0",""),"-",""))+LEN(SUBSTITUTE(SUBSTITUTE(SUBSTITUTE(F181:F185," ",""),"0",""),"-","")))</f>
      </c>
      <c r="F180" s="18" t="str">
        <f>SUMPRODUCT((UPPER(D181:D185)&lt;&gt;"X")*((LEN(SUBSTITUTE(SUBSTITUTE(SUBSTITUTE(E181:E185," ",""),"0",""),"-",""))+LEN(SUBSTITUTE(SUBSTITUTE(SUBSTITUTE(F181:F185," ",""),"0",""),"-","")))&gt;(LEN(SUBSTITUTE(SUBSTITUTE(SUBSTITUTE(B181:B185," ",""),"0",""),"-",""))+LEN(SUBSTITUTE(SUBSTITUTE(SUBSTITUTE(C181:C185," ",""),"0",""),"-",""))))*1)</f>
      </c>
      <c r="G180" s="14" t="str">
        <f>data!$B$15</f>
      </c>
      <c r="I180" s="14" t="str">
        <f>data!$B$64</f>
      </c>
      <c r="J180" s="18" t="str">
        <f>SUMPRODUCT((UPPER(L181:L185)&lt;&gt;"X")*((LEN(SUBSTITUTE(SUBSTITUTE(SUBSTITUTE(J181:J185," ",""),"0",""),"-",""))+LEN(SUBSTITUTE(SUBSTITUTE(SUBSTITUTE(K181:K185," ",""),"0",""),"-","")))&gt;(LEN(SUBSTITUTE(SUBSTITUTE(SUBSTITUTE(M181:M185," ",""),"0",""),"-",""))+LEN(SUBSTITUTE(SUBSTITUTE(SUBSTITUTE(N181:N185," ",""),"0",""),"-",""))))*1)</f>
      </c>
      <c r="K180" s="18" t="str">
        <f>SUMPRODUCT(LEN(SUBSTITUTE(SUBSTITUTE(SUBSTITUTE(J181:J185," ",""),"0",""),"-",""))+LEN(SUBSTITUTE(SUBSTITUTE(SUBSTITUTE(K181:K185," ",""),"0",""),"-","")))</f>
      </c>
      <c r="L180" s="18"/>
      <c r="M180" s="18" t="str">
        <f>SUMPRODUCT(LEN(SUBSTITUTE(SUBSTITUTE(SUBSTITUTE(M181:M185," ",""),"0",""),"-",""))+LEN(SUBSTITUTE(SUBSTITUTE(SUBSTITUTE(N181:N185," ",""),"0",""),"-","")))</f>
      </c>
      <c r="N180" s="18" t="str">
        <f>SUMPRODUCT((UPPER(L181:L185)&lt;&gt;"X")*((LEN(SUBSTITUTE(SUBSTITUTE(SUBSTITUTE(M181:M185," ",""),"0",""),"-",""))+LEN(SUBSTITUTE(SUBSTITUTE(SUBSTITUTE(N181:N185," ",""),"0",""),"-","")))&gt;(LEN(SUBSTITUTE(SUBSTITUTE(SUBSTITUTE(J181:J185," ",""),"0",""),"-",""))+LEN(SUBSTITUTE(SUBSTITUTE(SUBSTITUTE(K181:K185," ",""),"0",""),"-",""))))*1)</f>
      </c>
      <c r="O180" s="14" t="str">
        <f>data!$B$62</f>
      </c>
    </row>
    <row r="181">
      <c r="A181" s="18">
        <v>1</v>
      </c>
      <c r="B181" s="18"/>
      <c r="C181" s="18"/>
      <c r="D181" s="18"/>
      <c r="E181" s="18"/>
      <c r="F181" s="18"/>
      <c r="G181" s="18">
        <v>1</v>
      </c>
      <c r="I181" s="18">
        <v>1</v>
      </c>
      <c r="J181" s="18"/>
      <c r="K181" s="18"/>
      <c r="L181" s="18"/>
      <c r="M181" s="18"/>
      <c r="N181" s="18"/>
      <c r="O181" s="18">
        <v>1</v>
      </c>
    </row>
    <row r="182">
      <c r="A182" s="18">
        <v>2</v>
      </c>
      <c r="B182" s="18"/>
      <c r="C182" s="18"/>
      <c r="D182" s="18"/>
      <c r="E182" s="18"/>
      <c r="F182" s="18"/>
      <c r="G182" s="18">
        <v>2</v>
      </c>
      <c r="I182" s="18">
        <v>2</v>
      </c>
      <c r="J182" s="18"/>
      <c r="K182" s="18"/>
      <c r="L182" s="18"/>
      <c r="M182" s="18"/>
      <c r="N182" s="18"/>
      <c r="O182" s="18">
        <v>2</v>
      </c>
    </row>
    <row r="183">
      <c r="A183" s="18">
        <v>3</v>
      </c>
      <c r="B183" s="18"/>
      <c r="C183" s="18"/>
      <c r="D183" s="18"/>
      <c r="E183" s="18"/>
      <c r="F183" s="18"/>
      <c r="G183" s="18">
        <v>3</v>
      </c>
      <c r="I183" s="18">
        <v>3</v>
      </c>
      <c r="J183" s="18"/>
      <c r="K183" s="18"/>
      <c r="L183" s="18"/>
      <c r="M183" s="18"/>
      <c r="N183" s="18"/>
      <c r="O183" s="18">
        <v>3</v>
      </c>
    </row>
    <row r="184">
      <c r="A184" s="18">
        <v>4</v>
      </c>
      <c r="B184" s="18"/>
      <c r="C184" s="18"/>
      <c r="D184" s="18"/>
      <c r="E184" s="18"/>
      <c r="F184" s="18"/>
      <c r="G184" s="18">
        <v>4</v>
      </c>
      <c r="I184" s="18">
        <v>4</v>
      </c>
      <c r="J184" s="18"/>
      <c r="K184" s="18"/>
      <c r="L184" s="18"/>
      <c r="M184" s="18"/>
      <c r="N184" s="18"/>
      <c r="O184" s="18">
        <v>4</v>
      </c>
    </row>
    <row r="185">
      <c r="A185" s="18">
        <v>5</v>
      </c>
      <c r="B185" s="18"/>
      <c r="C185" s="18"/>
      <c r="D185" s="18"/>
      <c r="E185" s="18"/>
      <c r="F185" s="18"/>
      <c r="G185" s="18">
        <v>5</v>
      </c>
      <c r="I185" s="18">
        <v>5</v>
      </c>
      <c r="J185" s="18"/>
      <c r="K185" s="18"/>
      <c r="L185" s="18"/>
      <c r="M185" s="18"/>
      <c r="N185" s="18"/>
      <c r="O185" s="18">
        <v>5</v>
      </c>
    </row>
    <row r="187">
      <c r="A187" s="17" t="s">
        <v>239</v>
      </c>
      <c r="B187" s="14"/>
      <c r="C187" s="14"/>
      <c r="D187" s="14" t="s">
        <v>240</v>
      </c>
      <c r="E187" s="14"/>
      <c r="F187" s="14"/>
      <c r="G187" s="16" t="s">
        <v>241</v>
      </c>
      <c r="I187" s="17" t="s">
        <v>239</v>
      </c>
      <c r="J187" s="14"/>
      <c r="K187" s="14"/>
      <c r="L187" s="14" t="s">
        <v>240</v>
      </c>
      <c r="M187" s="14"/>
      <c r="N187" s="14"/>
      <c r="O187" s="16" t="s">
        <v>241</v>
      </c>
    </row>
    <row r="188">
      <c r="A188" s="14" t="str">
        <f>data!$B$17</f>
      </c>
      <c r="B188" s="18" t="str">
        <f>SUMPRODUCT((UPPER(D189:D193)&lt;&gt;"X")*((LEN(SUBSTITUTE(SUBSTITUTE(SUBSTITUTE(B189:B193," ",""),"0",""),"-",""))+LEN(SUBSTITUTE(SUBSTITUTE(SUBSTITUTE(C189:C193," ",""),"0",""),"-","")))&gt;(LEN(SUBSTITUTE(SUBSTITUTE(SUBSTITUTE(E189:E193," ",""),"0",""),"-",""))+LEN(SUBSTITUTE(SUBSTITUTE(SUBSTITUTE(F189:F193," ",""),"0",""),"-",""))))*1)</f>
      </c>
      <c r="C188" s="18" t="str">
        <f>SUMPRODUCT(LEN(SUBSTITUTE(SUBSTITUTE(SUBSTITUTE(B189:B193," ",""),"0",""),"-",""))+LEN(SUBSTITUTE(SUBSTITUTE(SUBSTITUTE(C189:C193," ",""),"0",""),"-","")))</f>
      </c>
      <c r="D188" s="18"/>
      <c r="E188" s="18" t="str">
        <f>SUMPRODUCT(LEN(SUBSTITUTE(SUBSTITUTE(SUBSTITUTE(E189:E193," ",""),"0",""),"-",""))+LEN(SUBSTITUTE(SUBSTITUTE(SUBSTITUTE(F189:F193," ",""),"0",""),"-","")))</f>
      </c>
      <c r="F188" s="18" t="str">
        <f>SUMPRODUCT((UPPER(D189:D193)&lt;&gt;"X")*((LEN(SUBSTITUTE(SUBSTITUTE(SUBSTITUTE(E189:E193," ",""),"0",""),"-",""))+LEN(SUBSTITUTE(SUBSTITUTE(SUBSTITUTE(F189:F193," ",""),"0",""),"-","")))&gt;(LEN(SUBSTITUTE(SUBSTITUTE(SUBSTITUTE(B189:B193," ",""),"0",""),"-",""))+LEN(SUBSTITUTE(SUBSTITUTE(SUBSTITUTE(C189:C193," ",""),"0",""),"-",""))))*1)</f>
      </c>
      <c r="G188" s="14" t="str">
        <f>data!$B$16</f>
      </c>
      <c r="I188" s="14" t="str">
        <f>data!$B$64</f>
      </c>
      <c r="J188" s="18" t="str">
        <f>SUMPRODUCT((UPPER(L189:L193)&lt;&gt;"X")*((LEN(SUBSTITUTE(SUBSTITUTE(SUBSTITUTE(J189:J193," ",""),"0",""),"-",""))+LEN(SUBSTITUTE(SUBSTITUTE(SUBSTITUTE(K189:K193," ",""),"0",""),"-","")))&gt;(LEN(SUBSTITUTE(SUBSTITUTE(SUBSTITUTE(M189:M193," ",""),"0",""),"-",""))+LEN(SUBSTITUTE(SUBSTITUTE(SUBSTITUTE(N189:N193," ",""),"0",""),"-",""))))*1)</f>
      </c>
      <c r="K188" s="18" t="str">
        <f>SUMPRODUCT(LEN(SUBSTITUTE(SUBSTITUTE(SUBSTITUTE(J189:J193," ",""),"0",""),"-",""))+LEN(SUBSTITUTE(SUBSTITUTE(SUBSTITUTE(K189:K193," ",""),"0",""),"-","")))</f>
      </c>
      <c r="L188" s="18"/>
      <c r="M188" s="18" t="str">
        <f>SUMPRODUCT(LEN(SUBSTITUTE(SUBSTITUTE(SUBSTITUTE(M189:M193," ",""),"0",""),"-",""))+LEN(SUBSTITUTE(SUBSTITUTE(SUBSTITUTE(N189:N193," ",""),"0",""),"-","")))</f>
      </c>
      <c r="N188" s="18" t="str">
        <f>SUMPRODUCT((UPPER(L189:L193)&lt;&gt;"X")*((LEN(SUBSTITUTE(SUBSTITUTE(SUBSTITUTE(M189:M193," ",""),"0",""),"-",""))+LEN(SUBSTITUTE(SUBSTITUTE(SUBSTITUTE(N189:N193," ",""),"0",""),"-","")))&gt;(LEN(SUBSTITUTE(SUBSTITUTE(SUBSTITUTE(J189:J193," ",""),"0",""),"-",""))+LEN(SUBSTITUTE(SUBSTITUTE(SUBSTITUTE(K189:K193," ",""),"0",""),"-",""))))*1)</f>
      </c>
      <c r="O188" s="14" t="str">
        <f>data!$B$63</f>
      </c>
    </row>
    <row r="189">
      <c r="A189" s="18">
        <v>1</v>
      </c>
      <c r="B189" s="18"/>
      <c r="C189" s="18"/>
      <c r="D189" s="18"/>
      <c r="E189" s="18"/>
      <c r="F189" s="18"/>
      <c r="G189" s="18">
        <v>1</v>
      </c>
      <c r="I189" s="18">
        <v>1</v>
      </c>
      <c r="J189" s="18"/>
      <c r="K189" s="18"/>
      <c r="L189" s="18"/>
      <c r="M189" s="18"/>
      <c r="N189" s="18"/>
      <c r="O189" s="18">
        <v>1</v>
      </c>
    </row>
    <row r="190">
      <c r="A190" s="18">
        <v>2</v>
      </c>
      <c r="B190" s="18"/>
      <c r="C190" s="18"/>
      <c r="D190" s="18"/>
      <c r="E190" s="18"/>
      <c r="F190" s="18"/>
      <c r="G190" s="18">
        <v>2</v>
      </c>
      <c r="I190" s="18">
        <v>2</v>
      </c>
      <c r="J190" s="18"/>
      <c r="K190" s="18"/>
      <c r="L190" s="18"/>
      <c r="M190" s="18"/>
      <c r="N190" s="18"/>
      <c r="O190" s="18">
        <v>2</v>
      </c>
    </row>
    <row r="191">
      <c r="A191" s="18">
        <v>3</v>
      </c>
      <c r="B191" s="18"/>
      <c r="C191" s="18"/>
      <c r="D191" s="18"/>
      <c r="E191" s="18"/>
      <c r="F191" s="18"/>
      <c r="G191" s="18">
        <v>3</v>
      </c>
      <c r="I191" s="18">
        <v>3</v>
      </c>
      <c r="J191" s="18"/>
      <c r="K191" s="18"/>
      <c r="L191" s="18"/>
      <c r="M191" s="18"/>
      <c r="N191" s="18"/>
      <c r="O191" s="18">
        <v>3</v>
      </c>
    </row>
    <row r="192">
      <c r="A192" s="18">
        <v>4</v>
      </c>
      <c r="B192" s="18"/>
      <c r="C192" s="18"/>
      <c r="D192" s="18"/>
      <c r="E192" s="18"/>
      <c r="F192" s="18"/>
      <c r="G192" s="18">
        <v>4</v>
      </c>
      <c r="I192" s="18">
        <v>4</v>
      </c>
      <c r="J192" s="18"/>
      <c r="K192" s="18"/>
      <c r="L192" s="18"/>
      <c r="M192" s="18"/>
      <c r="N192" s="18"/>
      <c r="O192" s="18">
        <v>4</v>
      </c>
    </row>
    <row r="193">
      <c r="A193" s="18">
        <v>5</v>
      </c>
      <c r="B193" s="18"/>
      <c r="C193" s="18"/>
      <c r="D193" s="18"/>
      <c r="E193" s="18"/>
      <c r="F193" s="18"/>
      <c r="G193" s="18">
        <v>5</v>
      </c>
      <c r="I193" s="18">
        <v>5</v>
      </c>
      <c r="J193" s="18"/>
      <c r="K193" s="18"/>
      <c r="L193" s="18"/>
      <c r="M193" s="18"/>
      <c r="N193" s="18"/>
      <c r="O193" s="18">
        <v>5</v>
      </c>
    </row>
    <row r="196">
      <c r="A196" s="13"/>
      <c r="B196" s="13" t="s">
        <v>242</v>
      </c>
      <c r="C196" s="13" t="s">
        <v>243</v>
      </c>
      <c r="D196" s="13" t="s">
        <v>244</v>
      </c>
      <c r="I196" s="13"/>
      <c r="J196" s="13" t="s">
        <v>242</v>
      </c>
      <c r="K196" s="13" t="s">
        <v>243</v>
      </c>
      <c r="L196" s="13" t="s">
        <v>244</v>
      </c>
    </row>
    <row r="197">
      <c r="A197" t="str">
        <f>data!$B$15</f>
      </c>
      <c r="B197" s="14" t="str">
        <f>IF(OR(COUNTA(B173:C177,E173:F177)&gt;0,OR(D172="X",D172="x")),IF(OR(D172="X",D172="x"),0,IF(OR(F172&gt;B172,AND(F172=B172,E172&gt;C172)),1,0)),0)+IF(OR(COUNTA(B181:C185,E181:F185)&gt;0,OR(D180="X",D180="x")),IF(OR(D180="X",D180="x"),0,IF(OR(F180&gt;B180,AND(F180=B180,E180&gt;C180)),1,0)),0)</f>
      </c>
      <c r="C197" s="14" t="str">
        <f>IF(OR(COUNTA(B173:C177,E173:F177)&gt;0,OR(D172="X",D172="x")),IF(OR(D172="X",D172="x"),0,IF(OR(F172&lt;B172,AND(F172=B172,E172&lt;C172)),1,0)),0)+IF(OR(COUNTA(B181:C185,E181:F185)&gt;0,OR(D180="X",D180="x")),IF(OR(D180="X",D180="x"),0,IF(OR(F180&lt;B180,AND(F180=B180,E180&lt;C180)),1,0)),0)</f>
      </c>
      <c r="D197" s="14" t="str">
        <f>IF(OR(COUNTA(B173:C177,E173:F177)&gt;0,OR(D172="X",D172="x")),IF(OR(D172="X",D172="x"),1,0),0)+IF(OR(COUNTA(B181:C185,E181:F185)&gt;0,OR(D180="X",D180="x")),IF(OR(D180="X",D180="x"),1,0),0)</f>
      </c>
      <c r="I197" t="str">
        <f>data!$B$62</f>
      </c>
      <c r="J197" s="14" t="str">
        <f>IF(OR(COUNTA(J173:K177,M173:N177)&gt;0,OR(L172="X",L172="x")),IF(OR(L172="X",L172="x"),0,IF(OR(N172&gt;J172,AND(N172=J172,M172&gt;K172)),1,0)),0)+IF(OR(COUNTA(J181:K185,M181:N185)&gt;0,OR(L180="X",L180="x")),IF(OR(L180="X",L180="x"),0,IF(OR(N180&gt;J180,AND(N180=J180,M180&gt;K180)),1,0)),0)</f>
      </c>
      <c r="K197" s="14" t="str">
        <f>IF(OR(COUNTA(J173:K177,M173:N177)&gt;0,OR(L172="X",L172="x")),IF(OR(L172="X",L172="x"),0,IF(OR(N172&lt;J172,AND(N172=J172,M172&lt;K172)),1,0)),0)+IF(OR(COUNTA(J181:K185,M181:N185)&gt;0,OR(L180="X",L180="x")),IF(OR(L180="X",L180="x"),0,IF(OR(N180&lt;J180,AND(N180=J180,M180&lt;K180)),1,0)),0)</f>
      </c>
      <c r="L197" s="14" t="str">
        <f>IF(OR(COUNTA(J173:K177,M173:N177)&gt;0,OR(L172="X",L172="x")),IF(OR(L172="X",L172="x"),1,0),0)+IF(OR(COUNTA(J181:K185,M181:N185)&gt;0,OR(L180="X",L180="x")),IF(OR(L180="X",L180="x"),1,0),0)</f>
      </c>
    </row>
    <row r="198">
      <c r="A198" t="str">
        <f>data!$B$16</f>
      </c>
      <c r="B198" s="14" t="str">
        <f>IF(OR(COUNTA(B173:C177,E173:F177)&gt;0,OR(D172="X",D172="x")),IF(OR(D172="X",D172="x"),0,IF(OR(B172&gt;F172,AND(B172=F172,C172&gt;E172)),1,0)),0)+IF(OR(COUNTA(B189:C193,E189:F193)&gt;0,OR(D188="X",D188="x")),IF(OR(D188="X",D188="x"),0,IF(OR(F188&gt;B188,AND(F188=B188,E188&gt;C188)),1,0)),0)</f>
      </c>
      <c r="C198" s="14" t="str">
        <f>IF(OR(COUNTA(B173:C177,E173:F177)&gt;0,OR(D172="X",D172="x")),IF(OR(D172="X",D172="x"),0,IF(OR(B172&lt;F172,AND(B172=F172,C172&lt;E172)),1,0)),0)+IF(OR(COUNTA(B189:C193,E189:F193)&gt;0,OR(D188="X",D188="x")),IF(OR(D188="X",D188="x"),0,IF(OR(F188&lt;B188,AND(F188=B188,E188&lt;C188)),1,0)),0)</f>
      </c>
      <c r="D198" s="14" t="str">
        <f>IF(OR(COUNTA(B173:C177,E173:F177)&gt;0,OR(D172="X",D172="x")),IF(OR(D172="X",D172="x"),1,0),0)+IF(OR(COUNTA(B189:C193,E189:F193)&gt;0,OR(D188="X",D188="x")),IF(OR(D188="X",D188="x"),1,0),0)</f>
      </c>
      <c r="I198" t="str">
        <f>data!$B$63</f>
      </c>
      <c r="J198" s="14" t="str">
        <f>IF(OR(COUNTA(J173:K177,M173:N177)&gt;0,OR(L172="X",L172="x")),IF(OR(L172="X",L172="x"),0,IF(OR(J172&gt;N172,AND(J172=N172,K172&gt;M172)),1,0)),0)+IF(OR(COUNTA(J189:K193,M189:N193)&gt;0,OR(L188="X",L188="x")),IF(OR(L188="X",L188="x"),0,IF(OR(N188&gt;J188,AND(N188=J188,M188&gt;K188)),1,0)),0)</f>
      </c>
      <c r="K198" s="14" t="str">
        <f>IF(OR(COUNTA(J173:K177,M173:N177)&gt;0,OR(L172="X",L172="x")),IF(OR(L172="X",L172="x"),0,IF(OR(J172&lt;N172,AND(J172=N172,K172&lt;M172)),1,0)),0)+IF(OR(COUNTA(J189:K193,M189:N193)&gt;0,OR(L188="X",L188="x")),IF(OR(L188="X",L188="x"),0,IF(OR(N188&lt;J188,AND(N188=J188,M188&lt;K188)),1,0)),0)</f>
      </c>
      <c r="L198" s="14" t="str">
        <f>IF(OR(COUNTA(J173:K177,M173:N177)&gt;0,OR(L172="X",L172="x")),IF(OR(L172="X",L172="x"),1,0),0)+IF(OR(COUNTA(J189:K193,M189:N193)&gt;0,OR(L188="X",L188="x")),IF(OR(L188="X",L188="x"),1,0),0)</f>
      </c>
    </row>
    <row r="199">
      <c r="A199" t="str">
        <f>data!$B$17</f>
      </c>
      <c r="B199" s="14" t="str">
        <f>IF(OR(COUNTA(B181:C185,E181:F185)&gt;0,OR(D180="X",D180="x")),IF(OR(D180="X",D180="x"),0,IF(OR(B180&gt;F180,AND(B180=F180,C180&gt;E180)),1,0)),0)+IF(OR(COUNTA(B189:C193,E189:F193)&gt;0,OR(D188="X",D188="x")),IF(OR(D188="X",D188="x"),0,IF(OR(B188&gt;F188,AND(B188=F188,C188&gt;E188)),1,0)),0)</f>
      </c>
      <c r="C199" s="14" t="str">
        <f>IF(OR(COUNTA(B181:C185,E181:F185)&gt;0,OR(D180="X",D180="x")),IF(OR(D180="X",D180="x"),0,IF(OR(B180&lt;F180,AND(B180=F180,C180&lt;E180)),1,0)),0)+IF(OR(COUNTA(B189:C193,E189:F193)&gt;0,OR(D188="X",D188="x")),IF(OR(D188="X",D188="x"),0,IF(OR(B188&lt;F188,AND(B188=F188,C188&lt;E188)),1,0)),0)</f>
      </c>
      <c r="D199" s="14" t="str">
        <f>IF(OR(COUNTA(B181:C185,E181:F185)&gt;0,OR(D180="X",D180="x")),IF(OR(D180="X",D180="x"),1,0),0)+IF(OR(COUNTA(B189:C193,E189:F193)&gt;0,OR(D188="X",D188="x")),IF(OR(D188="X",D188="x"),1,0),0)</f>
      </c>
      <c r="I199" t="str">
        <f>data!$B$64</f>
      </c>
      <c r="J199" s="14" t="str">
        <f>IF(OR(COUNTA(J181:K185,M181:N185)&gt;0,OR(L180="X",L180="x")),IF(OR(L180="X",L180="x"),0,IF(OR(J180&gt;N180,AND(J180=N180,K180&gt;M180)),1,0)),0)+IF(OR(COUNTA(J189:K193,M189:N193)&gt;0,OR(L188="X",L188="x")),IF(OR(L188="X",L188="x"),0,IF(OR(J188&gt;N188,AND(J188=N188,K188&gt;M188)),1,0)),0)</f>
      </c>
      <c r="K199" s="14" t="str">
        <f>IF(OR(COUNTA(J181:K185,M181:N185)&gt;0,OR(L180="X",L180="x")),IF(OR(L180="X",L180="x"),0,IF(OR(J180&lt;N180,AND(J180=N180,K180&lt;M180)),1,0)),0)+IF(OR(COUNTA(J189:K193,M189:N193)&gt;0,OR(L188="X",L188="x")),IF(OR(L188="X",L188="x"),0,IF(OR(J188&lt;N188,AND(J188=N188,K188&lt;M188)),1,0)),0)</f>
      </c>
      <c r="L199" s="14" t="str">
        <f>IF(OR(COUNTA(J181:K185,M181:N185)&gt;0,OR(L180="X",L180="x")),IF(OR(L180="X",L180="x"),1,0),0)+IF(OR(COUNTA(J189:K193,M189:N193)&gt;0,OR(L188="X",L188="x")),IF(OR(L188="X",L188="x"),1,0),0)</f>
      </c>
    </row>
    <row r="201">
      <c r="A201" s="13"/>
      <c r="B201" s="13" t="s">
        <v>245</v>
      </c>
      <c r="C201" s="13" t="s">
        <v>246</v>
      </c>
      <c r="D201" s="13" t="s">
        <v>247</v>
      </c>
      <c r="E201" s="13" t="s">
        <v>248</v>
      </c>
      <c r="F201" s="13" t="s">
        <v>249</v>
      </c>
      <c r="I201" s="13"/>
      <c r="J201" s="13" t="s">
        <v>245</v>
      </c>
      <c r="K201" s="13" t="s">
        <v>246</v>
      </c>
      <c r="L201" s="13" t="s">
        <v>247</v>
      </c>
      <c r="M201" s="13" t="s">
        <v>248</v>
      </c>
      <c r="N201" s="13" t="s">
        <v>249</v>
      </c>
    </row>
    <row r="202">
      <c r="A202" t="str">
        <f>data!$B$15</f>
      </c>
      <c r="B202" s="14" t="str">
        <f>IF(OR(COUNTA(B173:C177,E173:F177)&gt;0,OR(D172="X",D172="x")),F172,0)+IF(OR(COUNTA(B181:C185,E181:F185)&gt;0,OR(D180="X",D180="x")),F180,0)</f>
      </c>
      <c r="C202" s="14" t="str">
        <f>IF(OR(COUNTA(B173:C177,E173:F177)&gt;0,OR(D172="X",D172="x")),B172,0)+IF(OR(COUNTA(B181:C185,E181:F185)&gt;0,OR(D180="X",D180="x")),B180,0)</f>
      </c>
      <c r="D202" s="14" t="str">
        <f>IF(OR(COUNTA(B173:C177,E173:F177)&gt;0,OR(D172="X",D172="x")),(IF(OR(D173="X",D173="x"),1,0)+IF(OR(D174="X",D174="x"),1,0)+IF(OR(D175="X",D175="x"),1,0)+IF(OR(D176="X",D176="x"),1,0)+IF(OR(D177="X",D177="x"),1,0)),0)+IF(OR(COUNTA(B181:C185,E181:F185)&gt;0,OR(D180="X",D180="x")),(IF(OR(D181="X",D181="x"),1,0)+IF(OR(D182="X",D182="x"),1,0)+IF(OR(D183="X",D183="x"),1,0)+IF(OR(D184="X",D184="x"),1,0)+IF(OR(D185="X",D185="x"),1,0)),0)</f>
      </c>
      <c r="E202" s="14" t="str">
        <f>E172+E180</f>
      </c>
      <c r="F202" s="14" t="str">
        <f>C172+C180</f>
      </c>
      <c r="I202" t="str">
        <f>data!$B$62</f>
      </c>
      <c r="J202" s="14" t="str">
        <f>IF(OR(COUNTA(J173:K177,M173:N177)&gt;0,OR(L172="X",L172="x")),N172,0)+IF(OR(COUNTA(J181:K185,M181:N185)&gt;0,OR(L180="X",L180="x")),N180,0)</f>
      </c>
      <c r="K202" s="14" t="str">
        <f>IF(OR(COUNTA(J173:K177,M173:N177)&gt;0,OR(L172="X",L172="x")),J172,0)+IF(OR(COUNTA(J181:K185,M181:N185)&gt;0,OR(L180="X",L180="x")),J180,0)</f>
      </c>
      <c r="L202" s="14" t="str">
        <f>IF(OR(COUNTA(J173:K177,M173:N177)&gt;0,OR(L172="X",L172="x")),(IF(OR(L173="X",L173="x"),1,0)+IF(OR(L174="X",L174="x"),1,0)+IF(OR(L175="X",L175="x"),1,0)+IF(OR(L176="X",L176="x"),1,0)+IF(OR(L177="X",L177="x"),1,0)),0)+IF(OR(COUNTA(J181:K185,M181:N185)&gt;0,OR(L180="X",L180="x")),(IF(OR(L181="X",L181="x"),1,0)+IF(OR(L182="X",L182="x"),1,0)+IF(OR(L183="X",L183="x"),1,0)+IF(OR(L184="X",L184="x"),1,0)+IF(OR(L185="X",L185="x"),1,0)),0)</f>
      </c>
      <c r="M202" s="14" t="str">
        <f>M172+M180</f>
      </c>
      <c r="N202" s="14" t="str">
        <f>K172+K180</f>
      </c>
    </row>
    <row r="203">
      <c r="A203" t="str">
        <f>data!$B$16</f>
      </c>
      <c r="B203" s="14" t="str">
        <f>IF(OR(COUNTA(B173:C177,E173:F177)&gt;0,OR(D172="X",D172="x")),B172,0)+IF(OR(COUNTA(B189:C193,E189:F193)&gt;0,OR(D188="X",D188="x")),F188,0)</f>
      </c>
      <c r="C203" s="14" t="str">
        <f>IF(OR(COUNTA(B173:C177,E173:F177)&gt;0,OR(D172="X",D172="x")),F172,0)+IF(OR(COUNTA(B189:C193,E189:F193)&gt;0,OR(D188="X",D188="x")),B188,0)</f>
      </c>
      <c r="D203" s="14" t="str">
        <f>IF(OR(COUNTA(B173:C177,E173:F177)&gt;0,OR(D172="X",D172="x")),(IF(OR(D173="X",D173="x"),1,0)+IF(OR(D174="X",D174="x"),1,0)+IF(OR(D175="X",D175="x"),1,0)+IF(OR(D176="X",D176="x"),1,0)+IF(OR(D177="X",D177="x"),1,0)),0)+IF(OR(COUNTA(B189:C193,E189:F193)&gt;0,OR(D188="X",D188="x")),(IF(OR(D189="X",D189="x"),1,0)+IF(OR(D190="X",D190="x"),1,0)+IF(OR(D191="X",D191="x"),1,0)+IF(OR(D192="X",D192="x"),1,0)+IF(OR(D193="X",D193="x"),1,0)),0)</f>
      </c>
      <c r="E203" s="14" t="str">
        <f>C172+E188</f>
      </c>
      <c r="F203" s="14" t="str">
        <f>E172+C188</f>
      </c>
      <c r="I203" t="str">
        <f>data!$B$63</f>
      </c>
      <c r="J203" s="14" t="str">
        <f>IF(OR(COUNTA(J173:K177,M173:N177)&gt;0,OR(L172="X",L172="x")),J172,0)+IF(OR(COUNTA(J189:K193,M189:N193)&gt;0,OR(L188="X",L188="x")),N188,0)</f>
      </c>
      <c r="K203" s="14" t="str">
        <f>IF(OR(COUNTA(J173:K177,M173:N177)&gt;0,OR(L172="X",L172="x")),N172,0)+IF(OR(COUNTA(J189:K193,M189:N193)&gt;0,OR(L188="X",L188="x")),J188,0)</f>
      </c>
      <c r="L203" s="14" t="str">
        <f>IF(OR(COUNTA(J173:K177,M173:N177)&gt;0,OR(L172="X",L172="x")),(IF(OR(L173="X",L173="x"),1,0)+IF(OR(L174="X",L174="x"),1,0)+IF(OR(L175="X",L175="x"),1,0)+IF(OR(L176="X",L176="x"),1,0)+IF(OR(L177="X",L177="x"),1,0)),0)+IF(OR(COUNTA(J189:K193,M189:N193)&gt;0,OR(L188="X",L188="x")),(IF(OR(L189="X",L189="x"),1,0)+IF(OR(L190="X",L190="x"),1,0)+IF(OR(L191="X",L191="x"),1,0)+IF(OR(L192="X",L192="x"),1,0)+IF(OR(L193="X",L193="x"),1,0)),0)</f>
      </c>
      <c r="M203" s="14" t="str">
        <f>K172+M188</f>
      </c>
      <c r="N203" s="14" t="str">
        <f>M172+K188</f>
      </c>
    </row>
    <row r="204">
      <c r="A204" t="str">
        <f>data!$B$17</f>
      </c>
      <c r="B204" s="14" t="str">
        <f>IF(OR(COUNTA(B181:C185,E181:F185)&gt;0,OR(D180="X",D180="x")),B180,0)+IF(OR(COUNTA(B189:C193,E189:F193)&gt;0,OR(D188="X",D188="x")),B188,0)</f>
      </c>
      <c r="C204" s="14" t="str">
        <f>IF(OR(COUNTA(B181:C185,E181:F185)&gt;0,OR(D180="X",D180="x")),F180,0)+IF(OR(COUNTA(B189:C193,E189:F193)&gt;0,OR(D188="X",D188="x")),F188,0)</f>
      </c>
      <c r="D204" s="14" t="str">
        <f>IF(OR(COUNTA(B181:C185,E181:F185)&gt;0,OR(D180="X",D180="x")),(IF(OR(D181="X",D181="x"),1,0)+IF(OR(D182="X",D182="x"),1,0)+IF(OR(D183="X",D183="x"),1,0)+IF(OR(D184="X",D184="x"),1,0)+IF(OR(D185="X",D185="x"),1,0)),0)+IF(OR(COUNTA(B189:C193,E189:F193)&gt;0,OR(D188="X",D188="x")),(IF(OR(D189="X",D189="x"),1,0)+IF(OR(D190="X",D190="x"),1,0)+IF(OR(D191="X",D191="x"),1,0)+IF(OR(D192="X",D192="x"),1,0)+IF(OR(D193="X",D193="x"),1,0)),0)</f>
      </c>
      <c r="E204" s="14" t="str">
        <f>C180+C188</f>
      </c>
      <c r="F204" s="14" t="str">
        <f>E180+E188</f>
      </c>
      <c r="I204" t="str">
        <f>data!$B$64</f>
      </c>
      <c r="J204" s="14" t="str">
        <f>IF(OR(COUNTA(J181:K185,M181:N185)&gt;0,OR(L180="X",L180="x")),J180,0)+IF(OR(COUNTA(J189:K193,M189:N193)&gt;0,OR(L188="X",L188="x")),J188,0)</f>
      </c>
      <c r="K204" s="14" t="str">
        <f>IF(OR(COUNTA(J181:K185,M181:N185)&gt;0,OR(L180="X",L180="x")),N180,0)+IF(OR(COUNTA(J189:K193,M189:N193)&gt;0,OR(L188="X",L188="x")),N188,0)</f>
      </c>
      <c r="L204" s="14" t="str">
        <f>IF(OR(COUNTA(J181:K185,M181:N185)&gt;0,OR(L180="X",L180="x")),(IF(OR(L181="X",L181="x"),1,0)+IF(OR(L182="X",L182="x"),1,0)+IF(OR(L183="X",L183="x"),1,0)+IF(OR(L184="X",L184="x"),1,0)+IF(OR(L185="X",L185="x"),1,0)),0)+IF(OR(COUNTA(J189:K193,M189:N193)&gt;0,OR(L188="X",L188="x")),(IF(OR(L189="X",L189="x"),1,0)+IF(OR(L190="X",L190="x"),1,0)+IF(OR(L191="X",L191="x"),1,0)+IF(OR(L192="X",L192="x"),1,0)+IF(OR(L193="X",L193="x"),1,0)),0)</f>
      </c>
      <c r="M204" s="14" t="str">
        <f>K180+K188</f>
      </c>
      <c r="N204" s="14" t="str">
        <f>M180+M188</f>
      </c>
    </row>
    <row r="207">
      <c r="F207" s="13"/>
      <c r="G207" s="13" t="s">
        <v>250</v>
      </c>
      <c r="N207" s="13"/>
      <c r="O207" s="13" t="s">
        <v>250</v>
      </c>
    </row>
    <row r="208">
      <c r="F208" t="s">
        <v>251</v>
      </c>
      <c r="G208" s="19"/>
      <c r="N208" t="s">
        <v>251</v>
      </c>
      <c r="O208" s="19"/>
    </row>
    <row r="209">
      <c r="F209" t="s">
        <v>252</v>
      </c>
      <c r="G209" s="19"/>
      <c r="N209" t="s">
        <v>252</v>
      </c>
      <c r="O209" s="19"/>
    </row>
    <row r="210">
      <c r="F210" t="s">
        <v>253</v>
      </c>
      <c r="G210" s="19"/>
      <c r="N210" t="s">
        <v>253</v>
      </c>
      <c r="O210" s="19"/>
    </row>
    <row r="212">
      <c r="A212" s="13" t="str">
        <f>data!$A$20</f>
      </c>
      <c r="B212" s="13"/>
      <c r="C212" s="13"/>
      <c r="D212" s="13"/>
      <c r="E212" s="13"/>
      <c r="F212" s="13"/>
      <c r="G212" s="13"/>
      <c r="I212" s="13" t="str">
        <f>data!$A$67</f>
      </c>
      <c r="J212" s="13"/>
      <c r="K212" s="13"/>
      <c r="L212" s="13"/>
      <c r="M212" s="13"/>
      <c r="N212" s="13"/>
      <c r="O212" s="13"/>
    </row>
    <row r="213">
      <c r="A213" s="17" t="s">
        <v>239</v>
      </c>
      <c r="B213" s="14"/>
      <c r="C213" s="14"/>
      <c r="D213" s="14" t="s">
        <v>240</v>
      </c>
      <c r="E213" s="14"/>
      <c r="F213" s="14"/>
      <c r="G213" s="16" t="s">
        <v>241</v>
      </c>
      <c r="I213" s="17" t="s">
        <v>239</v>
      </c>
      <c r="J213" s="14"/>
      <c r="K213" s="14"/>
      <c r="L213" s="14" t="s">
        <v>240</v>
      </c>
      <c r="M213" s="14"/>
      <c r="N213" s="14"/>
      <c r="O213" s="16" t="s">
        <v>241</v>
      </c>
    </row>
    <row r="214">
      <c r="A214" s="14" t="str">
        <f>data!$B$19</f>
      </c>
      <c r="B214" s="18" t="str">
        <f>SUMPRODUCT((UPPER(D215:D219)&lt;&gt;"X")*((LEN(SUBSTITUTE(SUBSTITUTE(SUBSTITUTE(B215:B219," ",""),"0",""),"-",""))+LEN(SUBSTITUTE(SUBSTITUTE(SUBSTITUTE(C215:C219," ",""),"0",""),"-","")))&gt;(LEN(SUBSTITUTE(SUBSTITUTE(SUBSTITUTE(E215:E219," ",""),"0",""),"-",""))+LEN(SUBSTITUTE(SUBSTITUTE(SUBSTITUTE(F215:F219," ",""),"0",""),"-",""))))*1)</f>
      </c>
      <c r="C214" s="18" t="str">
        <f>SUMPRODUCT(LEN(SUBSTITUTE(SUBSTITUTE(SUBSTITUTE(B215:B219," ",""),"0",""),"-",""))+LEN(SUBSTITUTE(SUBSTITUTE(SUBSTITUTE(C215:C219," ",""),"0",""),"-","")))</f>
      </c>
      <c r="D214" s="18"/>
      <c r="E214" s="18" t="str">
        <f>SUMPRODUCT(LEN(SUBSTITUTE(SUBSTITUTE(SUBSTITUTE(E215:E219," ",""),"0",""),"-",""))+LEN(SUBSTITUTE(SUBSTITUTE(SUBSTITUTE(F215:F219," ",""),"0",""),"-","")))</f>
      </c>
      <c r="F214" s="18" t="str">
        <f>SUMPRODUCT((UPPER(D215:D219)&lt;&gt;"X")*((LEN(SUBSTITUTE(SUBSTITUTE(SUBSTITUTE(E215:E219," ",""),"0",""),"-",""))+LEN(SUBSTITUTE(SUBSTITUTE(SUBSTITUTE(F215:F219," ",""),"0",""),"-","")))&gt;(LEN(SUBSTITUTE(SUBSTITUTE(SUBSTITUTE(B215:B219," ",""),"0",""),"-",""))+LEN(SUBSTITUTE(SUBSTITUTE(SUBSTITUTE(C215:C219," ",""),"0",""),"-",""))))*1)</f>
      </c>
      <c r="G214" s="14" t="str">
        <f>data!$B$18</f>
      </c>
      <c r="I214" s="14" t="str">
        <f>data!$B$66</f>
      </c>
      <c r="J214" s="18" t="str">
        <f>SUMPRODUCT((UPPER(L215:L219)&lt;&gt;"X")*((LEN(SUBSTITUTE(SUBSTITUTE(SUBSTITUTE(J215:J219," ",""),"0",""),"-",""))+LEN(SUBSTITUTE(SUBSTITUTE(SUBSTITUTE(K215:K219," ",""),"0",""),"-","")))&gt;(LEN(SUBSTITUTE(SUBSTITUTE(SUBSTITUTE(M215:M219," ",""),"0",""),"-",""))+LEN(SUBSTITUTE(SUBSTITUTE(SUBSTITUTE(N215:N219," ",""),"0",""),"-",""))))*1)</f>
      </c>
      <c r="K214" s="18" t="str">
        <f>SUMPRODUCT(LEN(SUBSTITUTE(SUBSTITUTE(SUBSTITUTE(J215:J219," ",""),"0",""),"-",""))+LEN(SUBSTITUTE(SUBSTITUTE(SUBSTITUTE(K215:K219," ",""),"0",""),"-","")))</f>
      </c>
      <c r="L214" s="18"/>
      <c r="M214" s="18" t="str">
        <f>SUMPRODUCT(LEN(SUBSTITUTE(SUBSTITUTE(SUBSTITUTE(M215:M219," ",""),"0",""),"-",""))+LEN(SUBSTITUTE(SUBSTITUTE(SUBSTITUTE(N215:N219," ",""),"0",""),"-","")))</f>
      </c>
      <c r="N214" s="18" t="str">
        <f>SUMPRODUCT((UPPER(L215:L219)&lt;&gt;"X")*((LEN(SUBSTITUTE(SUBSTITUTE(SUBSTITUTE(M215:M219," ",""),"0",""),"-",""))+LEN(SUBSTITUTE(SUBSTITUTE(SUBSTITUTE(N215:N219," ",""),"0",""),"-","")))&gt;(LEN(SUBSTITUTE(SUBSTITUTE(SUBSTITUTE(J215:J219," ",""),"0",""),"-",""))+LEN(SUBSTITUTE(SUBSTITUTE(SUBSTITUTE(K215:K219," ",""),"0",""),"-",""))))*1)</f>
      </c>
      <c r="O214" s="14" t="str">
        <f>data!$B$65</f>
      </c>
    </row>
    <row r="215">
      <c r="A215" s="18">
        <v>1</v>
      </c>
      <c r="B215" s="18"/>
      <c r="C215" s="18"/>
      <c r="D215" s="18"/>
      <c r="E215" s="18"/>
      <c r="F215" s="18"/>
      <c r="G215" s="18">
        <v>1</v>
      </c>
      <c r="I215" s="18">
        <v>1</v>
      </c>
      <c r="J215" s="18"/>
      <c r="K215" s="18"/>
      <c r="L215" s="18"/>
      <c r="M215" s="18"/>
      <c r="N215" s="18"/>
      <c r="O215" s="18">
        <v>1</v>
      </c>
    </row>
    <row r="216">
      <c r="A216" s="18">
        <v>2</v>
      </c>
      <c r="B216" s="18"/>
      <c r="C216" s="18"/>
      <c r="D216" s="18"/>
      <c r="E216" s="18"/>
      <c r="F216" s="18"/>
      <c r="G216" s="18">
        <v>2</v>
      </c>
      <c r="I216" s="18">
        <v>2</v>
      </c>
      <c r="J216" s="18"/>
      <c r="K216" s="18"/>
      <c r="L216" s="18"/>
      <c r="M216" s="18"/>
      <c r="N216" s="18"/>
      <c r="O216" s="18">
        <v>2</v>
      </c>
    </row>
    <row r="217">
      <c r="A217" s="18">
        <v>3</v>
      </c>
      <c r="B217" s="18"/>
      <c r="C217" s="18"/>
      <c r="D217" s="18"/>
      <c r="E217" s="18"/>
      <c r="F217" s="18"/>
      <c r="G217" s="18">
        <v>3</v>
      </c>
      <c r="I217" s="18">
        <v>3</v>
      </c>
      <c r="J217" s="18"/>
      <c r="K217" s="18"/>
      <c r="L217" s="18"/>
      <c r="M217" s="18"/>
      <c r="N217" s="18"/>
      <c r="O217" s="18">
        <v>3</v>
      </c>
    </row>
    <row r="218">
      <c r="A218" s="18">
        <v>4</v>
      </c>
      <c r="B218" s="18"/>
      <c r="C218" s="18"/>
      <c r="D218" s="18"/>
      <c r="E218" s="18"/>
      <c r="F218" s="18"/>
      <c r="G218" s="18">
        <v>4</v>
      </c>
      <c r="I218" s="18">
        <v>4</v>
      </c>
      <c r="J218" s="18"/>
      <c r="K218" s="18"/>
      <c r="L218" s="18"/>
      <c r="M218" s="18"/>
      <c r="N218" s="18"/>
      <c r="O218" s="18">
        <v>4</v>
      </c>
    </row>
    <row r="219">
      <c r="A219" s="18">
        <v>5</v>
      </c>
      <c r="B219" s="18"/>
      <c r="C219" s="18"/>
      <c r="D219" s="18"/>
      <c r="E219" s="18"/>
      <c r="F219" s="18"/>
      <c r="G219" s="18">
        <v>5</v>
      </c>
      <c r="I219" s="18">
        <v>5</v>
      </c>
      <c r="J219" s="18"/>
      <c r="K219" s="18"/>
      <c r="L219" s="18"/>
      <c r="M219" s="18"/>
      <c r="N219" s="18"/>
      <c r="O219" s="18">
        <v>5</v>
      </c>
    </row>
    <row r="221">
      <c r="A221" s="17" t="s">
        <v>239</v>
      </c>
      <c r="B221" s="14"/>
      <c r="C221" s="14"/>
      <c r="D221" s="14" t="s">
        <v>240</v>
      </c>
      <c r="E221" s="14"/>
      <c r="F221" s="14"/>
      <c r="G221" s="16" t="s">
        <v>241</v>
      </c>
      <c r="I221" s="17" t="s">
        <v>239</v>
      </c>
      <c r="J221" s="14"/>
      <c r="K221" s="14"/>
      <c r="L221" s="14" t="s">
        <v>240</v>
      </c>
      <c r="M221" s="14"/>
      <c r="N221" s="14"/>
      <c r="O221" s="16" t="s">
        <v>241</v>
      </c>
    </row>
    <row r="222">
      <c r="A222" s="14" t="str">
        <f>data!$B$20</f>
      </c>
      <c r="B222" s="18" t="str">
        <f>SUMPRODUCT((UPPER(D223:D227)&lt;&gt;"X")*((LEN(SUBSTITUTE(SUBSTITUTE(SUBSTITUTE(B223:B227," ",""),"0",""),"-",""))+LEN(SUBSTITUTE(SUBSTITUTE(SUBSTITUTE(C223:C227," ",""),"0",""),"-","")))&gt;(LEN(SUBSTITUTE(SUBSTITUTE(SUBSTITUTE(E223:E227," ",""),"0",""),"-",""))+LEN(SUBSTITUTE(SUBSTITUTE(SUBSTITUTE(F223:F227," ",""),"0",""),"-",""))))*1)</f>
      </c>
      <c r="C222" s="18" t="str">
        <f>SUMPRODUCT(LEN(SUBSTITUTE(SUBSTITUTE(SUBSTITUTE(B223:B227," ",""),"0",""),"-",""))+LEN(SUBSTITUTE(SUBSTITUTE(SUBSTITUTE(C223:C227," ",""),"0",""),"-","")))</f>
      </c>
      <c r="D222" s="18"/>
      <c r="E222" s="18" t="str">
        <f>SUMPRODUCT(LEN(SUBSTITUTE(SUBSTITUTE(SUBSTITUTE(E223:E227," ",""),"0",""),"-",""))+LEN(SUBSTITUTE(SUBSTITUTE(SUBSTITUTE(F223:F227," ",""),"0",""),"-","")))</f>
      </c>
      <c r="F222" s="18" t="str">
        <f>SUMPRODUCT((UPPER(D223:D227)&lt;&gt;"X")*((LEN(SUBSTITUTE(SUBSTITUTE(SUBSTITUTE(E223:E227," ",""),"0",""),"-",""))+LEN(SUBSTITUTE(SUBSTITUTE(SUBSTITUTE(F223:F227," ",""),"0",""),"-","")))&gt;(LEN(SUBSTITUTE(SUBSTITUTE(SUBSTITUTE(B223:B227," ",""),"0",""),"-",""))+LEN(SUBSTITUTE(SUBSTITUTE(SUBSTITUTE(C223:C227," ",""),"0",""),"-",""))))*1)</f>
      </c>
      <c r="G222" s="14" t="str">
        <f>data!$B$18</f>
      </c>
      <c r="I222" s="14" t="str">
        <f>data!$B$67</f>
      </c>
      <c r="J222" s="18" t="str">
        <f>SUMPRODUCT((UPPER(L223:L227)&lt;&gt;"X")*((LEN(SUBSTITUTE(SUBSTITUTE(SUBSTITUTE(J223:J227," ",""),"0",""),"-",""))+LEN(SUBSTITUTE(SUBSTITUTE(SUBSTITUTE(K223:K227," ",""),"0",""),"-","")))&gt;(LEN(SUBSTITUTE(SUBSTITUTE(SUBSTITUTE(M223:M227," ",""),"0",""),"-",""))+LEN(SUBSTITUTE(SUBSTITUTE(SUBSTITUTE(N223:N227," ",""),"0",""),"-",""))))*1)</f>
      </c>
      <c r="K222" s="18" t="str">
        <f>SUMPRODUCT(LEN(SUBSTITUTE(SUBSTITUTE(SUBSTITUTE(J223:J227," ",""),"0",""),"-",""))+LEN(SUBSTITUTE(SUBSTITUTE(SUBSTITUTE(K223:K227," ",""),"0",""),"-","")))</f>
      </c>
      <c r="L222" s="18"/>
      <c r="M222" s="18" t="str">
        <f>SUMPRODUCT(LEN(SUBSTITUTE(SUBSTITUTE(SUBSTITUTE(M223:M227," ",""),"0",""),"-",""))+LEN(SUBSTITUTE(SUBSTITUTE(SUBSTITUTE(N223:N227," ",""),"0",""),"-","")))</f>
      </c>
      <c r="N222" s="18" t="str">
        <f>SUMPRODUCT((UPPER(L223:L227)&lt;&gt;"X")*((LEN(SUBSTITUTE(SUBSTITUTE(SUBSTITUTE(M223:M227," ",""),"0",""),"-",""))+LEN(SUBSTITUTE(SUBSTITUTE(SUBSTITUTE(N223:N227," ",""),"0",""),"-","")))&gt;(LEN(SUBSTITUTE(SUBSTITUTE(SUBSTITUTE(J223:J227," ",""),"0",""),"-",""))+LEN(SUBSTITUTE(SUBSTITUTE(SUBSTITUTE(K223:K227," ",""),"0",""),"-",""))))*1)</f>
      </c>
      <c r="O222" s="14" t="str">
        <f>data!$B$65</f>
      </c>
    </row>
    <row r="223">
      <c r="A223" s="18">
        <v>1</v>
      </c>
      <c r="B223" s="18"/>
      <c r="C223" s="18"/>
      <c r="D223" s="18"/>
      <c r="E223" s="18"/>
      <c r="F223" s="18"/>
      <c r="G223" s="18">
        <v>1</v>
      </c>
      <c r="I223" s="18">
        <v>1</v>
      </c>
      <c r="J223" s="18"/>
      <c r="K223" s="18"/>
      <c r="L223" s="18"/>
      <c r="M223" s="18"/>
      <c r="N223" s="18"/>
      <c r="O223" s="18">
        <v>1</v>
      </c>
    </row>
    <row r="224">
      <c r="A224" s="18">
        <v>2</v>
      </c>
      <c r="B224" s="18"/>
      <c r="C224" s="18"/>
      <c r="D224" s="18"/>
      <c r="E224" s="18"/>
      <c r="F224" s="18"/>
      <c r="G224" s="18">
        <v>2</v>
      </c>
      <c r="I224" s="18">
        <v>2</v>
      </c>
      <c r="J224" s="18"/>
      <c r="K224" s="18"/>
      <c r="L224" s="18"/>
      <c r="M224" s="18"/>
      <c r="N224" s="18"/>
      <c r="O224" s="18">
        <v>2</v>
      </c>
    </row>
    <row r="225">
      <c r="A225" s="18">
        <v>3</v>
      </c>
      <c r="B225" s="18"/>
      <c r="C225" s="18"/>
      <c r="D225" s="18"/>
      <c r="E225" s="18"/>
      <c r="F225" s="18"/>
      <c r="G225" s="18">
        <v>3</v>
      </c>
      <c r="I225" s="18">
        <v>3</v>
      </c>
      <c r="J225" s="18"/>
      <c r="K225" s="18"/>
      <c r="L225" s="18"/>
      <c r="M225" s="18"/>
      <c r="N225" s="18"/>
      <c r="O225" s="18">
        <v>3</v>
      </c>
    </row>
    <row r="226">
      <c r="A226" s="18">
        <v>4</v>
      </c>
      <c r="B226" s="18"/>
      <c r="C226" s="18"/>
      <c r="D226" s="18"/>
      <c r="E226" s="18"/>
      <c r="F226" s="18"/>
      <c r="G226" s="18">
        <v>4</v>
      </c>
      <c r="I226" s="18">
        <v>4</v>
      </c>
      <c r="J226" s="18"/>
      <c r="K226" s="18"/>
      <c r="L226" s="18"/>
      <c r="M226" s="18"/>
      <c r="N226" s="18"/>
      <c r="O226" s="18">
        <v>4</v>
      </c>
    </row>
    <row r="227">
      <c r="A227" s="18">
        <v>5</v>
      </c>
      <c r="B227" s="18"/>
      <c r="C227" s="18"/>
      <c r="D227" s="18"/>
      <c r="E227" s="18"/>
      <c r="F227" s="18"/>
      <c r="G227" s="18">
        <v>5</v>
      </c>
      <c r="I227" s="18">
        <v>5</v>
      </c>
      <c r="J227" s="18"/>
      <c r="K227" s="18"/>
      <c r="L227" s="18"/>
      <c r="M227" s="18"/>
      <c r="N227" s="18"/>
      <c r="O227" s="18">
        <v>5</v>
      </c>
    </row>
    <row r="229">
      <c r="A229" s="17" t="s">
        <v>239</v>
      </c>
      <c r="B229" s="14"/>
      <c r="C229" s="14"/>
      <c r="D229" s="14" t="s">
        <v>240</v>
      </c>
      <c r="E229" s="14"/>
      <c r="F229" s="14"/>
      <c r="G229" s="16" t="s">
        <v>241</v>
      </c>
      <c r="I229" s="17" t="s">
        <v>239</v>
      </c>
      <c r="J229" s="14"/>
      <c r="K229" s="14"/>
      <c r="L229" s="14" t="s">
        <v>240</v>
      </c>
      <c r="M229" s="14"/>
      <c r="N229" s="14"/>
      <c r="O229" s="16" t="s">
        <v>241</v>
      </c>
    </row>
    <row r="230">
      <c r="A230" s="14" t="str">
        <f>data!$B$20</f>
      </c>
      <c r="B230" s="18" t="str">
        <f>SUMPRODUCT((UPPER(D231:D235)&lt;&gt;"X")*((LEN(SUBSTITUTE(SUBSTITUTE(SUBSTITUTE(B231:B235," ",""),"0",""),"-",""))+LEN(SUBSTITUTE(SUBSTITUTE(SUBSTITUTE(C231:C235," ",""),"0",""),"-","")))&gt;(LEN(SUBSTITUTE(SUBSTITUTE(SUBSTITUTE(E231:E235," ",""),"0",""),"-",""))+LEN(SUBSTITUTE(SUBSTITUTE(SUBSTITUTE(F231:F235," ",""),"0",""),"-",""))))*1)</f>
      </c>
      <c r="C230" s="18" t="str">
        <f>SUMPRODUCT(LEN(SUBSTITUTE(SUBSTITUTE(SUBSTITUTE(B231:B235," ",""),"0",""),"-",""))+LEN(SUBSTITUTE(SUBSTITUTE(SUBSTITUTE(C231:C235," ",""),"0",""),"-","")))</f>
      </c>
      <c r="D230" s="18"/>
      <c r="E230" s="18" t="str">
        <f>SUMPRODUCT(LEN(SUBSTITUTE(SUBSTITUTE(SUBSTITUTE(E231:E235," ",""),"0",""),"-",""))+LEN(SUBSTITUTE(SUBSTITUTE(SUBSTITUTE(F231:F235," ",""),"0",""),"-","")))</f>
      </c>
      <c r="F230" s="18" t="str">
        <f>SUMPRODUCT((UPPER(D231:D235)&lt;&gt;"X")*((LEN(SUBSTITUTE(SUBSTITUTE(SUBSTITUTE(E231:E235," ",""),"0",""),"-",""))+LEN(SUBSTITUTE(SUBSTITUTE(SUBSTITUTE(F231:F235," ",""),"0",""),"-","")))&gt;(LEN(SUBSTITUTE(SUBSTITUTE(SUBSTITUTE(B231:B235," ",""),"0",""),"-",""))+LEN(SUBSTITUTE(SUBSTITUTE(SUBSTITUTE(C231:C235," ",""),"0",""),"-",""))))*1)</f>
      </c>
      <c r="G230" s="14" t="str">
        <f>data!$B$19</f>
      </c>
      <c r="I230" s="14" t="str">
        <f>data!$B$67</f>
      </c>
      <c r="J230" s="18" t="str">
        <f>SUMPRODUCT((UPPER(L231:L235)&lt;&gt;"X")*((LEN(SUBSTITUTE(SUBSTITUTE(SUBSTITUTE(J231:J235," ",""),"0",""),"-",""))+LEN(SUBSTITUTE(SUBSTITUTE(SUBSTITUTE(K231:K235," ",""),"0",""),"-","")))&gt;(LEN(SUBSTITUTE(SUBSTITUTE(SUBSTITUTE(M231:M235," ",""),"0",""),"-",""))+LEN(SUBSTITUTE(SUBSTITUTE(SUBSTITUTE(N231:N235," ",""),"0",""),"-",""))))*1)</f>
      </c>
      <c r="K230" s="18" t="str">
        <f>SUMPRODUCT(LEN(SUBSTITUTE(SUBSTITUTE(SUBSTITUTE(J231:J235," ",""),"0",""),"-",""))+LEN(SUBSTITUTE(SUBSTITUTE(SUBSTITUTE(K231:K235," ",""),"0",""),"-","")))</f>
      </c>
      <c r="L230" s="18"/>
      <c r="M230" s="18" t="str">
        <f>SUMPRODUCT(LEN(SUBSTITUTE(SUBSTITUTE(SUBSTITUTE(M231:M235," ",""),"0",""),"-",""))+LEN(SUBSTITUTE(SUBSTITUTE(SUBSTITUTE(N231:N235," ",""),"0",""),"-","")))</f>
      </c>
      <c r="N230" s="18" t="str">
        <f>SUMPRODUCT((UPPER(L231:L235)&lt;&gt;"X")*((LEN(SUBSTITUTE(SUBSTITUTE(SUBSTITUTE(M231:M235," ",""),"0",""),"-",""))+LEN(SUBSTITUTE(SUBSTITUTE(SUBSTITUTE(N231:N235," ",""),"0",""),"-","")))&gt;(LEN(SUBSTITUTE(SUBSTITUTE(SUBSTITUTE(J231:J235," ",""),"0",""),"-",""))+LEN(SUBSTITUTE(SUBSTITUTE(SUBSTITUTE(K231:K235," ",""),"0",""),"-",""))))*1)</f>
      </c>
      <c r="O230" s="14" t="str">
        <f>data!$B$66</f>
      </c>
    </row>
    <row r="231">
      <c r="A231" s="18">
        <v>1</v>
      </c>
      <c r="B231" s="18"/>
      <c r="C231" s="18"/>
      <c r="D231" s="18"/>
      <c r="E231" s="18"/>
      <c r="F231" s="18"/>
      <c r="G231" s="18">
        <v>1</v>
      </c>
      <c r="I231" s="18">
        <v>1</v>
      </c>
      <c r="J231" s="18"/>
      <c r="K231" s="18"/>
      <c r="L231" s="18"/>
      <c r="M231" s="18"/>
      <c r="N231" s="18"/>
      <c r="O231" s="18">
        <v>1</v>
      </c>
    </row>
    <row r="232">
      <c r="A232" s="18">
        <v>2</v>
      </c>
      <c r="B232" s="18"/>
      <c r="C232" s="18"/>
      <c r="D232" s="18"/>
      <c r="E232" s="18"/>
      <c r="F232" s="18"/>
      <c r="G232" s="18">
        <v>2</v>
      </c>
      <c r="I232" s="18">
        <v>2</v>
      </c>
      <c r="J232" s="18"/>
      <c r="K232" s="18"/>
      <c r="L232" s="18"/>
      <c r="M232" s="18"/>
      <c r="N232" s="18"/>
      <c r="O232" s="18">
        <v>2</v>
      </c>
    </row>
    <row r="233">
      <c r="A233" s="18">
        <v>3</v>
      </c>
      <c r="B233" s="18"/>
      <c r="C233" s="18"/>
      <c r="D233" s="18"/>
      <c r="E233" s="18"/>
      <c r="F233" s="18"/>
      <c r="G233" s="18">
        <v>3</v>
      </c>
      <c r="I233" s="18">
        <v>3</v>
      </c>
      <c r="J233" s="18"/>
      <c r="K233" s="18"/>
      <c r="L233" s="18"/>
      <c r="M233" s="18"/>
      <c r="N233" s="18"/>
      <c r="O233" s="18">
        <v>3</v>
      </c>
    </row>
    <row r="234">
      <c r="A234" s="18">
        <v>4</v>
      </c>
      <c r="B234" s="18"/>
      <c r="C234" s="18"/>
      <c r="D234" s="18"/>
      <c r="E234" s="18"/>
      <c r="F234" s="18"/>
      <c r="G234" s="18">
        <v>4</v>
      </c>
      <c r="I234" s="18">
        <v>4</v>
      </c>
      <c r="J234" s="18"/>
      <c r="K234" s="18"/>
      <c r="L234" s="18"/>
      <c r="M234" s="18"/>
      <c r="N234" s="18"/>
      <c r="O234" s="18">
        <v>4</v>
      </c>
    </row>
    <row r="235">
      <c r="A235" s="18">
        <v>5</v>
      </c>
      <c r="B235" s="18"/>
      <c r="C235" s="18"/>
      <c r="D235" s="18"/>
      <c r="E235" s="18"/>
      <c r="F235" s="18"/>
      <c r="G235" s="18">
        <v>5</v>
      </c>
      <c r="I235" s="18">
        <v>5</v>
      </c>
      <c r="J235" s="18"/>
      <c r="K235" s="18"/>
      <c r="L235" s="18"/>
      <c r="M235" s="18"/>
      <c r="N235" s="18"/>
      <c r="O235" s="18">
        <v>5</v>
      </c>
    </row>
    <row r="238">
      <c r="A238" s="13"/>
      <c r="B238" s="13" t="s">
        <v>242</v>
      </c>
      <c r="C238" s="13" t="s">
        <v>243</v>
      </c>
      <c r="D238" s="13" t="s">
        <v>244</v>
      </c>
      <c r="I238" s="13"/>
      <c r="J238" s="13" t="s">
        <v>242</v>
      </c>
      <c r="K238" s="13" t="s">
        <v>243</v>
      </c>
      <c r="L238" s="13" t="s">
        <v>244</v>
      </c>
    </row>
    <row r="239">
      <c r="A239" t="str">
        <f>data!$B$18</f>
      </c>
      <c r="B239" s="14" t="str">
        <f>IF(OR(COUNTA(B215:C219,E215:F219)&gt;0,OR(D214="X",D214="x")),IF(OR(D214="X",D214="x"),0,IF(OR(F214&gt;B214,AND(F214=B214,E214&gt;C214)),1,0)),0)+IF(OR(COUNTA(B223:C227,E223:F227)&gt;0,OR(D222="X",D222="x")),IF(OR(D222="X",D222="x"),0,IF(OR(F222&gt;B222,AND(F222=B222,E222&gt;C222)),1,0)),0)</f>
      </c>
      <c r="C239" s="14" t="str">
        <f>IF(OR(COUNTA(B215:C219,E215:F219)&gt;0,OR(D214="X",D214="x")),IF(OR(D214="X",D214="x"),0,IF(OR(F214&lt;B214,AND(F214=B214,E214&lt;C214)),1,0)),0)+IF(OR(COUNTA(B223:C227,E223:F227)&gt;0,OR(D222="X",D222="x")),IF(OR(D222="X",D222="x"),0,IF(OR(F222&lt;B222,AND(F222=B222,E222&lt;C222)),1,0)),0)</f>
      </c>
      <c r="D239" s="14" t="str">
        <f>IF(OR(COUNTA(B215:C219,E215:F219)&gt;0,OR(D214="X",D214="x")),IF(OR(D214="X",D214="x"),1,0),0)+IF(OR(COUNTA(B223:C227,E223:F227)&gt;0,OR(D222="X",D222="x")),IF(OR(D222="X",D222="x"),1,0),0)</f>
      </c>
      <c r="I239" t="str">
        <f>data!$B$65</f>
      </c>
      <c r="J239" s="14" t="str">
        <f>IF(OR(COUNTA(J215:K219,M215:N219)&gt;0,OR(L214="X",L214="x")),IF(OR(L214="X",L214="x"),0,IF(OR(N214&gt;J214,AND(N214=J214,M214&gt;K214)),1,0)),0)+IF(OR(COUNTA(J223:K227,M223:N227)&gt;0,OR(L222="X",L222="x")),IF(OR(L222="X",L222="x"),0,IF(OR(N222&gt;J222,AND(N222=J222,M222&gt;K222)),1,0)),0)</f>
      </c>
      <c r="K239" s="14" t="str">
        <f>IF(OR(COUNTA(J215:K219,M215:N219)&gt;0,OR(L214="X",L214="x")),IF(OR(L214="X",L214="x"),0,IF(OR(N214&lt;J214,AND(N214=J214,M214&lt;K214)),1,0)),0)+IF(OR(COUNTA(J223:K227,M223:N227)&gt;0,OR(L222="X",L222="x")),IF(OR(L222="X",L222="x"),0,IF(OR(N222&lt;J222,AND(N222=J222,M222&lt;K222)),1,0)),0)</f>
      </c>
      <c r="L239" s="14" t="str">
        <f>IF(OR(COUNTA(J215:K219,M215:N219)&gt;0,OR(L214="X",L214="x")),IF(OR(L214="X",L214="x"),1,0),0)+IF(OR(COUNTA(J223:K227,M223:N227)&gt;0,OR(L222="X",L222="x")),IF(OR(L222="X",L222="x"),1,0),0)</f>
      </c>
    </row>
    <row r="240">
      <c r="A240" t="str">
        <f>data!$B$19</f>
      </c>
      <c r="B240" s="14" t="str">
        <f>IF(OR(COUNTA(B215:C219,E215:F219)&gt;0,OR(D214="X",D214="x")),IF(OR(D214="X",D214="x"),0,IF(OR(B214&gt;F214,AND(B214=F214,C214&gt;E214)),1,0)),0)+IF(OR(COUNTA(B231:C235,E231:F235)&gt;0,OR(D230="X",D230="x")),IF(OR(D230="X",D230="x"),0,IF(OR(F230&gt;B230,AND(F230=B230,E230&gt;C230)),1,0)),0)</f>
      </c>
      <c r="C240" s="14" t="str">
        <f>IF(OR(COUNTA(B215:C219,E215:F219)&gt;0,OR(D214="X",D214="x")),IF(OR(D214="X",D214="x"),0,IF(OR(B214&lt;F214,AND(B214=F214,C214&lt;E214)),1,0)),0)+IF(OR(COUNTA(B231:C235,E231:F235)&gt;0,OR(D230="X",D230="x")),IF(OR(D230="X",D230="x"),0,IF(OR(F230&lt;B230,AND(F230=B230,E230&lt;C230)),1,0)),0)</f>
      </c>
      <c r="D240" s="14" t="str">
        <f>IF(OR(COUNTA(B215:C219,E215:F219)&gt;0,OR(D214="X",D214="x")),IF(OR(D214="X",D214="x"),1,0),0)+IF(OR(COUNTA(B231:C235,E231:F235)&gt;0,OR(D230="X",D230="x")),IF(OR(D230="X",D230="x"),1,0),0)</f>
      </c>
      <c r="I240" t="str">
        <f>data!$B$66</f>
      </c>
      <c r="J240" s="14" t="str">
        <f>IF(OR(COUNTA(J215:K219,M215:N219)&gt;0,OR(L214="X",L214="x")),IF(OR(L214="X",L214="x"),0,IF(OR(J214&gt;N214,AND(J214=N214,K214&gt;M214)),1,0)),0)+IF(OR(COUNTA(J231:K235,M231:N235)&gt;0,OR(L230="X",L230="x")),IF(OR(L230="X",L230="x"),0,IF(OR(N230&gt;J230,AND(N230=J230,M230&gt;K230)),1,0)),0)</f>
      </c>
      <c r="K240" s="14" t="str">
        <f>IF(OR(COUNTA(J215:K219,M215:N219)&gt;0,OR(L214="X",L214="x")),IF(OR(L214="X",L214="x"),0,IF(OR(J214&lt;N214,AND(J214=N214,K214&lt;M214)),1,0)),0)+IF(OR(COUNTA(J231:K235,M231:N235)&gt;0,OR(L230="X",L230="x")),IF(OR(L230="X",L230="x"),0,IF(OR(N230&lt;J230,AND(N230=J230,M230&lt;K230)),1,0)),0)</f>
      </c>
      <c r="L240" s="14" t="str">
        <f>IF(OR(COUNTA(J215:K219,M215:N219)&gt;0,OR(L214="X",L214="x")),IF(OR(L214="X",L214="x"),1,0),0)+IF(OR(COUNTA(J231:K235,M231:N235)&gt;0,OR(L230="X",L230="x")),IF(OR(L230="X",L230="x"),1,0),0)</f>
      </c>
    </row>
    <row r="241">
      <c r="A241" t="str">
        <f>data!$B$20</f>
      </c>
      <c r="B241" s="14" t="str">
        <f>IF(OR(COUNTA(B223:C227,E223:F227)&gt;0,OR(D222="X",D222="x")),IF(OR(D222="X",D222="x"),0,IF(OR(B222&gt;F222,AND(B222=F222,C222&gt;E222)),1,0)),0)+IF(OR(COUNTA(B231:C235,E231:F235)&gt;0,OR(D230="X",D230="x")),IF(OR(D230="X",D230="x"),0,IF(OR(B230&gt;F230,AND(B230=F230,C230&gt;E230)),1,0)),0)</f>
      </c>
      <c r="C241" s="14" t="str">
        <f>IF(OR(COUNTA(B223:C227,E223:F227)&gt;0,OR(D222="X",D222="x")),IF(OR(D222="X",D222="x"),0,IF(OR(B222&lt;F222,AND(B222=F222,C222&lt;E222)),1,0)),0)+IF(OR(COUNTA(B231:C235,E231:F235)&gt;0,OR(D230="X",D230="x")),IF(OR(D230="X",D230="x"),0,IF(OR(B230&lt;F230,AND(B230=F230,C230&lt;E230)),1,0)),0)</f>
      </c>
      <c r="D241" s="14" t="str">
        <f>IF(OR(COUNTA(B223:C227,E223:F227)&gt;0,OR(D222="X",D222="x")),IF(OR(D222="X",D222="x"),1,0),0)+IF(OR(COUNTA(B231:C235,E231:F235)&gt;0,OR(D230="X",D230="x")),IF(OR(D230="X",D230="x"),1,0),0)</f>
      </c>
      <c r="I241" t="str">
        <f>data!$B$67</f>
      </c>
      <c r="J241" s="14" t="str">
        <f>IF(OR(COUNTA(J223:K227,M223:N227)&gt;0,OR(L222="X",L222="x")),IF(OR(L222="X",L222="x"),0,IF(OR(J222&gt;N222,AND(J222=N222,K222&gt;M222)),1,0)),0)+IF(OR(COUNTA(J231:K235,M231:N235)&gt;0,OR(L230="X",L230="x")),IF(OR(L230="X",L230="x"),0,IF(OR(J230&gt;N230,AND(J230=N230,K230&gt;M230)),1,0)),0)</f>
      </c>
      <c r="K241" s="14" t="str">
        <f>IF(OR(COUNTA(J223:K227,M223:N227)&gt;0,OR(L222="X",L222="x")),IF(OR(L222="X",L222="x"),0,IF(OR(J222&lt;N222,AND(J222=N222,K222&lt;M222)),1,0)),0)+IF(OR(COUNTA(J231:K235,M231:N235)&gt;0,OR(L230="X",L230="x")),IF(OR(L230="X",L230="x"),0,IF(OR(J230&lt;N230,AND(J230=N230,K230&lt;M230)),1,0)),0)</f>
      </c>
      <c r="L241" s="14" t="str">
        <f>IF(OR(COUNTA(J223:K227,M223:N227)&gt;0,OR(L222="X",L222="x")),IF(OR(L222="X",L222="x"),1,0),0)+IF(OR(COUNTA(J231:K235,M231:N235)&gt;0,OR(L230="X",L230="x")),IF(OR(L230="X",L230="x"),1,0),0)</f>
      </c>
    </row>
    <row r="243">
      <c r="A243" s="13"/>
      <c r="B243" s="13" t="s">
        <v>245</v>
      </c>
      <c r="C243" s="13" t="s">
        <v>246</v>
      </c>
      <c r="D243" s="13" t="s">
        <v>247</v>
      </c>
      <c r="E243" s="13" t="s">
        <v>248</v>
      </c>
      <c r="F243" s="13" t="s">
        <v>249</v>
      </c>
      <c r="I243" s="13"/>
      <c r="J243" s="13" t="s">
        <v>245</v>
      </c>
      <c r="K243" s="13" t="s">
        <v>246</v>
      </c>
      <c r="L243" s="13" t="s">
        <v>247</v>
      </c>
      <c r="M243" s="13" t="s">
        <v>248</v>
      </c>
      <c r="N243" s="13" t="s">
        <v>249</v>
      </c>
    </row>
    <row r="244">
      <c r="A244" t="str">
        <f>data!$B$18</f>
      </c>
      <c r="B244" s="14" t="str">
        <f>IF(OR(COUNTA(B215:C219,E215:F219)&gt;0,OR(D214="X",D214="x")),F214,0)+IF(OR(COUNTA(B223:C227,E223:F227)&gt;0,OR(D222="X",D222="x")),F222,0)</f>
      </c>
      <c r="C244" s="14" t="str">
        <f>IF(OR(COUNTA(B215:C219,E215:F219)&gt;0,OR(D214="X",D214="x")),B214,0)+IF(OR(COUNTA(B223:C227,E223:F227)&gt;0,OR(D222="X",D222="x")),B222,0)</f>
      </c>
      <c r="D244" s="14" t="str">
        <f>IF(OR(COUNTA(B215:C219,E215:F219)&gt;0,OR(D214="X",D214="x")),(IF(OR(D215="X",D215="x"),1,0)+IF(OR(D216="X",D216="x"),1,0)+IF(OR(D217="X",D217="x"),1,0)+IF(OR(D218="X",D218="x"),1,0)+IF(OR(D219="X",D219="x"),1,0)),0)+IF(OR(COUNTA(B223:C227,E223:F227)&gt;0,OR(D222="X",D222="x")),(IF(OR(D223="X",D223="x"),1,0)+IF(OR(D224="X",D224="x"),1,0)+IF(OR(D225="X",D225="x"),1,0)+IF(OR(D226="X",D226="x"),1,0)+IF(OR(D227="X",D227="x"),1,0)),0)</f>
      </c>
      <c r="E244" s="14" t="str">
        <f>E214+E222</f>
      </c>
      <c r="F244" s="14" t="str">
        <f>C214+C222</f>
      </c>
      <c r="I244" t="str">
        <f>data!$B$65</f>
      </c>
      <c r="J244" s="14" t="str">
        <f>IF(OR(COUNTA(J215:K219,M215:N219)&gt;0,OR(L214="X",L214="x")),N214,0)+IF(OR(COUNTA(J223:K227,M223:N227)&gt;0,OR(L222="X",L222="x")),N222,0)</f>
      </c>
      <c r="K244" s="14" t="str">
        <f>IF(OR(COUNTA(J215:K219,M215:N219)&gt;0,OR(L214="X",L214="x")),J214,0)+IF(OR(COUNTA(J223:K227,M223:N227)&gt;0,OR(L222="X",L222="x")),J222,0)</f>
      </c>
      <c r="L244" s="14" t="str">
        <f>IF(OR(COUNTA(J215:K219,M215:N219)&gt;0,OR(L214="X",L214="x")),(IF(OR(L215="X",L215="x"),1,0)+IF(OR(L216="X",L216="x"),1,0)+IF(OR(L217="X",L217="x"),1,0)+IF(OR(L218="X",L218="x"),1,0)+IF(OR(L219="X",L219="x"),1,0)),0)+IF(OR(COUNTA(J223:K227,M223:N227)&gt;0,OR(L222="X",L222="x")),(IF(OR(L223="X",L223="x"),1,0)+IF(OR(L224="X",L224="x"),1,0)+IF(OR(L225="X",L225="x"),1,0)+IF(OR(L226="X",L226="x"),1,0)+IF(OR(L227="X",L227="x"),1,0)),0)</f>
      </c>
      <c r="M244" s="14" t="str">
        <f>M214+M222</f>
      </c>
      <c r="N244" s="14" t="str">
        <f>K214+K222</f>
      </c>
    </row>
    <row r="245">
      <c r="A245" t="str">
        <f>data!$B$19</f>
      </c>
      <c r="B245" s="14" t="str">
        <f>IF(OR(COUNTA(B215:C219,E215:F219)&gt;0,OR(D214="X",D214="x")),B214,0)+IF(OR(COUNTA(B231:C235,E231:F235)&gt;0,OR(D230="X",D230="x")),F230,0)</f>
      </c>
      <c r="C245" s="14" t="str">
        <f>IF(OR(COUNTA(B215:C219,E215:F219)&gt;0,OR(D214="X",D214="x")),F214,0)+IF(OR(COUNTA(B231:C235,E231:F235)&gt;0,OR(D230="X",D230="x")),B230,0)</f>
      </c>
      <c r="D245" s="14" t="str">
        <f>IF(OR(COUNTA(B215:C219,E215:F219)&gt;0,OR(D214="X",D214="x")),(IF(OR(D215="X",D215="x"),1,0)+IF(OR(D216="X",D216="x"),1,0)+IF(OR(D217="X",D217="x"),1,0)+IF(OR(D218="X",D218="x"),1,0)+IF(OR(D219="X",D219="x"),1,0)),0)+IF(OR(COUNTA(B231:C235,E231:F235)&gt;0,OR(D230="X",D230="x")),(IF(OR(D231="X",D231="x"),1,0)+IF(OR(D232="X",D232="x"),1,0)+IF(OR(D233="X",D233="x"),1,0)+IF(OR(D234="X",D234="x"),1,0)+IF(OR(D235="X",D235="x"),1,0)),0)</f>
      </c>
      <c r="E245" s="14" t="str">
        <f>C214+E230</f>
      </c>
      <c r="F245" s="14" t="str">
        <f>E214+C230</f>
      </c>
      <c r="I245" t="str">
        <f>data!$B$66</f>
      </c>
      <c r="J245" s="14" t="str">
        <f>IF(OR(COUNTA(J215:K219,M215:N219)&gt;0,OR(L214="X",L214="x")),J214,0)+IF(OR(COUNTA(J231:K235,M231:N235)&gt;0,OR(L230="X",L230="x")),N230,0)</f>
      </c>
      <c r="K245" s="14" t="str">
        <f>IF(OR(COUNTA(J215:K219,M215:N219)&gt;0,OR(L214="X",L214="x")),N214,0)+IF(OR(COUNTA(J231:K235,M231:N235)&gt;0,OR(L230="X",L230="x")),J230,0)</f>
      </c>
      <c r="L245" s="14" t="str">
        <f>IF(OR(COUNTA(J215:K219,M215:N219)&gt;0,OR(L214="X",L214="x")),(IF(OR(L215="X",L215="x"),1,0)+IF(OR(L216="X",L216="x"),1,0)+IF(OR(L217="X",L217="x"),1,0)+IF(OR(L218="X",L218="x"),1,0)+IF(OR(L219="X",L219="x"),1,0)),0)+IF(OR(COUNTA(J231:K235,M231:N235)&gt;0,OR(L230="X",L230="x")),(IF(OR(L231="X",L231="x"),1,0)+IF(OR(L232="X",L232="x"),1,0)+IF(OR(L233="X",L233="x"),1,0)+IF(OR(L234="X",L234="x"),1,0)+IF(OR(L235="X",L235="x"),1,0)),0)</f>
      </c>
      <c r="M245" s="14" t="str">
        <f>K214+M230</f>
      </c>
      <c r="N245" s="14" t="str">
        <f>M214+K230</f>
      </c>
    </row>
    <row r="246">
      <c r="A246" t="str">
        <f>data!$B$20</f>
      </c>
      <c r="B246" s="14" t="str">
        <f>IF(OR(COUNTA(B223:C227,E223:F227)&gt;0,OR(D222="X",D222="x")),B222,0)+IF(OR(COUNTA(B231:C235,E231:F235)&gt;0,OR(D230="X",D230="x")),B230,0)</f>
      </c>
      <c r="C246" s="14" t="str">
        <f>IF(OR(COUNTA(B223:C227,E223:F227)&gt;0,OR(D222="X",D222="x")),F222,0)+IF(OR(COUNTA(B231:C235,E231:F235)&gt;0,OR(D230="X",D230="x")),F230,0)</f>
      </c>
      <c r="D246" s="14" t="str">
        <f>IF(OR(COUNTA(B223:C227,E223:F227)&gt;0,OR(D222="X",D222="x")),(IF(OR(D223="X",D223="x"),1,0)+IF(OR(D224="X",D224="x"),1,0)+IF(OR(D225="X",D225="x"),1,0)+IF(OR(D226="X",D226="x"),1,0)+IF(OR(D227="X",D227="x"),1,0)),0)+IF(OR(COUNTA(B231:C235,E231:F235)&gt;0,OR(D230="X",D230="x")),(IF(OR(D231="X",D231="x"),1,0)+IF(OR(D232="X",D232="x"),1,0)+IF(OR(D233="X",D233="x"),1,0)+IF(OR(D234="X",D234="x"),1,0)+IF(OR(D235="X",D235="x"),1,0)),0)</f>
      </c>
      <c r="E246" s="14" t="str">
        <f>C222+C230</f>
      </c>
      <c r="F246" s="14" t="str">
        <f>E222+E230</f>
      </c>
      <c r="I246" t="str">
        <f>data!$B$67</f>
      </c>
      <c r="J246" s="14" t="str">
        <f>IF(OR(COUNTA(J223:K227,M223:N227)&gt;0,OR(L222="X",L222="x")),J222,0)+IF(OR(COUNTA(J231:K235,M231:N235)&gt;0,OR(L230="X",L230="x")),J230,0)</f>
      </c>
      <c r="K246" s="14" t="str">
        <f>IF(OR(COUNTA(J223:K227,M223:N227)&gt;0,OR(L222="X",L222="x")),N222,0)+IF(OR(COUNTA(J231:K235,M231:N235)&gt;0,OR(L230="X",L230="x")),N230,0)</f>
      </c>
      <c r="L246" s="14" t="str">
        <f>IF(OR(COUNTA(J223:K227,M223:N227)&gt;0,OR(L222="X",L222="x")),(IF(OR(L223="X",L223="x"),1,0)+IF(OR(L224="X",L224="x"),1,0)+IF(OR(L225="X",L225="x"),1,0)+IF(OR(L226="X",L226="x"),1,0)+IF(OR(L227="X",L227="x"),1,0)),0)+IF(OR(COUNTA(J231:K235,M231:N235)&gt;0,OR(L230="X",L230="x")),(IF(OR(L231="X",L231="x"),1,0)+IF(OR(L232="X",L232="x"),1,0)+IF(OR(L233="X",L233="x"),1,0)+IF(OR(L234="X",L234="x"),1,0)+IF(OR(L235="X",L235="x"),1,0)),0)</f>
      </c>
      <c r="M246" s="14" t="str">
        <f>K222+K230</f>
      </c>
      <c r="N246" s="14" t="str">
        <f>M222+M230</f>
      </c>
    </row>
    <row r="249">
      <c r="F249" s="13"/>
      <c r="G249" s="13" t="s">
        <v>250</v>
      </c>
      <c r="N249" s="13"/>
      <c r="O249" s="13" t="s">
        <v>250</v>
      </c>
    </row>
    <row r="250">
      <c r="F250" t="s">
        <v>251</v>
      </c>
      <c r="G250" s="19"/>
      <c r="N250" t="s">
        <v>251</v>
      </c>
      <c r="O250" s="19"/>
    </row>
    <row r="251">
      <c r="F251" t="s">
        <v>252</v>
      </c>
      <c r="G251" s="19"/>
      <c r="N251" t="s">
        <v>252</v>
      </c>
      <c r="O251" s="19"/>
    </row>
    <row r="252">
      <c r="F252" t="s">
        <v>253</v>
      </c>
      <c r="G252" s="19"/>
      <c r="N252" t="s">
        <v>253</v>
      </c>
      <c r="O252" s="19"/>
    </row>
    <row r="254">
      <c r="A254" s="13" t="str">
        <f>data!$A$23</f>
      </c>
      <c r="B254" s="13"/>
      <c r="C254" s="13"/>
      <c r="D254" s="13"/>
      <c r="E254" s="13"/>
      <c r="F254" s="13"/>
      <c r="G254" s="13"/>
      <c r="I254" s="13" t="str">
        <f>data!$A$70</f>
      </c>
      <c r="J254" s="13"/>
      <c r="K254" s="13"/>
      <c r="L254" s="13"/>
      <c r="M254" s="13"/>
      <c r="N254" s="13"/>
      <c r="O254" s="13"/>
    </row>
    <row r="255">
      <c r="A255" s="17" t="s">
        <v>239</v>
      </c>
      <c r="B255" s="14"/>
      <c r="C255" s="14"/>
      <c r="D255" s="14" t="s">
        <v>240</v>
      </c>
      <c r="E255" s="14"/>
      <c r="F255" s="14"/>
      <c r="G255" s="16" t="s">
        <v>241</v>
      </c>
      <c r="I255" s="17" t="s">
        <v>239</v>
      </c>
      <c r="J255" s="14"/>
      <c r="K255" s="14"/>
      <c r="L255" s="14" t="s">
        <v>240</v>
      </c>
      <c r="M255" s="14"/>
      <c r="N255" s="14"/>
      <c r="O255" s="16" t="s">
        <v>241</v>
      </c>
    </row>
    <row r="256">
      <c r="A256" s="14" t="str">
        <f>data!$B$22</f>
      </c>
      <c r="B256" s="18" t="str">
        <f>SUMPRODUCT((UPPER(D257:D261)&lt;&gt;"X")*((LEN(SUBSTITUTE(SUBSTITUTE(SUBSTITUTE(B257:B261," ",""),"0",""),"-",""))+LEN(SUBSTITUTE(SUBSTITUTE(SUBSTITUTE(C257:C261," ",""),"0",""),"-","")))&gt;(LEN(SUBSTITUTE(SUBSTITUTE(SUBSTITUTE(E257:E261," ",""),"0",""),"-",""))+LEN(SUBSTITUTE(SUBSTITUTE(SUBSTITUTE(F257:F261," ",""),"0",""),"-",""))))*1)</f>
      </c>
      <c r="C256" s="18" t="str">
        <f>SUMPRODUCT(LEN(SUBSTITUTE(SUBSTITUTE(SUBSTITUTE(B257:B261," ",""),"0",""),"-",""))+LEN(SUBSTITUTE(SUBSTITUTE(SUBSTITUTE(C257:C261," ",""),"0",""),"-","")))</f>
      </c>
      <c r="D256" s="18"/>
      <c r="E256" s="18" t="str">
        <f>SUMPRODUCT(LEN(SUBSTITUTE(SUBSTITUTE(SUBSTITUTE(E257:E261," ",""),"0",""),"-",""))+LEN(SUBSTITUTE(SUBSTITUTE(SUBSTITUTE(F257:F261," ",""),"0",""),"-","")))</f>
      </c>
      <c r="F256" s="18" t="str">
        <f>SUMPRODUCT((UPPER(D257:D261)&lt;&gt;"X")*((LEN(SUBSTITUTE(SUBSTITUTE(SUBSTITUTE(E257:E261," ",""),"0",""),"-",""))+LEN(SUBSTITUTE(SUBSTITUTE(SUBSTITUTE(F257:F261," ",""),"0",""),"-","")))&gt;(LEN(SUBSTITUTE(SUBSTITUTE(SUBSTITUTE(B257:B261," ",""),"0",""),"-",""))+LEN(SUBSTITUTE(SUBSTITUTE(SUBSTITUTE(C257:C261," ",""),"0",""),"-",""))))*1)</f>
      </c>
      <c r="G256" s="14" t="str">
        <f>data!$B$21</f>
      </c>
      <c r="I256" s="14" t="str">
        <f>data!$B$69</f>
      </c>
      <c r="J256" s="18" t="str">
        <f>SUMPRODUCT((UPPER(L257:L261)&lt;&gt;"X")*((LEN(SUBSTITUTE(SUBSTITUTE(SUBSTITUTE(J257:J261," ",""),"0",""),"-",""))+LEN(SUBSTITUTE(SUBSTITUTE(SUBSTITUTE(K257:K261," ",""),"0",""),"-","")))&gt;(LEN(SUBSTITUTE(SUBSTITUTE(SUBSTITUTE(M257:M261," ",""),"0",""),"-",""))+LEN(SUBSTITUTE(SUBSTITUTE(SUBSTITUTE(N257:N261," ",""),"0",""),"-",""))))*1)</f>
      </c>
      <c r="K256" s="18" t="str">
        <f>SUMPRODUCT(LEN(SUBSTITUTE(SUBSTITUTE(SUBSTITUTE(J257:J261," ",""),"0",""),"-",""))+LEN(SUBSTITUTE(SUBSTITUTE(SUBSTITUTE(K257:K261," ",""),"0",""),"-","")))</f>
      </c>
      <c r="L256" s="18"/>
      <c r="M256" s="18" t="str">
        <f>SUMPRODUCT(LEN(SUBSTITUTE(SUBSTITUTE(SUBSTITUTE(M257:M261," ",""),"0",""),"-",""))+LEN(SUBSTITUTE(SUBSTITUTE(SUBSTITUTE(N257:N261," ",""),"0",""),"-","")))</f>
      </c>
      <c r="N256" s="18" t="str">
        <f>SUMPRODUCT((UPPER(L257:L261)&lt;&gt;"X")*((LEN(SUBSTITUTE(SUBSTITUTE(SUBSTITUTE(M257:M261," ",""),"0",""),"-",""))+LEN(SUBSTITUTE(SUBSTITUTE(SUBSTITUTE(N257:N261," ",""),"0",""),"-","")))&gt;(LEN(SUBSTITUTE(SUBSTITUTE(SUBSTITUTE(J257:J261," ",""),"0",""),"-",""))+LEN(SUBSTITUTE(SUBSTITUTE(SUBSTITUTE(K257:K261," ",""),"0",""),"-",""))))*1)</f>
      </c>
      <c r="O256" s="14" t="str">
        <f>data!$B$68</f>
      </c>
    </row>
    <row r="257">
      <c r="A257" s="18">
        <v>1</v>
      </c>
      <c r="B257" s="18"/>
      <c r="C257" s="18"/>
      <c r="D257" s="18"/>
      <c r="E257" s="18"/>
      <c r="F257" s="18"/>
      <c r="G257" s="18">
        <v>1</v>
      </c>
      <c r="I257" s="18">
        <v>1</v>
      </c>
      <c r="J257" s="18"/>
      <c r="K257" s="18"/>
      <c r="L257" s="18"/>
      <c r="M257" s="18"/>
      <c r="N257" s="18"/>
      <c r="O257" s="18">
        <v>1</v>
      </c>
    </row>
    <row r="258">
      <c r="A258" s="18">
        <v>2</v>
      </c>
      <c r="B258" s="18"/>
      <c r="C258" s="18"/>
      <c r="D258" s="18"/>
      <c r="E258" s="18"/>
      <c r="F258" s="18"/>
      <c r="G258" s="18">
        <v>2</v>
      </c>
      <c r="I258" s="18">
        <v>2</v>
      </c>
      <c r="J258" s="18"/>
      <c r="K258" s="18"/>
      <c r="L258" s="18"/>
      <c r="M258" s="18"/>
      <c r="N258" s="18"/>
      <c r="O258" s="18">
        <v>2</v>
      </c>
    </row>
    <row r="259">
      <c r="A259" s="18">
        <v>3</v>
      </c>
      <c r="B259" s="18"/>
      <c r="C259" s="18"/>
      <c r="D259" s="18"/>
      <c r="E259" s="18"/>
      <c r="F259" s="18"/>
      <c r="G259" s="18">
        <v>3</v>
      </c>
      <c r="I259" s="18">
        <v>3</v>
      </c>
      <c r="J259" s="18"/>
      <c r="K259" s="18"/>
      <c r="L259" s="18"/>
      <c r="M259" s="18"/>
      <c r="N259" s="18"/>
      <c r="O259" s="18">
        <v>3</v>
      </c>
    </row>
    <row r="260">
      <c r="A260" s="18">
        <v>4</v>
      </c>
      <c r="B260" s="18"/>
      <c r="C260" s="18"/>
      <c r="D260" s="18"/>
      <c r="E260" s="18"/>
      <c r="F260" s="18"/>
      <c r="G260" s="18">
        <v>4</v>
      </c>
      <c r="I260" s="18">
        <v>4</v>
      </c>
      <c r="J260" s="18"/>
      <c r="K260" s="18"/>
      <c r="L260" s="18"/>
      <c r="M260" s="18"/>
      <c r="N260" s="18"/>
      <c r="O260" s="18">
        <v>4</v>
      </c>
    </row>
    <row r="261">
      <c r="A261" s="18">
        <v>5</v>
      </c>
      <c r="B261" s="18"/>
      <c r="C261" s="18"/>
      <c r="D261" s="18"/>
      <c r="E261" s="18"/>
      <c r="F261" s="18"/>
      <c r="G261" s="18">
        <v>5</v>
      </c>
      <c r="I261" s="18">
        <v>5</v>
      </c>
      <c r="J261" s="18"/>
      <c r="K261" s="18"/>
      <c r="L261" s="18"/>
      <c r="M261" s="18"/>
      <c r="N261" s="18"/>
      <c r="O261" s="18">
        <v>5</v>
      </c>
    </row>
    <row r="263">
      <c r="A263" s="17" t="s">
        <v>239</v>
      </c>
      <c r="B263" s="14"/>
      <c r="C263" s="14"/>
      <c r="D263" s="14" t="s">
        <v>240</v>
      </c>
      <c r="E263" s="14"/>
      <c r="F263" s="14"/>
      <c r="G263" s="16" t="s">
        <v>241</v>
      </c>
      <c r="I263" s="17" t="s">
        <v>239</v>
      </c>
      <c r="J263" s="14"/>
      <c r="K263" s="14"/>
      <c r="L263" s="14" t="s">
        <v>240</v>
      </c>
      <c r="M263" s="14"/>
      <c r="N263" s="14"/>
      <c r="O263" s="16" t="s">
        <v>241</v>
      </c>
    </row>
    <row r="264">
      <c r="A264" s="14" t="str">
        <f>data!$B$23</f>
      </c>
      <c r="B264" s="18" t="str">
        <f>SUMPRODUCT((UPPER(D265:D269)&lt;&gt;"X")*((LEN(SUBSTITUTE(SUBSTITUTE(SUBSTITUTE(B265:B269," ",""),"0",""),"-",""))+LEN(SUBSTITUTE(SUBSTITUTE(SUBSTITUTE(C265:C269," ",""),"0",""),"-","")))&gt;(LEN(SUBSTITUTE(SUBSTITUTE(SUBSTITUTE(E265:E269," ",""),"0",""),"-",""))+LEN(SUBSTITUTE(SUBSTITUTE(SUBSTITUTE(F265:F269," ",""),"0",""),"-",""))))*1)</f>
      </c>
      <c r="C264" s="18" t="str">
        <f>SUMPRODUCT(LEN(SUBSTITUTE(SUBSTITUTE(SUBSTITUTE(B265:B269," ",""),"0",""),"-",""))+LEN(SUBSTITUTE(SUBSTITUTE(SUBSTITUTE(C265:C269," ",""),"0",""),"-","")))</f>
      </c>
      <c r="D264" s="18"/>
      <c r="E264" s="18" t="str">
        <f>SUMPRODUCT(LEN(SUBSTITUTE(SUBSTITUTE(SUBSTITUTE(E265:E269," ",""),"0",""),"-",""))+LEN(SUBSTITUTE(SUBSTITUTE(SUBSTITUTE(F265:F269," ",""),"0",""),"-","")))</f>
      </c>
      <c r="F264" s="18" t="str">
        <f>SUMPRODUCT((UPPER(D265:D269)&lt;&gt;"X")*((LEN(SUBSTITUTE(SUBSTITUTE(SUBSTITUTE(E265:E269," ",""),"0",""),"-",""))+LEN(SUBSTITUTE(SUBSTITUTE(SUBSTITUTE(F265:F269," ",""),"0",""),"-","")))&gt;(LEN(SUBSTITUTE(SUBSTITUTE(SUBSTITUTE(B265:B269," ",""),"0",""),"-",""))+LEN(SUBSTITUTE(SUBSTITUTE(SUBSTITUTE(C265:C269," ",""),"0",""),"-",""))))*1)</f>
      </c>
      <c r="G264" s="14" t="str">
        <f>data!$B$21</f>
      </c>
      <c r="I264" s="14" t="str">
        <f>data!$B$70</f>
      </c>
      <c r="J264" s="18" t="str">
        <f>SUMPRODUCT((UPPER(L265:L269)&lt;&gt;"X")*((LEN(SUBSTITUTE(SUBSTITUTE(SUBSTITUTE(J265:J269," ",""),"0",""),"-",""))+LEN(SUBSTITUTE(SUBSTITUTE(SUBSTITUTE(K265:K269," ",""),"0",""),"-","")))&gt;(LEN(SUBSTITUTE(SUBSTITUTE(SUBSTITUTE(M265:M269," ",""),"0",""),"-",""))+LEN(SUBSTITUTE(SUBSTITUTE(SUBSTITUTE(N265:N269," ",""),"0",""),"-",""))))*1)</f>
      </c>
      <c r="K264" s="18" t="str">
        <f>SUMPRODUCT(LEN(SUBSTITUTE(SUBSTITUTE(SUBSTITUTE(J265:J269," ",""),"0",""),"-",""))+LEN(SUBSTITUTE(SUBSTITUTE(SUBSTITUTE(K265:K269," ",""),"0",""),"-","")))</f>
      </c>
      <c r="L264" s="18"/>
      <c r="M264" s="18" t="str">
        <f>SUMPRODUCT(LEN(SUBSTITUTE(SUBSTITUTE(SUBSTITUTE(M265:M269," ",""),"0",""),"-",""))+LEN(SUBSTITUTE(SUBSTITUTE(SUBSTITUTE(N265:N269," ",""),"0",""),"-","")))</f>
      </c>
      <c r="N264" s="18" t="str">
        <f>SUMPRODUCT((UPPER(L265:L269)&lt;&gt;"X")*((LEN(SUBSTITUTE(SUBSTITUTE(SUBSTITUTE(M265:M269," ",""),"0",""),"-",""))+LEN(SUBSTITUTE(SUBSTITUTE(SUBSTITUTE(N265:N269," ",""),"0",""),"-","")))&gt;(LEN(SUBSTITUTE(SUBSTITUTE(SUBSTITUTE(J265:J269," ",""),"0",""),"-",""))+LEN(SUBSTITUTE(SUBSTITUTE(SUBSTITUTE(K265:K269," ",""),"0",""),"-",""))))*1)</f>
      </c>
      <c r="O264" s="14" t="str">
        <f>data!$B$68</f>
      </c>
    </row>
    <row r="265">
      <c r="A265" s="18">
        <v>1</v>
      </c>
      <c r="B265" s="18"/>
      <c r="C265" s="18"/>
      <c r="D265" s="18"/>
      <c r="E265" s="18"/>
      <c r="F265" s="18"/>
      <c r="G265" s="18">
        <v>1</v>
      </c>
      <c r="I265" s="18">
        <v>1</v>
      </c>
      <c r="J265" s="18"/>
      <c r="K265" s="18"/>
      <c r="L265" s="18"/>
      <c r="M265" s="18"/>
      <c r="N265" s="18"/>
      <c r="O265" s="18">
        <v>1</v>
      </c>
    </row>
    <row r="266">
      <c r="A266" s="18">
        <v>2</v>
      </c>
      <c r="B266" s="18"/>
      <c r="C266" s="18"/>
      <c r="D266" s="18"/>
      <c r="E266" s="18"/>
      <c r="F266" s="18"/>
      <c r="G266" s="18">
        <v>2</v>
      </c>
      <c r="I266" s="18">
        <v>2</v>
      </c>
      <c r="J266" s="18"/>
      <c r="K266" s="18"/>
      <c r="L266" s="18"/>
      <c r="M266" s="18"/>
      <c r="N266" s="18"/>
      <c r="O266" s="18">
        <v>2</v>
      </c>
    </row>
    <row r="267">
      <c r="A267" s="18">
        <v>3</v>
      </c>
      <c r="B267" s="18"/>
      <c r="C267" s="18"/>
      <c r="D267" s="18"/>
      <c r="E267" s="18"/>
      <c r="F267" s="18"/>
      <c r="G267" s="18">
        <v>3</v>
      </c>
      <c r="I267" s="18">
        <v>3</v>
      </c>
      <c r="J267" s="18"/>
      <c r="K267" s="18"/>
      <c r="L267" s="18"/>
      <c r="M267" s="18"/>
      <c r="N267" s="18"/>
      <c r="O267" s="18">
        <v>3</v>
      </c>
    </row>
    <row r="268">
      <c r="A268" s="18">
        <v>4</v>
      </c>
      <c r="B268" s="18"/>
      <c r="C268" s="18"/>
      <c r="D268" s="18"/>
      <c r="E268" s="18"/>
      <c r="F268" s="18"/>
      <c r="G268" s="18">
        <v>4</v>
      </c>
      <c r="I268" s="18">
        <v>4</v>
      </c>
      <c r="J268" s="18"/>
      <c r="K268" s="18"/>
      <c r="L268" s="18"/>
      <c r="M268" s="18"/>
      <c r="N268" s="18"/>
      <c r="O268" s="18">
        <v>4</v>
      </c>
    </row>
    <row r="269">
      <c r="A269" s="18">
        <v>5</v>
      </c>
      <c r="B269" s="18"/>
      <c r="C269" s="18"/>
      <c r="D269" s="18"/>
      <c r="E269" s="18"/>
      <c r="F269" s="18"/>
      <c r="G269" s="18">
        <v>5</v>
      </c>
      <c r="I269" s="18">
        <v>5</v>
      </c>
      <c r="J269" s="18"/>
      <c r="K269" s="18"/>
      <c r="L269" s="18"/>
      <c r="M269" s="18"/>
      <c r="N269" s="18"/>
      <c r="O269" s="18">
        <v>5</v>
      </c>
    </row>
    <row r="271">
      <c r="A271" s="17" t="s">
        <v>239</v>
      </c>
      <c r="B271" s="14"/>
      <c r="C271" s="14"/>
      <c r="D271" s="14" t="s">
        <v>240</v>
      </c>
      <c r="E271" s="14"/>
      <c r="F271" s="14"/>
      <c r="G271" s="16" t="s">
        <v>241</v>
      </c>
      <c r="I271" s="17" t="s">
        <v>239</v>
      </c>
      <c r="J271" s="14"/>
      <c r="K271" s="14"/>
      <c r="L271" s="14" t="s">
        <v>240</v>
      </c>
      <c r="M271" s="14"/>
      <c r="N271" s="14"/>
      <c r="O271" s="16" t="s">
        <v>241</v>
      </c>
    </row>
    <row r="272">
      <c r="A272" s="14" t="str">
        <f>data!$B$23</f>
      </c>
      <c r="B272" s="18" t="str">
        <f>SUMPRODUCT((UPPER(D273:D277)&lt;&gt;"X")*((LEN(SUBSTITUTE(SUBSTITUTE(SUBSTITUTE(B273:B277," ",""),"0",""),"-",""))+LEN(SUBSTITUTE(SUBSTITUTE(SUBSTITUTE(C273:C277," ",""),"0",""),"-","")))&gt;(LEN(SUBSTITUTE(SUBSTITUTE(SUBSTITUTE(E273:E277," ",""),"0",""),"-",""))+LEN(SUBSTITUTE(SUBSTITUTE(SUBSTITUTE(F273:F277," ",""),"0",""),"-",""))))*1)</f>
      </c>
      <c r="C272" s="18" t="str">
        <f>SUMPRODUCT(LEN(SUBSTITUTE(SUBSTITUTE(SUBSTITUTE(B273:B277," ",""),"0",""),"-",""))+LEN(SUBSTITUTE(SUBSTITUTE(SUBSTITUTE(C273:C277," ",""),"0",""),"-","")))</f>
      </c>
      <c r="D272" s="18"/>
      <c r="E272" s="18" t="str">
        <f>SUMPRODUCT(LEN(SUBSTITUTE(SUBSTITUTE(SUBSTITUTE(E273:E277," ",""),"0",""),"-",""))+LEN(SUBSTITUTE(SUBSTITUTE(SUBSTITUTE(F273:F277," ",""),"0",""),"-","")))</f>
      </c>
      <c r="F272" s="18" t="str">
        <f>SUMPRODUCT((UPPER(D273:D277)&lt;&gt;"X")*((LEN(SUBSTITUTE(SUBSTITUTE(SUBSTITUTE(E273:E277," ",""),"0",""),"-",""))+LEN(SUBSTITUTE(SUBSTITUTE(SUBSTITUTE(F273:F277," ",""),"0",""),"-","")))&gt;(LEN(SUBSTITUTE(SUBSTITUTE(SUBSTITUTE(B273:B277," ",""),"0",""),"-",""))+LEN(SUBSTITUTE(SUBSTITUTE(SUBSTITUTE(C273:C277," ",""),"0",""),"-",""))))*1)</f>
      </c>
      <c r="G272" s="14" t="str">
        <f>data!$B$22</f>
      </c>
      <c r="I272" s="14" t="str">
        <f>data!$B$70</f>
      </c>
      <c r="J272" s="18" t="str">
        <f>SUMPRODUCT((UPPER(L273:L277)&lt;&gt;"X")*((LEN(SUBSTITUTE(SUBSTITUTE(SUBSTITUTE(J273:J277," ",""),"0",""),"-",""))+LEN(SUBSTITUTE(SUBSTITUTE(SUBSTITUTE(K273:K277," ",""),"0",""),"-","")))&gt;(LEN(SUBSTITUTE(SUBSTITUTE(SUBSTITUTE(M273:M277," ",""),"0",""),"-",""))+LEN(SUBSTITUTE(SUBSTITUTE(SUBSTITUTE(N273:N277," ",""),"0",""),"-",""))))*1)</f>
      </c>
      <c r="K272" s="18" t="str">
        <f>SUMPRODUCT(LEN(SUBSTITUTE(SUBSTITUTE(SUBSTITUTE(J273:J277," ",""),"0",""),"-",""))+LEN(SUBSTITUTE(SUBSTITUTE(SUBSTITUTE(K273:K277," ",""),"0",""),"-","")))</f>
      </c>
      <c r="L272" s="18"/>
      <c r="M272" s="18" t="str">
        <f>SUMPRODUCT(LEN(SUBSTITUTE(SUBSTITUTE(SUBSTITUTE(M273:M277," ",""),"0",""),"-",""))+LEN(SUBSTITUTE(SUBSTITUTE(SUBSTITUTE(N273:N277," ",""),"0",""),"-","")))</f>
      </c>
      <c r="N272" s="18" t="str">
        <f>SUMPRODUCT((UPPER(L273:L277)&lt;&gt;"X")*((LEN(SUBSTITUTE(SUBSTITUTE(SUBSTITUTE(M273:M277," ",""),"0",""),"-",""))+LEN(SUBSTITUTE(SUBSTITUTE(SUBSTITUTE(N273:N277," ",""),"0",""),"-","")))&gt;(LEN(SUBSTITUTE(SUBSTITUTE(SUBSTITUTE(J273:J277," ",""),"0",""),"-",""))+LEN(SUBSTITUTE(SUBSTITUTE(SUBSTITUTE(K273:K277," ",""),"0",""),"-",""))))*1)</f>
      </c>
      <c r="O272" s="14" t="str">
        <f>data!$B$69</f>
      </c>
    </row>
    <row r="273">
      <c r="A273" s="18">
        <v>1</v>
      </c>
      <c r="B273" s="18"/>
      <c r="C273" s="18"/>
      <c r="D273" s="18"/>
      <c r="E273" s="18"/>
      <c r="F273" s="18"/>
      <c r="G273" s="18">
        <v>1</v>
      </c>
      <c r="I273" s="18">
        <v>1</v>
      </c>
      <c r="J273" s="18"/>
      <c r="K273" s="18"/>
      <c r="L273" s="18"/>
      <c r="M273" s="18"/>
      <c r="N273" s="18"/>
      <c r="O273" s="18">
        <v>1</v>
      </c>
    </row>
    <row r="274">
      <c r="A274" s="18">
        <v>2</v>
      </c>
      <c r="B274" s="18"/>
      <c r="C274" s="18"/>
      <c r="D274" s="18"/>
      <c r="E274" s="18"/>
      <c r="F274" s="18"/>
      <c r="G274" s="18">
        <v>2</v>
      </c>
      <c r="I274" s="18">
        <v>2</v>
      </c>
      <c r="J274" s="18"/>
      <c r="K274" s="18"/>
      <c r="L274" s="18"/>
      <c r="M274" s="18"/>
      <c r="N274" s="18"/>
      <c r="O274" s="18">
        <v>2</v>
      </c>
    </row>
    <row r="275">
      <c r="A275" s="18">
        <v>3</v>
      </c>
      <c r="B275" s="18"/>
      <c r="C275" s="18"/>
      <c r="D275" s="18"/>
      <c r="E275" s="18"/>
      <c r="F275" s="18"/>
      <c r="G275" s="18">
        <v>3</v>
      </c>
      <c r="I275" s="18">
        <v>3</v>
      </c>
      <c r="J275" s="18"/>
      <c r="K275" s="18"/>
      <c r="L275" s="18"/>
      <c r="M275" s="18"/>
      <c r="N275" s="18"/>
      <c r="O275" s="18">
        <v>3</v>
      </c>
    </row>
    <row r="276">
      <c r="A276" s="18">
        <v>4</v>
      </c>
      <c r="B276" s="18"/>
      <c r="C276" s="18"/>
      <c r="D276" s="18"/>
      <c r="E276" s="18"/>
      <c r="F276" s="18"/>
      <c r="G276" s="18">
        <v>4</v>
      </c>
      <c r="I276" s="18">
        <v>4</v>
      </c>
      <c r="J276" s="18"/>
      <c r="K276" s="18"/>
      <c r="L276" s="18"/>
      <c r="M276" s="18"/>
      <c r="N276" s="18"/>
      <c r="O276" s="18">
        <v>4</v>
      </c>
    </row>
    <row r="277">
      <c r="A277" s="18">
        <v>5</v>
      </c>
      <c r="B277" s="18"/>
      <c r="C277" s="18"/>
      <c r="D277" s="18"/>
      <c r="E277" s="18"/>
      <c r="F277" s="18"/>
      <c r="G277" s="18">
        <v>5</v>
      </c>
      <c r="I277" s="18">
        <v>5</v>
      </c>
      <c r="J277" s="18"/>
      <c r="K277" s="18"/>
      <c r="L277" s="18"/>
      <c r="M277" s="18"/>
      <c r="N277" s="18"/>
      <c r="O277" s="18">
        <v>5</v>
      </c>
    </row>
    <row r="280">
      <c r="A280" s="13"/>
      <c r="B280" s="13" t="s">
        <v>242</v>
      </c>
      <c r="C280" s="13" t="s">
        <v>243</v>
      </c>
      <c r="D280" s="13" t="s">
        <v>244</v>
      </c>
      <c r="I280" s="13"/>
      <c r="J280" s="13" t="s">
        <v>242</v>
      </c>
      <c r="K280" s="13" t="s">
        <v>243</v>
      </c>
      <c r="L280" s="13" t="s">
        <v>244</v>
      </c>
    </row>
    <row r="281">
      <c r="A281" t="str">
        <f>data!$B$21</f>
      </c>
      <c r="B281" s="14" t="str">
        <f>IF(OR(COUNTA(B257:C261,E257:F261)&gt;0,OR(D256="X",D256="x")),IF(OR(D256="X",D256="x"),0,IF(OR(F256&gt;B256,AND(F256=B256,E256&gt;C256)),1,0)),0)+IF(OR(COUNTA(B265:C269,E265:F269)&gt;0,OR(D264="X",D264="x")),IF(OR(D264="X",D264="x"),0,IF(OR(F264&gt;B264,AND(F264=B264,E264&gt;C264)),1,0)),0)</f>
      </c>
      <c r="C281" s="14" t="str">
        <f>IF(OR(COUNTA(B257:C261,E257:F261)&gt;0,OR(D256="X",D256="x")),IF(OR(D256="X",D256="x"),0,IF(OR(F256&lt;B256,AND(F256=B256,E256&lt;C256)),1,0)),0)+IF(OR(COUNTA(B265:C269,E265:F269)&gt;0,OR(D264="X",D264="x")),IF(OR(D264="X",D264="x"),0,IF(OR(F264&lt;B264,AND(F264=B264,E264&lt;C264)),1,0)),0)</f>
      </c>
      <c r="D281" s="14" t="str">
        <f>IF(OR(COUNTA(B257:C261,E257:F261)&gt;0,OR(D256="X",D256="x")),IF(OR(D256="X",D256="x"),1,0),0)+IF(OR(COUNTA(B265:C269,E265:F269)&gt;0,OR(D264="X",D264="x")),IF(OR(D264="X",D264="x"),1,0),0)</f>
      </c>
      <c r="I281" t="str">
        <f>data!$B$68</f>
      </c>
      <c r="J281" s="14" t="str">
        <f>IF(OR(COUNTA(J257:K261,M257:N261)&gt;0,OR(L256="X",L256="x")),IF(OR(L256="X",L256="x"),0,IF(OR(N256&gt;J256,AND(N256=J256,M256&gt;K256)),1,0)),0)+IF(OR(COUNTA(J265:K269,M265:N269)&gt;0,OR(L264="X",L264="x")),IF(OR(L264="X",L264="x"),0,IF(OR(N264&gt;J264,AND(N264=J264,M264&gt;K264)),1,0)),0)</f>
      </c>
      <c r="K281" s="14" t="str">
        <f>IF(OR(COUNTA(J257:K261,M257:N261)&gt;0,OR(L256="X",L256="x")),IF(OR(L256="X",L256="x"),0,IF(OR(N256&lt;J256,AND(N256=J256,M256&lt;K256)),1,0)),0)+IF(OR(COUNTA(J265:K269,M265:N269)&gt;0,OR(L264="X",L264="x")),IF(OR(L264="X",L264="x"),0,IF(OR(N264&lt;J264,AND(N264=J264,M264&lt;K264)),1,0)),0)</f>
      </c>
      <c r="L281" s="14" t="str">
        <f>IF(OR(COUNTA(J257:K261,M257:N261)&gt;0,OR(L256="X",L256="x")),IF(OR(L256="X",L256="x"),1,0),0)+IF(OR(COUNTA(J265:K269,M265:N269)&gt;0,OR(L264="X",L264="x")),IF(OR(L264="X",L264="x"),1,0),0)</f>
      </c>
    </row>
    <row r="282">
      <c r="A282" t="str">
        <f>data!$B$22</f>
      </c>
      <c r="B282" s="14" t="str">
        <f>IF(OR(COUNTA(B257:C261,E257:F261)&gt;0,OR(D256="X",D256="x")),IF(OR(D256="X",D256="x"),0,IF(OR(B256&gt;F256,AND(B256=F256,C256&gt;E256)),1,0)),0)+IF(OR(COUNTA(B273:C277,E273:F277)&gt;0,OR(D272="X",D272="x")),IF(OR(D272="X",D272="x"),0,IF(OR(F272&gt;B272,AND(F272=B272,E272&gt;C272)),1,0)),0)</f>
      </c>
      <c r="C282" s="14" t="str">
        <f>IF(OR(COUNTA(B257:C261,E257:F261)&gt;0,OR(D256="X",D256="x")),IF(OR(D256="X",D256="x"),0,IF(OR(B256&lt;F256,AND(B256=F256,C256&lt;E256)),1,0)),0)+IF(OR(COUNTA(B273:C277,E273:F277)&gt;0,OR(D272="X",D272="x")),IF(OR(D272="X",D272="x"),0,IF(OR(F272&lt;B272,AND(F272=B272,E272&lt;C272)),1,0)),0)</f>
      </c>
      <c r="D282" s="14" t="str">
        <f>IF(OR(COUNTA(B257:C261,E257:F261)&gt;0,OR(D256="X",D256="x")),IF(OR(D256="X",D256="x"),1,0),0)+IF(OR(COUNTA(B273:C277,E273:F277)&gt;0,OR(D272="X",D272="x")),IF(OR(D272="X",D272="x"),1,0),0)</f>
      </c>
      <c r="I282" t="str">
        <f>data!$B$69</f>
      </c>
      <c r="J282" s="14" t="str">
        <f>IF(OR(COUNTA(J257:K261,M257:N261)&gt;0,OR(L256="X",L256="x")),IF(OR(L256="X",L256="x"),0,IF(OR(J256&gt;N256,AND(J256=N256,K256&gt;M256)),1,0)),0)+IF(OR(COUNTA(J273:K277,M273:N277)&gt;0,OR(L272="X",L272="x")),IF(OR(L272="X",L272="x"),0,IF(OR(N272&gt;J272,AND(N272=J272,M272&gt;K272)),1,0)),0)</f>
      </c>
      <c r="K282" s="14" t="str">
        <f>IF(OR(COUNTA(J257:K261,M257:N261)&gt;0,OR(L256="X",L256="x")),IF(OR(L256="X",L256="x"),0,IF(OR(J256&lt;N256,AND(J256=N256,K256&lt;M256)),1,0)),0)+IF(OR(COUNTA(J273:K277,M273:N277)&gt;0,OR(L272="X",L272="x")),IF(OR(L272="X",L272="x"),0,IF(OR(N272&lt;J272,AND(N272=J272,M272&lt;K272)),1,0)),0)</f>
      </c>
      <c r="L282" s="14" t="str">
        <f>IF(OR(COUNTA(J257:K261,M257:N261)&gt;0,OR(L256="X",L256="x")),IF(OR(L256="X",L256="x"),1,0),0)+IF(OR(COUNTA(J273:K277,M273:N277)&gt;0,OR(L272="X",L272="x")),IF(OR(L272="X",L272="x"),1,0),0)</f>
      </c>
    </row>
    <row r="283">
      <c r="A283" t="str">
        <f>data!$B$23</f>
      </c>
      <c r="B283" s="14" t="str">
        <f>IF(OR(COUNTA(B265:C269,E265:F269)&gt;0,OR(D264="X",D264="x")),IF(OR(D264="X",D264="x"),0,IF(OR(B264&gt;F264,AND(B264=F264,C264&gt;E264)),1,0)),0)+IF(OR(COUNTA(B273:C277,E273:F277)&gt;0,OR(D272="X",D272="x")),IF(OR(D272="X",D272="x"),0,IF(OR(B272&gt;F272,AND(B272=F272,C272&gt;E272)),1,0)),0)</f>
      </c>
      <c r="C283" s="14" t="str">
        <f>IF(OR(COUNTA(B265:C269,E265:F269)&gt;0,OR(D264="X",D264="x")),IF(OR(D264="X",D264="x"),0,IF(OR(B264&lt;F264,AND(B264=F264,C264&lt;E264)),1,0)),0)+IF(OR(COUNTA(B273:C277,E273:F277)&gt;0,OR(D272="X",D272="x")),IF(OR(D272="X",D272="x"),0,IF(OR(B272&lt;F272,AND(B272=F272,C272&lt;E272)),1,0)),0)</f>
      </c>
      <c r="D283" s="14" t="str">
        <f>IF(OR(COUNTA(B265:C269,E265:F269)&gt;0,OR(D264="X",D264="x")),IF(OR(D264="X",D264="x"),1,0),0)+IF(OR(COUNTA(B273:C277,E273:F277)&gt;0,OR(D272="X",D272="x")),IF(OR(D272="X",D272="x"),1,0),0)</f>
      </c>
      <c r="I283" t="str">
        <f>data!$B$70</f>
      </c>
      <c r="J283" s="14" t="str">
        <f>IF(OR(COUNTA(J265:K269,M265:N269)&gt;0,OR(L264="X",L264="x")),IF(OR(L264="X",L264="x"),0,IF(OR(J264&gt;N264,AND(J264=N264,K264&gt;M264)),1,0)),0)+IF(OR(COUNTA(J273:K277,M273:N277)&gt;0,OR(L272="X",L272="x")),IF(OR(L272="X",L272="x"),0,IF(OR(J272&gt;N272,AND(J272=N272,K272&gt;M272)),1,0)),0)</f>
      </c>
      <c r="K283" s="14" t="str">
        <f>IF(OR(COUNTA(J265:K269,M265:N269)&gt;0,OR(L264="X",L264="x")),IF(OR(L264="X",L264="x"),0,IF(OR(J264&lt;N264,AND(J264=N264,K264&lt;M264)),1,0)),0)+IF(OR(COUNTA(J273:K277,M273:N277)&gt;0,OR(L272="X",L272="x")),IF(OR(L272="X",L272="x"),0,IF(OR(J272&lt;N272,AND(J272=N272,K272&lt;M272)),1,0)),0)</f>
      </c>
      <c r="L283" s="14" t="str">
        <f>IF(OR(COUNTA(J265:K269,M265:N269)&gt;0,OR(L264="X",L264="x")),IF(OR(L264="X",L264="x"),1,0),0)+IF(OR(COUNTA(J273:K277,M273:N277)&gt;0,OR(L272="X",L272="x")),IF(OR(L272="X",L272="x"),1,0),0)</f>
      </c>
    </row>
    <row r="285">
      <c r="A285" s="13"/>
      <c r="B285" s="13" t="s">
        <v>245</v>
      </c>
      <c r="C285" s="13" t="s">
        <v>246</v>
      </c>
      <c r="D285" s="13" t="s">
        <v>247</v>
      </c>
      <c r="E285" s="13" t="s">
        <v>248</v>
      </c>
      <c r="F285" s="13" t="s">
        <v>249</v>
      </c>
      <c r="I285" s="13"/>
      <c r="J285" s="13" t="s">
        <v>245</v>
      </c>
      <c r="K285" s="13" t="s">
        <v>246</v>
      </c>
      <c r="L285" s="13" t="s">
        <v>247</v>
      </c>
      <c r="M285" s="13" t="s">
        <v>248</v>
      </c>
      <c r="N285" s="13" t="s">
        <v>249</v>
      </c>
    </row>
    <row r="286">
      <c r="A286" t="str">
        <f>data!$B$21</f>
      </c>
      <c r="B286" s="14" t="str">
        <f>IF(OR(COUNTA(B257:C261,E257:F261)&gt;0,OR(D256="X",D256="x")),F256,0)+IF(OR(COUNTA(B265:C269,E265:F269)&gt;0,OR(D264="X",D264="x")),F264,0)</f>
      </c>
      <c r="C286" s="14" t="str">
        <f>IF(OR(COUNTA(B257:C261,E257:F261)&gt;0,OR(D256="X",D256="x")),B256,0)+IF(OR(COUNTA(B265:C269,E265:F269)&gt;0,OR(D264="X",D264="x")),B264,0)</f>
      </c>
      <c r="D286" s="14" t="str">
        <f>IF(OR(COUNTA(B257:C261,E257:F261)&gt;0,OR(D256="X",D256="x")),(IF(OR(D257="X",D257="x"),1,0)+IF(OR(D258="X",D258="x"),1,0)+IF(OR(D259="X",D259="x"),1,0)+IF(OR(D260="X",D260="x"),1,0)+IF(OR(D261="X",D261="x"),1,0)),0)+IF(OR(COUNTA(B265:C269,E265:F269)&gt;0,OR(D264="X",D264="x")),(IF(OR(D265="X",D265="x"),1,0)+IF(OR(D266="X",D266="x"),1,0)+IF(OR(D267="X",D267="x"),1,0)+IF(OR(D268="X",D268="x"),1,0)+IF(OR(D269="X",D269="x"),1,0)),0)</f>
      </c>
      <c r="E286" s="14" t="str">
        <f>E256+E264</f>
      </c>
      <c r="F286" s="14" t="str">
        <f>C256+C264</f>
      </c>
      <c r="I286" t="str">
        <f>data!$B$68</f>
      </c>
      <c r="J286" s="14" t="str">
        <f>IF(OR(COUNTA(J257:K261,M257:N261)&gt;0,OR(L256="X",L256="x")),N256,0)+IF(OR(COUNTA(J265:K269,M265:N269)&gt;0,OR(L264="X",L264="x")),N264,0)</f>
      </c>
      <c r="K286" s="14" t="str">
        <f>IF(OR(COUNTA(J257:K261,M257:N261)&gt;0,OR(L256="X",L256="x")),J256,0)+IF(OR(COUNTA(J265:K269,M265:N269)&gt;0,OR(L264="X",L264="x")),J264,0)</f>
      </c>
      <c r="L286" s="14" t="str">
        <f>IF(OR(COUNTA(J257:K261,M257:N261)&gt;0,OR(L256="X",L256="x")),(IF(OR(L257="X",L257="x"),1,0)+IF(OR(L258="X",L258="x"),1,0)+IF(OR(L259="X",L259="x"),1,0)+IF(OR(L260="X",L260="x"),1,0)+IF(OR(L261="X",L261="x"),1,0)),0)+IF(OR(COUNTA(J265:K269,M265:N269)&gt;0,OR(L264="X",L264="x")),(IF(OR(L265="X",L265="x"),1,0)+IF(OR(L266="X",L266="x"),1,0)+IF(OR(L267="X",L267="x"),1,0)+IF(OR(L268="X",L268="x"),1,0)+IF(OR(L269="X",L269="x"),1,0)),0)</f>
      </c>
      <c r="M286" s="14" t="str">
        <f>M256+M264</f>
      </c>
      <c r="N286" s="14" t="str">
        <f>K256+K264</f>
      </c>
    </row>
    <row r="287">
      <c r="A287" t="str">
        <f>data!$B$22</f>
      </c>
      <c r="B287" s="14" t="str">
        <f>IF(OR(COUNTA(B257:C261,E257:F261)&gt;0,OR(D256="X",D256="x")),B256,0)+IF(OR(COUNTA(B273:C277,E273:F277)&gt;0,OR(D272="X",D272="x")),F272,0)</f>
      </c>
      <c r="C287" s="14" t="str">
        <f>IF(OR(COUNTA(B257:C261,E257:F261)&gt;0,OR(D256="X",D256="x")),F256,0)+IF(OR(COUNTA(B273:C277,E273:F277)&gt;0,OR(D272="X",D272="x")),B272,0)</f>
      </c>
      <c r="D287" s="14" t="str">
        <f>IF(OR(COUNTA(B257:C261,E257:F261)&gt;0,OR(D256="X",D256="x")),(IF(OR(D257="X",D257="x"),1,0)+IF(OR(D258="X",D258="x"),1,0)+IF(OR(D259="X",D259="x"),1,0)+IF(OR(D260="X",D260="x"),1,0)+IF(OR(D261="X",D261="x"),1,0)),0)+IF(OR(COUNTA(B273:C277,E273:F277)&gt;0,OR(D272="X",D272="x")),(IF(OR(D273="X",D273="x"),1,0)+IF(OR(D274="X",D274="x"),1,0)+IF(OR(D275="X",D275="x"),1,0)+IF(OR(D276="X",D276="x"),1,0)+IF(OR(D277="X",D277="x"),1,0)),0)</f>
      </c>
      <c r="E287" s="14" t="str">
        <f>C256+E272</f>
      </c>
      <c r="F287" s="14" t="str">
        <f>E256+C272</f>
      </c>
      <c r="I287" t="str">
        <f>data!$B$69</f>
      </c>
      <c r="J287" s="14" t="str">
        <f>IF(OR(COUNTA(J257:K261,M257:N261)&gt;0,OR(L256="X",L256="x")),J256,0)+IF(OR(COUNTA(J273:K277,M273:N277)&gt;0,OR(L272="X",L272="x")),N272,0)</f>
      </c>
      <c r="K287" s="14" t="str">
        <f>IF(OR(COUNTA(J257:K261,M257:N261)&gt;0,OR(L256="X",L256="x")),N256,0)+IF(OR(COUNTA(J273:K277,M273:N277)&gt;0,OR(L272="X",L272="x")),J272,0)</f>
      </c>
      <c r="L287" s="14" t="str">
        <f>IF(OR(COUNTA(J257:K261,M257:N261)&gt;0,OR(L256="X",L256="x")),(IF(OR(L257="X",L257="x"),1,0)+IF(OR(L258="X",L258="x"),1,0)+IF(OR(L259="X",L259="x"),1,0)+IF(OR(L260="X",L260="x"),1,0)+IF(OR(L261="X",L261="x"),1,0)),0)+IF(OR(COUNTA(J273:K277,M273:N277)&gt;0,OR(L272="X",L272="x")),(IF(OR(L273="X",L273="x"),1,0)+IF(OR(L274="X",L274="x"),1,0)+IF(OR(L275="X",L275="x"),1,0)+IF(OR(L276="X",L276="x"),1,0)+IF(OR(L277="X",L277="x"),1,0)),0)</f>
      </c>
      <c r="M287" s="14" t="str">
        <f>K256+M272</f>
      </c>
      <c r="N287" s="14" t="str">
        <f>M256+K272</f>
      </c>
    </row>
    <row r="288">
      <c r="A288" t="str">
        <f>data!$B$23</f>
      </c>
      <c r="B288" s="14" t="str">
        <f>IF(OR(COUNTA(B265:C269,E265:F269)&gt;0,OR(D264="X",D264="x")),B264,0)+IF(OR(COUNTA(B273:C277,E273:F277)&gt;0,OR(D272="X",D272="x")),B272,0)</f>
      </c>
      <c r="C288" s="14" t="str">
        <f>IF(OR(COUNTA(B265:C269,E265:F269)&gt;0,OR(D264="X",D264="x")),F264,0)+IF(OR(COUNTA(B273:C277,E273:F277)&gt;0,OR(D272="X",D272="x")),F272,0)</f>
      </c>
      <c r="D288" s="14" t="str">
        <f>IF(OR(COUNTA(B265:C269,E265:F269)&gt;0,OR(D264="X",D264="x")),(IF(OR(D265="X",D265="x"),1,0)+IF(OR(D266="X",D266="x"),1,0)+IF(OR(D267="X",D267="x"),1,0)+IF(OR(D268="X",D268="x"),1,0)+IF(OR(D269="X",D269="x"),1,0)),0)+IF(OR(COUNTA(B273:C277,E273:F277)&gt;0,OR(D272="X",D272="x")),(IF(OR(D273="X",D273="x"),1,0)+IF(OR(D274="X",D274="x"),1,0)+IF(OR(D275="X",D275="x"),1,0)+IF(OR(D276="X",D276="x"),1,0)+IF(OR(D277="X",D277="x"),1,0)),0)</f>
      </c>
      <c r="E288" s="14" t="str">
        <f>C264+C272</f>
      </c>
      <c r="F288" s="14" t="str">
        <f>E264+E272</f>
      </c>
      <c r="I288" t="str">
        <f>data!$B$70</f>
      </c>
      <c r="J288" s="14" t="str">
        <f>IF(OR(COUNTA(J265:K269,M265:N269)&gt;0,OR(L264="X",L264="x")),J264,0)+IF(OR(COUNTA(J273:K277,M273:N277)&gt;0,OR(L272="X",L272="x")),J272,0)</f>
      </c>
      <c r="K288" s="14" t="str">
        <f>IF(OR(COUNTA(J265:K269,M265:N269)&gt;0,OR(L264="X",L264="x")),N264,0)+IF(OR(COUNTA(J273:K277,M273:N277)&gt;0,OR(L272="X",L272="x")),N272,0)</f>
      </c>
      <c r="L288" s="14" t="str">
        <f>IF(OR(COUNTA(J265:K269,M265:N269)&gt;0,OR(L264="X",L264="x")),(IF(OR(L265="X",L265="x"),1,0)+IF(OR(L266="X",L266="x"),1,0)+IF(OR(L267="X",L267="x"),1,0)+IF(OR(L268="X",L268="x"),1,0)+IF(OR(L269="X",L269="x"),1,0)),0)+IF(OR(COUNTA(J273:K277,M273:N277)&gt;0,OR(L272="X",L272="x")),(IF(OR(L273="X",L273="x"),1,0)+IF(OR(L274="X",L274="x"),1,0)+IF(OR(L275="X",L275="x"),1,0)+IF(OR(L276="X",L276="x"),1,0)+IF(OR(L277="X",L277="x"),1,0)),0)</f>
      </c>
      <c r="M288" s="14" t="str">
        <f>K264+K272</f>
      </c>
      <c r="N288" s="14" t="str">
        <f>M264+M272</f>
      </c>
    </row>
    <row r="291">
      <c r="F291" s="13"/>
      <c r="G291" s="13" t="s">
        <v>250</v>
      </c>
      <c r="N291" s="13"/>
      <c r="O291" s="13" t="s">
        <v>250</v>
      </c>
    </row>
    <row r="292">
      <c r="F292" t="s">
        <v>251</v>
      </c>
      <c r="G292" s="19"/>
      <c r="N292" t="s">
        <v>251</v>
      </c>
      <c r="O292" s="19"/>
    </row>
    <row r="293">
      <c r="F293" t="s">
        <v>252</v>
      </c>
      <c r="G293" s="19"/>
      <c r="N293" t="s">
        <v>252</v>
      </c>
      <c r="O293" s="19"/>
    </row>
    <row r="294">
      <c r="F294" t="s">
        <v>253</v>
      </c>
      <c r="G294" s="19"/>
      <c r="N294" t="s">
        <v>253</v>
      </c>
      <c r="O294" s="19"/>
    </row>
    <row r="296">
      <c r="A296" s="13" t="str">
        <f>data!$A$26</f>
      </c>
      <c r="B296" s="13"/>
      <c r="C296" s="13"/>
      <c r="D296" s="13"/>
      <c r="E296" s="13"/>
      <c r="F296" s="13"/>
      <c r="G296" s="13"/>
      <c r="I296" s="13" t="str">
        <f>data!$A$73</f>
      </c>
      <c r="J296" s="13"/>
      <c r="K296" s="13"/>
      <c r="L296" s="13"/>
      <c r="M296" s="13"/>
      <c r="N296" s="13"/>
      <c r="O296" s="13"/>
    </row>
    <row r="297">
      <c r="A297" s="17" t="s">
        <v>239</v>
      </c>
      <c r="B297" s="14"/>
      <c r="C297" s="14"/>
      <c r="D297" s="14" t="s">
        <v>240</v>
      </c>
      <c r="E297" s="14"/>
      <c r="F297" s="14"/>
      <c r="G297" s="16" t="s">
        <v>241</v>
      </c>
      <c r="I297" s="17" t="s">
        <v>239</v>
      </c>
      <c r="J297" s="14"/>
      <c r="K297" s="14"/>
      <c r="L297" s="14" t="s">
        <v>240</v>
      </c>
      <c r="M297" s="14"/>
      <c r="N297" s="14"/>
      <c r="O297" s="16" t="s">
        <v>241</v>
      </c>
    </row>
    <row r="298">
      <c r="A298" s="14" t="str">
        <f>data!$B$25</f>
      </c>
      <c r="B298" s="18" t="str">
        <f>SUMPRODUCT((UPPER(D299:D303)&lt;&gt;"X")*((LEN(SUBSTITUTE(SUBSTITUTE(SUBSTITUTE(B299:B303," ",""),"0",""),"-",""))+LEN(SUBSTITUTE(SUBSTITUTE(SUBSTITUTE(C299:C303," ",""),"0",""),"-","")))&gt;(LEN(SUBSTITUTE(SUBSTITUTE(SUBSTITUTE(E299:E303," ",""),"0",""),"-",""))+LEN(SUBSTITUTE(SUBSTITUTE(SUBSTITUTE(F299:F303," ",""),"0",""),"-",""))))*1)</f>
      </c>
      <c r="C298" s="18" t="str">
        <f>SUMPRODUCT(LEN(SUBSTITUTE(SUBSTITUTE(SUBSTITUTE(B299:B303," ",""),"0",""),"-",""))+LEN(SUBSTITUTE(SUBSTITUTE(SUBSTITUTE(C299:C303," ",""),"0",""),"-","")))</f>
      </c>
      <c r="D298" s="18"/>
      <c r="E298" s="18" t="str">
        <f>SUMPRODUCT(LEN(SUBSTITUTE(SUBSTITUTE(SUBSTITUTE(E299:E303," ",""),"0",""),"-",""))+LEN(SUBSTITUTE(SUBSTITUTE(SUBSTITUTE(F299:F303," ",""),"0",""),"-","")))</f>
      </c>
      <c r="F298" s="18" t="str">
        <f>SUMPRODUCT((UPPER(D299:D303)&lt;&gt;"X")*((LEN(SUBSTITUTE(SUBSTITUTE(SUBSTITUTE(E299:E303," ",""),"0",""),"-",""))+LEN(SUBSTITUTE(SUBSTITUTE(SUBSTITUTE(F299:F303," ",""),"0",""),"-","")))&gt;(LEN(SUBSTITUTE(SUBSTITUTE(SUBSTITUTE(B299:B303," ",""),"0",""),"-",""))+LEN(SUBSTITUTE(SUBSTITUTE(SUBSTITUTE(C299:C303," ",""),"0",""),"-",""))))*1)</f>
      </c>
      <c r="G298" s="14" t="str">
        <f>data!$B$24</f>
      </c>
      <c r="I298" s="14" t="str">
        <f>data!$B$72</f>
      </c>
      <c r="J298" s="18" t="str">
        <f>SUMPRODUCT((UPPER(L299:L303)&lt;&gt;"X")*((LEN(SUBSTITUTE(SUBSTITUTE(SUBSTITUTE(J299:J303," ",""),"0",""),"-",""))+LEN(SUBSTITUTE(SUBSTITUTE(SUBSTITUTE(K299:K303," ",""),"0",""),"-","")))&gt;(LEN(SUBSTITUTE(SUBSTITUTE(SUBSTITUTE(M299:M303," ",""),"0",""),"-",""))+LEN(SUBSTITUTE(SUBSTITUTE(SUBSTITUTE(N299:N303," ",""),"0",""),"-",""))))*1)</f>
      </c>
      <c r="K298" s="18" t="str">
        <f>SUMPRODUCT(LEN(SUBSTITUTE(SUBSTITUTE(SUBSTITUTE(J299:J303," ",""),"0",""),"-",""))+LEN(SUBSTITUTE(SUBSTITUTE(SUBSTITUTE(K299:K303," ",""),"0",""),"-","")))</f>
      </c>
      <c r="L298" s="18"/>
      <c r="M298" s="18" t="str">
        <f>SUMPRODUCT(LEN(SUBSTITUTE(SUBSTITUTE(SUBSTITUTE(M299:M303," ",""),"0",""),"-",""))+LEN(SUBSTITUTE(SUBSTITUTE(SUBSTITUTE(N299:N303," ",""),"0",""),"-","")))</f>
      </c>
      <c r="N298" s="18" t="str">
        <f>SUMPRODUCT((UPPER(L299:L303)&lt;&gt;"X")*((LEN(SUBSTITUTE(SUBSTITUTE(SUBSTITUTE(M299:M303," ",""),"0",""),"-",""))+LEN(SUBSTITUTE(SUBSTITUTE(SUBSTITUTE(N299:N303," ",""),"0",""),"-","")))&gt;(LEN(SUBSTITUTE(SUBSTITUTE(SUBSTITUTE(J299:J303," ",""),"0",""),"-",""))+LEN(SUBSTITUTE(SUBSTITUTE(SUBSTITUTE(K299:K303," ",""),"0",""),"-",""))))*1)</f>
      </c>
      <c r="O298" s="14" t="str">
        <f>data!$B$71</f>
      </c>
    </row>
    <row r="299">
      <c r="A299" s="18">
        <v>1</v>
      </c>
      <c r="B299" s="18"/>
      <c r="C299" s="18"/>
      <c r="D299" s="18"/>
      <c r="E299" s="18"/>
      <c r="F299" s="18"/>
      <c r="G299" s="18">
        <v>1</v>
      </c>
      <c r="I299" s="18">
        <v>1</v>
      </c>
      <c r="J299" s="18"/>
      <c r="K299" s="18"/>
      <c r="L299" s="18"/>
      <c r="M299" s="18"/>
      <c r="N299" s="18"/>
      <c r="O299" s="18">
        <v>1</v>
      </c>
    </row>
    <row r="300">
      <c r="A300" s="18">
        <v>2</v>
      </c>
      <c r="B300" s="18"/>
      <c r="C300" s="18"/>
      <c r="D300" s="18"/>
      <c r="E300" s="18"/>
      <c r="F300" s="18"/>
      <c r="G300" s="18">
        <v>2</v>
      </c>
      <c r="I300" s="18">
        <v>2</v>
      </c>
      <c r="J300" s="18"/>
      <c r="K300" s="18"/>
      <c r="L300" s="18"/>
      <c r="M300" s="18"/>
      <c r="N300" s="18"/>
      <c r="O300" s="18">
        <v>2</v>
      </c>
    </row>
    <row r="301">
      <c r="A301" s="18">
        <v>3</v>
      </c>
      <c r="B301" s="18"/>
      <c r="C301" s="18"/>
      <c r="D301" s="18"/>
      <c r="E301" s="18"/>
      <c r="F301" s="18"/>
      <c r="G301" s="18">
        <v>3</v>
      </c>
      <c r="I301" s="18">
        <v>3</v>
      </c>
      <c r="J301" s="18"/>
      <c r="K301" s="18"/>
      <c r="L301" s="18"/>
      <c r="M301" s="18"/>
      <c r="N301" s="18"/>
      <c r="O301" s="18">
        <v>3</v>
      </c>
    </row>
    <row r="302">
      <c r="A302" s="18">
        <v>4</v>
      </c>
      <c r="B302" s="18"/>
      <c r="C302" s="18"/>
      <c r="D302" s="18"/>
      <c r="E302" s="18"/>
      <c r="F302" s="18"/>
      <c r="G302" s="18">
        <v>4</v>
      </c>
      <c r="I302" s="18">
        <v>4</v>
      </c>
      <c r="J302" s="18"/>
      <c r="K302" s="18"/>
      <c r="L302" s="18"/>
      <c r="M302" s="18"/>
      <c r="N302" s="18"/>
      <c r="O302" s="18">
        <v>4</v>
      </c>
    </row>
    <row r="303">
      <c r="A303" s="18">
        <v>5</v>
      </c>
      <c r="B303" s="18"/>
      <c r="C303" s="18"/>
      <c r="D303" s="18"/>
      <c r="E303" s="18"/>
      <c r="F303" s="18"/>
      <c r="G303" s="18">
        <v>5</v>
      </c>
      <c r="I303" s="18">
        <v>5</v>
      </c>
      <c r="J303" s="18"/>
      <c r="K303" s="18"/>
      <c r="L303" s="18"/>
      <c r="M303" s="18"/>
      <c r="N303" s="18"/>
      <c r="O303" s="18">
        <v>5</v>
      </c>
    </row>
    <row r="305">
      <c r="A305" s="17" t="s">
        <v>239</v>
      </c>
      <c r="B305" s="14"/>
      <c r="C305" s="14"/>
      <c r="D305" s="14" t="s">
        <v>240</v>
      </c>
      <c r="E305" s="14"/>
      <c r="F305" s="14"/>
      <c r="G305" s="16" t="s">
        <v>241</v>
      </c>
      <c r="I305" s="17" t="s">
        <v>239</v>
      </c>
      <c r="J305" s="14"/>
      <c r="K305" s="14"/>
      <c r="L305" s="14" t="s">
        <v>240</v>
      </c>
      <c r="M305" s="14"/>
      <c r="N305" s="14"/>
      <c r="O305" s="16" t="s">
        <v>241</v>
      </c>
    </row>
    <row r="306">
      <c r="A306" s="14" t="str">
        <f>data!$B$26</f>
      </c>
      <c r="B306" s="18" t="str">
        <f>SUMPRODUCT((UPPER(D307:D311)&lt;&gt;"X")*((LEN(SUBSTITUTE(SUBSTITUTE(SUBSTITUTE(B307:B311," ",""),"0",""),"-",""))+LEN(SUBSTITUTE(SUBSTITUTE(SUBSTITUTE(C307:C311," ",""),"0",""),"-","")))&gt;(LEN(SUBSTITUTE(SUBSTITUTE(SUBSTITUTE(E307:E311," ",""),"0",""),"-",""))+LEN(SUBSTITUTE(SUBSTITUTE(SUBSTITUTE(F307:F311," ",""),"0",""),"-",""))))*1)</f>
      </c>
      <c r="C306" s="18" t="str">
        <f>SUMPRODUCT(LEN(SUBSTITUTE(SUBSTITUTE(SUBSTITUTE(B307:B311," ",""),"0",""),"-",""))+LEN(SUBSTITUTE(SUBSTITUTE(SUBSTITUTE(C307:C311," ",""),"0",""),"-","")))</f>
      </c>
      <c r="D306" s="18"/>
      <c r="E306" s="18" t="str">
        <f>SUMPRODUCT(LEN(SUBSTITUTE(SUBSTITUTE(SUBSTITUTE(E307:E311," ",""),"0",""),"-",""))+LEN(SUBSTITUTE(SUBSTITUTE(SUBSTITUTE(F307:F311," ",""),"0",""),"-","")))</f>
      </c>
      <c r="F306" s="18" t="str">
        <f>SUMPRODUCT((UPPER(D307:D311)&lt;&gt;"X")*((LEN(SUBSTITUTE(SUBSTITUTE(SUBSTITUTE(E307:E311," ",""),"0",""),"-",""))+LEN(SUBSTITUTE(SUBSTITUTE(SUBSTITUTE(F307:F311," ",""),"0",""),"-","")))&gt;(LEN(SUBSTITUTE(SUBSTITUTE(SUBSTITUTE(B307:B311," ",""),"0",""),"-",""))+LEN(SUBSTITUTE(SUBSTITUTE(SUBSTITUTE(C307:C311," ",""),"0",""),"-",""))))*1)</f>
      </c>
      <c r="G306" s="14" t="str">
        <f>data!$B$24</f>
      </c>
      <c r="I306" s="14" t="str">
        <f>data!$B$73</f>
      </c>
      <c r="J306" s="18" t="str">
        <f>SUMPRODUCT((UPPER(L307:L311)&lt;&gt;"X")*((LEN(SUBSTITUTE(SUBSTITUTE(SUBSTITUTE(J307:J311," ",""),"0",""),"-",""))+LEN(SUBSTITUTE(SUBSTITUTE(SUBSTITUTE(K307:K311," ",""),"0",""),"-","")))&gt;(LEN(SUBSTITUTE(SUBSTITUTE(SUBSTITUTE(M307:M311," ",""),"0",""),"-",""))+LEN(SUBSTITUTE(SUBSTITUTE(SUBSTITUTE(N307:N311," ",""),"0",""),"-",""))))*1)</f>
      </c>
      <c r="K306" s="18" t="str">
        <f>SUMPRODUCT(LEN(SUBSTITUTE(SUBSTITUTE(SUBSTITUTE(J307:J311," ",""),"0",""),"-",""))+LEN(SUBSTITUTE(SUBSTITUTE(SUBSTITUTE(K307:K311," ",""),"0",""),"-","")))</f>
      </c>
      <c r="L306" s="18"/>
      <c r="M306" s="18" t="str">
        <f>SUMPRODUCT(LEN(SUBSTITUTE(SUBSTITUTE(SUBSTITUTE(M307:M311," ",""),"0",""),"-",""))+LEN(SUBSTITUTE(SUBSTITUTE(SUBSTITUTE(N307:N311," ",""),"0",""),"-","")))</f>
      </c>
      <c r="N306" s="18" t="str">
        <f>SUMPRODUCT((UPPER(L307:L311)&lt;&gt;"X")*((LEN(SUBSTITUTE(SUBSTITUTE(SUBSTITUTE(M307:M311," ",""),"0",""),"-",""))+LEN(SUBSTITUTE(SUBSTITUTE(SUBSTITUTE(N307:N311," ",""),"0",""),"-","")))&gt;(LEN(SUBSTITUTE(SUBSTITUTE(SUBSTITUTE(J307:J311," ",""),"0",""),"-",""))+LEN(SUBSTITUTE(SUBSTITUTE(SUBSTITUTE(K307:K311," ",""),"0",""),"-",""))))*1)</f>
      </c>
      <c r="O306" s="14" t="str">
        <f>data!$B$71</f>
      </c>
    </row>
    <row r="307">
      <c r="A307" s="18">
        <v>1</v>
      </c>
      <c r="B307" s="18"/>
      <c r="C307" s="18"/>
      <c r="D307" s="18"/>
      <c r="E307" s="18"/>
      <c r="F307" s="18"/>
      <c r="G307" s="18">
        <v>1</v>
      </c>
      <c r="I307" s="18">
        <v>1</v>
      </c>
      <c r="J307" s="18"/>
      <c r="K307" s="18"/>
      <c r="L307" s="18"/>
      <c r="M307" s="18"/>
      <c r="N307" s="18"/>
      <c r="O307" s="18">
        <v>1</v>
      </c>
    </row>
    <row r="308">
      <c r="A308" s="18">
        <v>2</v>
      </c>
      <c r="B308" s="18"/>
      <c r="C308" s="18"/>
      <c r="D308" s="18"/>
      <c r="E308" s="18"/>
      <c r="F308" s="18"/>
      <c r="G308" s="18">
        <v>2</v>
      </c>
      <c r="I308" s="18">
        <v>2</v>
      </c>
      <c r="J308" s="18"/>
      <c r="K308" s="18"/>
      <c r="L308" s="18"/>
      <c r="M308" s="18"/>
      <c r="N308" s="18"/>
      <c r="O308" s="18">
        <v>2</v>
      </c>
    </row>
    <row r="309">
      <c r="A309" s="18">
        <v>3</v>
      </c>
      <c r="B309" s="18"/>
      <c r="C309" s="18"/>
      <c r="D309" s="18"/>
      <c r="E309" s="18"/>
      <c r="F309" s="18"/>
      <c r="G309" s="18">
        <v>3</v>
      </c>
      <c r="I309" s="18">
        <v>3</v>
      </c>
      <c r="J309" s="18"/>
      <c r="K309" s="18"/>
      <c r="L309" s="18"/>
      <c r="M309" s="18"/>
      <c r="N309" s="18"/>
      <c r="O309" s="18">
        <v>3</v>
      </c>
    </row>
    <row r="310">
      <c r="A310" s="18">
        <v>4</v>
      </c>
      <c r="B310" s="18"/>
      <c r="C310" s="18"/>
      <c r="D310" s="18"/>
      <c r="E310" s="18"/>
      <c r="F310" s="18"/>
      <c r="G310" s="18">
        <v>4</v>
      </c>
      <c r="I310" s="18">
        <v>4</v>
      </c>
      <c r="J310" s="18"/>
      <c r="K310" s="18"/>
      <c r="L310" s="18"/>
      <c r="M310" s="18"/>
      <c r="N310" s="18"/>
      <c r="O310" s="18">
        <v>4</v>
      </c>
    </row>
    <row r="311">
      <c r="A311" s="18">
        <v>5</v>
      </c>
      <c r="B311" s="18"/>
      <c r="C311" s="18"/>
      <c r="D311" s="18"/>
      <c r="E311" s="18"/>
      <c r="F311" s="18"/>
      <c r="G311" s="18">
        <v>5</v>
      </c>
      <c r="I311" s="18">
        <v>5</v>
      </c>
      <c r="J311" s="18"/>
      <c r="K311" s="18"/>
      <c r="L311" s="18"/>
      <c r="M311" s="18"/>
      <c r="N311" s="18"/>
      <c r="O311" s="18">
        <v>5</v>
      </c>
    </row>
    <row r="313">
      <c r="A313" s="17" t="s">
        <v>239</v>
      </c>
      <c r="B313" s="14"/>
      <c r="C313" s="14"/>
      <c r="D313" s="14" t="s">
        <v>240</v>
      </c>
      <c r="E313" s="14"/>
      <c r="F313" s="14"/>
      <c r="G313" s="16" t="s">
        <v>241</v>
      </c>
      <c r="I313" s="17" t="s">
        <v>239</v>
      </c>
      <c r="J313" s="14"/>
      <c r="K313" s="14"/>
      <c r="L313" s="14" t="s">
        <v>240</v>
      </c>
      <c r="M313" s="14"/>
      <c r="N313" s="14"/>
      <c r="O313" s="16" t="s">
        <v>241</v>
      </c>
    </row>
    <row r="314">
      <c r="A314" s="14" t="str">
        <f>data!$B$26</f>
      </c>
      <c r="B314" s="18" t="str">
        <f>SUMPRODUCT((UPPER(D315:D319)&lt;&gt;"X")*((LEN(SUBSTITUTE(SUBSTITUTE(SUBSTITUTE(B315:B319," ",""),"0",""),"-",""))+LEN(SUBSTITUTE(SUBSTITUTE(SUBSTITUTE(C315:C319," ",""),"0",""),"-","")))&gt;(LEN(SUBSTITUTE(SUBSTITUTE(SUBSTITUTE(E315:E319," ",""),"0",""),"-",""))+LEN(SUBSTITUTE(SUBSTITUTE(SUBSTITUTE(F315:F319," ",""),"0",""),"-",""))))*1)</f>
      </c>
      <c r="C314" s="18" t="str">
        <f>SUMPRODUCT(LEN(SUBSTITUTE(SUBSTITUTE(SUBSTITUTE(B315:B319," ",""),"0",""),"-",""))+LEN(SUBSTITUTE(SUBSTITUTE(SUBSTITUTE(C315:C319," ",""),"0",""),"-","")))</f>
      </c>
      <c r="D314" s="18"/>
      <c r="E314" s="18" t="str">
        <f>SUMPRODUCT(LEN(SUBSTITUTE(SUBSTITUTE(SUBSTITUTE(E315:E319," ",""),"0",""),"-",""))+LEN(SUBSTITUTE(SUBSTITUTE(SUBSTITUTE(F315:F319," ",""),"0",""),"-","")))</f>
      </c>
      <c r="F314" s="18" t="str">
        <f>SUMPRODUCT((UPPER(D315:D319)&lt;&gt;"X")*((LEN(SUBSTITUTE(SUBSTITUTE(SUBSTITUTE(E315:E319," ",""),"0",""),"-",""))+LEN(SUBSTITUTE(SUBSTITUTE(SUBSTITUTE(F315:F319," ",""),"0",""),"-","")))&gt;(LEN(SUBSTITUTE(SUBSTITUTE(SUBSTITUTE(B315:B319," ",""),"0",""),"-",""))+LEN(SUBSTITUTE(SUBSTITUTE(SUBSTITUTE(C315:C319," ",""),"0",""),"-",""))))*1)</f>
      </c>
      <c r="G314" s="14" t="str">
        <f>data!$B$25</f>
      </c>
      <c r="I314" s="14" t="str">
        <f>data!$B$73</f>
      </c>
      <c r="J314" s="18" t="str">
        <f>SUMPRODUCT((UPPER(L315:L319)&lt;&gt;"X")*((LEN(SUBSTITUTE(SUBSTITUTE(SUBSTITUTE(J315:J319," ",""),"0",""),"-",""))+LEN(SUBSTITUTE(SUBSTITUTE(SUBSTITUTE(K315:K319," ",""),"0",""),"-","")))&gt;(LEN(SUBSTITUTE(SUBSTITUTE(SUBSTITUTE(M315:M319," ",""),"0",""),"-",""))+LEN(SUBSTITUTE(SUBSTITUTE(SUBSTITUTE(N315:N319," ",""),"0",""),"-",""))))*1)</f>
      </c>
      <c r="K314" s="18" t="str">
        <f>SUMPRODUCT(LEN(SUBSTITUTE(SUBSTITUTE(SUBSTITUTE(J315:J319," ",""),"0",""),"-",""))+LEN(SUBSTITUTE(SUBSTITUTE(SUBSTITUTE(K315:K319," ",""),"0",""),"-","")))</f>
      </c>
      <c r="L314" s="18"/>
      <c r="M314" s="18" t="str">
        <f>SUMPRODUCT(LEN(SUBSTITUTE(SUBSTITUTE(SUBSTITUTE(M315:M319," ",""),"0",""),"-",""))+LEN(SUBSTITUTE(SUBSTITUTE(SUBSTITUTE(N315:N319," ",""),"0",""),"-","")))</f>
      </c>
      <c r="N314" s="18" t="str">
        <f>SUMPRODUCT((UPPER(L315:L319)&lt;&gt;"X")*((LEN(SUBSTITUTE(SUBSTITUTE(SUBSTITUTE(M315:M319," ",""),"0",""),"-",""))+LEN(SUBSTITUTE(SUBSTITUTE(SUBSTITUTE(N315:N319," ",""),"0",""),"-","")))&gt;(LEN(SUBSTITUTE(SUBSTITUTE(SUBSTITUTE(J315:J319," ",""),"0",""),"-",""))+LEN(SUBSTITUTE(SUBSTITUTE(SUBSTITUTE(K315:K319," ",""),"0",""),"-",""))))*1)</f>
      </c>
      <c r="O314" s="14" t="str">
        <f>data!$B$72</f>
      </c>
    </row>
    <row r="315">
      <c r="A315" s="18">
        <v>1</v>
      </c>
      <c r="B315" s="18"/>
      <c r="C315" s="18"/>
      <c r="D315" s="18"/>
      <c r="E315" s="18"/>
      <c r="F315" s="18"/>
      <c r="G315" s="18">
        <v>1</v>
      </c>
      <c r="I315" s="18">
        <v>1</v>
      </c>
      <c r="J315" s="18"/>
      <c r="K315" s="18"/>
      <c r="L315" s="18"/>
      <c r="M315" s="18"/>
      <c r="N315" s="18"/>
      <c r="O315" s="18">
        <v>1</v>
      </c>
    </row>
    <row r="316">
      <c r="A316" s="18">
        <v>2</v>
      </c>
      <c r="B316" s="18"/>
      <c r="C316" s="18"/>
      <c r="D316" s="18"/>
      <c r="E316" s="18"/>
      <c r="F316" s="18"/>
      <c r="G316" s="18">
        <v>2</v>
      </c>
      <c r="I316" s="18">
        <v>2</v>
      </c>
      <c r="J316" s="18"/>
      <c r="K316" s="18"/>
      <c r="L316" s="18"/>
      <c r="M316" s="18"/>
      <c r="N316" s="18"/>
      <c r="O316" s="18">
        <v>2</v>
      </c>
    </row>
    <row r="317">
      <c r="A317" s="18">
        <v>3</v>
      </c>
      <c r="B317" s="18"/>
      <c r="C317" s="18"/>
      <c r="D317" s="18"/>
      <c r="E317" s="18"/>
      <c r="F317" s="18"/>
      <c r="G317" s="18">
        <v>3</v>
      </c>
      <c r="I317" s="18">
        <v>3</v>
      </c>
      <c r="J317" s="18"/>
      <c r="K317" s="18"/>
      <c r="L317" s="18"/>
      <c r="M317" s="18"/>
      <c r="N317" s="18"/>
      <c r="O317" s="18">
        <v>3</v>
      </c>
    </row>
    <row r="318">
      <c r="A318" s="18">
        <v>4</v>
      </c>
      <c r="B318" s="18"/>
      <c r="C318" s="18"/>
      <c r="D318" s="18"/>
      <c r="E318" s="18"/>
      <c r="F318" s="18"/>
      <c r="G318" s="18">
        <v>4</v>
      </c>
      <c r="I318" s="18">
        <v>4</v>
      </c>
      <c r="J318" s="18"/>
      <c r="K318" s="18"/>
      <c r="L318" s="18"/>
      <c r="M318" s="18"/>
      <c r="N318" s="18"/>
      <c r="O318" s="18">
        <v>4</v>
      </c>
    </row>
    <row r="319">
      <c r="A319" s="18">
        <v>5</v>
      </c>
      <c r="B319" s="18"/>
      <c r="C319" s="18"/>
      <c r="D319" s="18"/>
      <c r="E319" s="18"/>
      <c r="F319" s="18"/>
      <c r="G319" s="18">
        <v>5</v>
      </c>
      <c r="I319" s="18">
        <v>5</v>
      </c>
      <c r="J319" s="18"/>
      <c r="K319" s="18"/>
      <c r="L319" s="18"/>
      <c r="M319" s="18"/>
      <c r="N319" s="18"/>
      <c r="O319" s="18">
        <v>5</v>
      </c>
    </row>
    <row r="322">
      <c r="A322" s="13"/>
      <c r="B322" s="13" t="s">
        <v>242</v>
      </c>
      <c r="C322" s="13" t="s">
        <v>243</v>
      </c>
      <c r="D322" s="13" t="s">
        <v>244</v>
      </c>
      <c r="I322" s="13"/>
      <c r="J322" s="13" t="s">
        <v>242</v>
      </c>
      <c r="K322" s="13" t="s">
        <v>243</v>
      </c>
      <c r="L322" s="13" t="s">
        <v>244</v>
      </c>
    </row>
    <row r="323">
      <c r="A323" t="str">
        <f>data!$B$24</f>
      </c>
      <c r="B323" s="14" t="str">
        <f>IF(OR(COUNTA(B299:C303,E299:F303)&gt;0,OR(D298="X",D298="x")),IF(OR(D298="X",D298="x"),0,IF(OR(F298&gt;B298,AND(F298=B298,E298&gt;C298)),1,0)),0)+IF(OR(COUNTA(B307:C311,E307:F311)&gt;0,OR(D306="X",D306="x")),IF(OR(D306="X",D306="x"),0,IF(OR(F306&gt;B306,AND(F306=B306,E306&gt;C306)),1,0)),0)</f>
      </c>
      <c r="C323" s="14" t="str">
        <f>IF(OR(COUNTA(B299:C303,E299:F303)&gt;0,OR(D298="X",D298="x")),IF(OR(D298="X",D298="x"),0,IF(OR(F298&lt;B298,AND(F298=B298,E298&lt;C298)),1,0)),0)+IF(OR(COUNTA(B307:C311,E307:F311)&gt;0,OR(D306="X",D306="x")),IF(OR(D306="X",D306="x"),0,IF(OR(F306&lt;B306,AND(F306=B306,E306&lt;C306)),1,0)),0)</f>
      </c>
      <c r="D323" s="14" t="str">
        <f>IF(OR(COUNTA(B299:C303,E299:F303)&gt;0,OR(D298="X",D298="x")),IF(OR(D298="X",D298="x"),1,0),0)+IF(OR(COUNTA(B307:C311,E307:F311)&gt;0,OR(D306="X",D306="x")),IF(OR(D306="X",D306="x"),1,0),0)</f>
      </c>
      <c r="I323" t="str">
        <f>data!$B$71</f>
      </c>
      <c r="J323" s="14" t="str">
        <f>IF(OR(COUNTA(J299:K303,M299:N303)&gt;0,OR(L298="X",L298="x")),IF(OR(L298="X",L298="x"),0,IF(OR(N298&gt;J298,AND(N298=J298,M298&gt;K298)),1,0)),0)+IF(OR(COUNTA(J307:K311,M307:N311)&gt;0,OR(L306="X",L306="x")),IF(OR(L306="X",L306="x"),0,IF(OR(N306&gt;J306,AND(N306=J306,M306&gt;K306)),1,0)),0)</f>
      </c>
      <c r="K323" s="14" t="str">
        <f>IF(OR(COUNTA(J299:K303,M299:N303)&gt;0,OR(L298="X",L298="x")),IF(OR(L298="X",L298="x"),0,IF(OR(N298&lt;J298,AND(N298=J298,M298&lt;K298)),1,0)),0)+IF(OR(COUNTA(J307:K311,M307:N311)&gt;0,OR(L306="X",L306="x")),IF(OR(L306="X",L306="x"),0,IF(OR(N306&lt;J306,AND(N306=J306,M306&lt;K306)),1,0)),0)</f>
      </c>
      <c r="L323" s="14" t="str">
        <f>IF(OR(COUNTA(J299:K303,M299:N303)&gt;0,OR(L298="X",L298="x")),IF(OR(L298="X",L298="x"),1,0),0)+IF(OR(COUNTA(J307:K311,M307:N311)&gt;0,OR(L306="X",L306="x")),IF(OR(L306="X",L306="x"),1,0),0)</f>
      </c>
    </row>
    <row r="324">
      <c r="A324" t="str">
        <f>data!$B$25</f>
      </c>
      <c r="B324" s="14" t="str">
        <f>IF(OR(COUNTA(B299:C303,E299:F303)&gt;0,OR(D298="X",D298="x")),IF(OR(D298="X",D298="x"),0,IF(OR(B298&gt;F298,AND(B298=F298,C298&gt;E298)),1,0)),0)+IF(OR(COUNTA(B315:C319,E315:F319)&gt;0,OR(D314="X",D314="x")),IF(OR(D314="X",D314="x"),0,IF(OR(F314&gt;B314,AND(F314=B314,E314&gt;C314)),1,0)),0)</f>
      </c>
      <c r="C324" s="14" t="str">
        <f>IF(OR(COUNTA(B299:C303,E299:F303)&gt;0,OR(D298="X",D298="x")),IF(OR(D298="X",D298="x"),0,IF(OR(B298&lt;F298,AND(B298=F298,C298&lt;E298)),1,0)),0)+IF(OR(COUNTA(B315:C319,E315:F319)&gt;0,OR(D314="X",D314="x")),IF(OR(D314="X",D314="x"),0,IF(OR(F314&lt;B314,AND(F314=B314,E314&lt;C314)),1,0)),0)</f>
      </c>
      <c r="D324" s="14" t="str">
        <f>IF(OR(COUNTA(B299:C303,E299:F303)&gt;0,OR(D298="X",D298="x")),IF(OR(D298="X",D298="x"),1,0),0)+IF(OR(COUNTA(B315:C319,E315:F319)&gt;0,OR(D314="X",D314="x")),IF(OR(D314="X",D314="x"),1,0),0)</f>
      </c>
      <c r="I324" t="str">
        <f>data!$B$72</f>
      </c>
      <c r="J324" s="14" t="str">
        <f>IF(OR(COUNTA(J299:K303,M299:N303)&gt;0,OR(L298="X",L298="x")),IF(OR(L298="X",L298="x"),0,IF(OR(J298&gt;N298,AND(J298=N298,K298&gt;M298)),1,0)),0)+IF(OR(COUNTA(J315:K319,M315:N319)&gt;0,OR(L314="X",L314="x")),IF(OR(L314="X",L314="x"),0,IF(OR(N314&gt;J314,AND(N314=J314,M314&gt;K314)),1,0)),0)</f>
      </c>
      <c r="K324" s="14" t="str">
        <f>IF(OR(COUNTA(J299:K303,M299:N303)&gt;0,OR(L298="X",L298="x")),IF(OR(L298="X",L298="x"),0,IF(OR(J298&lt;N298,AND(J298=N298,K298&lt;M298)),1,0)),0)+IF(OR(COUNTA(J315:K319,M315:N319)&gt;0,OR(L314="X",L314="x")),IF(OR(L314="X",L314="x"),0,IF(OR(N314&lt;J314,AND(N314=J314,M314&lt;K314)),1,0)),0)</f>
      </c>
      <c r="L324" s="14" t="str">
        <f>IF(OR(COUNTA(J299:K303,M299:N303)&gt;0,OR(L298="X",L298="x")),IF(OR(L298="X",L298="x"),1,0),0)+IF(OR(COUNTA(J315:K319,M315:N319)&gt;0,OR(L314="X",L314="x")),IF(OR(L314="X",L314="x"),1,0),0)</f>
      </c>
    </row>
    <row r="325">
      <c r="A325" t="str">
        <f>data!$B$26</f>
      </c>
      <c r="B325" s="14" t="str">
        <f>IF(OR(COUNTA(B307:C311,E307:F311)&gt;0,OR(D306="X",D306="x")),IF(OR(D306="X",D306="x"),0,IF(OR(B306&gt;F306,AND(B306=F306,C306&gt;E306)),1,0)),0)+IF(OR(COUNTA(B315:C319,E315:F319)&gt;0,OR(D314="X",D314="x")),IF(OR(D314="X",D314="x"),0,IF(OR(B314&gt;F314,AND(B314=F314,C314&gt;E314)),1,0)),0)</f>
      </c>
      <c r="C325" s="14" t="str">
        <f>IF(OR(COUNTA(B307:C311,E307:F311)&gt;0,OR(D306="X",D306="x")),IF(OR(D306="X",D306="x"),0,IF(OR(B306&lt;F306,AND(B306=F306,C306&lt;E306)),1,0)),0)+IF(OR(COUNTA(B315:C319,E315:F319)&gt;0,OR(D314="X",D314="x")),IF(OR(D314="X",D314="x"),0,IF(OR(B314&lt;F314,AND(B314=F314,C314&lt;E314)),1,0)),0)</f>
      </c>
      <c r="D325" s="14" t="str">
        <f>IF(OR(COUNTA(B307:C311,E307:F311)&gt;0,OR(D306="X",D306="x")),IF(OR(D306="X",D306="x"),1,0),0)+IF(OR(COUNTA(B315:C319,E315:F319)&gt;0,OR(D314="X",D314="x")),IF(OR(D314="X",D314="x"),1,0),0)</f>
      </c>
      <c r="I325" t="str">
        <f>data!$B$73</f>
      </c>
      <c r="J325" s="14" t="str">
        <f>IF(OR(COUNTA(J307:K311,M307:N311)&gt;0,OR(L306="X",L306="x")),IF(OR(L306="X",L306="x"),0,IF(OR(J306&gt;N306,AND(J306=N306,K306&gt;M306)),1,0)),0)+IF(OR(COUNTA(J315:K319,M315:N319)&gt;0,OR(L314="X",L314="x")),IF(OR(L314="X",L314="x"),0,IF(OR(J314&gt;N314,AND(J314=N314,K314&gt;M314)),1,0)),0)</f>
      </c>
      <c r="K325" s="14" t="str">
        <f>IF(OR(COUNTA(J307:K311,M307:N311)&gt;0,OR(L306="X",L306="x")),IF(OR(L306="X",L306="x"),0,IF(OR(J306&lt;N306,AND(J306=N306,K306&lt;M306)),1,0)),0)+IF(OR(COUNTA(J315:K319,M315:N319)&gt;0,OR(L314="X",L314="x")),IF(OR(L314="X",L314="x"),0,IF(OR(J314&lt;N314,AND(J314=N314,K314&lt;M314)),1,0)),0)</f>
      </c>
      <c r="L325" s="14" t="str">
        <f>IF(OR(COUNTA(J307:K311,M307:N311)&gt;0,OR(L306="X",L306="x")),IF(OR(L306="X",L306="x"),1,0),0)+IF(OR(COUNTA(J315:K319,M315:N319)&gt;0,OR(L314="X",L314="x")),IF(OR(L314="X",L314="x"),1,0),0)</f>
      </c>
    </row>
    <row r="327">
      <c r="A327" s="13"/>
      <c r="B327" s="13" t="s">
        <v>245</v>
      </c>
      <c r="C327" s="13" t="s">
        <v>246</v>
      </c>
      <c r="D327" s="13" t="s">
        <v>247</v>
      </c>
      <c r="E327" s="13" t="s">
        <v>248</v>
      </c>
      <c r="F327" s="13" t="s">
        <v>249</v>
      </c>
      <c r="I327" s="13"/>
      <c r="J327" s="13" t="s">
        <v>245</v>
      </c>
      <c r="K327" s="13" t="s">
        <v>246</v>
      </c>
      <c r="L327" s="13" t="s">
        <v>247</v>
      </c>
      <c r="M327" s="13" t="s">
        <v>248</v>
      </c>
      <c r="N327" s="13" t="s">
        <v>249</v>
      </c>
    </row>
    <row r="328">
      <c r="A328" t="str">
        <f>data!$B$24</f>
      </c>
      <c r="B328" s="14" t="str">
        <f>IF(OR(COUNTA(B299:C303,E299:F303)&gt;0,OR(D298="X",D298="x")),F298,0)+IF(OR(COUNTA(B307:C311,E307:F311)&gt;0,OR(D306="X",D306="x")),F306,0)</f>
      </c>
      <c r="C328" s="14" t="str">
        <f>IF(OR(COUNTA(B299:C303,E299:F303)&gt;0,OR(D298="X",D298="x")),B298,0)+IF(OR(COUNTA(B307:C311,E307:F311)&gt;0,OR(D306="X",D306="x")),B306,0)</f>
      </c>
      <c r="D328" s="14" t="str">
        <f>IF(OR(COUNTA(B299:C303,E299:F303)&gt;0,OR(D298="X",D298="x")),(IF(OR(D299="X",D299="x"),1,0)+IF(OR(D300="X",D300="x"),1,0)+IF(OR(D301="X",D301="x"),1,0)+IF(OR(D302="X",D302="x"),1,0)+IF(OR(D303="X",D303="x"),1,0)),0)+IF(OR(COUNTA(B307:C311,E307:F311)&gt;0,OR(D306="X",D306="x")),(IF(OR(D307="X",D307="x"),1,0)+IF(OR(D308="X",D308="x"),1,0)+IF(OR(D309="X",D309="x"),1,0)+IF(OR(D310="X",D310="x"),1,0)+IF(OR(D311="X",D311="x"),1,0)),0)</f>
      </c>
      <c r="E328" s="14" t="str">
        <f>E298+E306</f>
      </c>
      <c r="F328" s="14" t="str">
        <f>C298+C306</f>
      </c>
      <c r="I328" t="str">
        <f>data!$B$71</f>
      </c>
      <c r="J328" s="14" t="str">
        <f>IF(OR(COUNTA(J299:K303,M299:N303)&gt;0,OR(L298="X",L298="x")),N298,0)+IF(OR(COUNTA(J307:K311,M307:N311)&gt;0,OR(L306="X",L306="x")),N306,0)</f>
      </c>
      <c r="K328" s="14" t="str">
        <f>IF(OR(COUNTA(J299:K303,M299:N303)&gt;0,OR(L298="X",L298="x")),J298,0)+IF(OR(COUNTA(J307:K311,M307:N311)&gt;0,OR(L306="X",L306="x")),J306,0)</f>
      </c>
      <c r="L328" s="14" t="str">
        <f>IF(OR(COUNTA(J299:K303,M299:N303)&gt;0,OR(L298="X",L298="x")),(IF(OR(L299="X",L299="x"),1,0)+IF(OR(L300="X",L300="x"),1,0)+IF(OR(L301="X",L301="x"),1,0)+IF(OR(L302="X",L302="x"),1,0)+IF(OR(L303="X",L303="x"),1,0)),0)+IF(OR(COUNTA(J307:K311,M307:N311)&gt;0,OR(L306="X",L306="x")),(IF(OR(L307="X",L307="x"),1,0)+IF(OR(L308="X",L308="x"),1,0)+IF(OR(L309="X",L309="x"),1,0)+IF(OR(L310="X",L310="x"),1,0)+IF(OR(L311="X",L311="x"),1,0)),0)</f>
      </c>
      <c r="M328" s="14" t="str">
        <f>M298+M306</f>
      </c>
      <c r="N328" s="14" t="str">
        <f>K298+K306</f>
      </c>
    </row>
    <row r="329">
      <c r="A329" t="str">
        <f>data!$B$25</f>
      </c>
      <c r="B329" s="14" t="str">
        <f>IF(OR(COUNTA(B299:C303,E299:F303)&gt;0,OR(D298="X",D298="x")),B298,0)+IF(OR(COUNTA(B315:C319,E315:F319)&gt;0,OR(D314="X",D314="x")),F314,0)</f>
      </c>
      <c r="C329" s="14" t="str">
        <f>IF(OR(COUNTA(B299:C303,E299:F303)&gt;0,OR(D298="X",D298="x")),F298,0)+IF(OR(COUNTA(B315:C319,E315:F319)&gt;0,OR(D314="X",D314="x")),B314,0)</f>
      </c>
      <c r="D329" s="14" t="str">
        <f>IF(OR(COUNTA(B299:C303,E299:F303)&gt;0,OR(D298="X",D298="x")),(IF(OR(D299="X",D299="x"),1,0)+IF(OR(D300="X",D300="x"),1,0)+IF(OR(D301="X",D301="x"),1,0)+IF(OR(D302="X",D302="x"),1,0)+IF(OR(D303="X",D303="x"),1,0)),0)+IF(OR(COUNTA(B315:C319,E315:F319)&gt;0,OR(D314="X",D314="x")),(IF(OR(D315="X",D315="x"),1,0)+IF(OR(D316="X",D316="x"),1,0)+IF(OR(D317="X",D317="x"),1,0)+IF(OR(D318="X",D318="x"),1,0)+IF(OR(D319="X",D319="x"),1,0)),0)</f>
      </c>
      <c r="E329" s="14" t="str">
        <f>C298+E314</f>
      </c>
      <c r="F329" s="14" t="str">
        <f>E298+C314</f>
      </c>
      <c r="I329" t="str">
        <f>data!$B$72</f>
      </c>
      <c r="J329" s="14" t="str">
        <f>IF(OR(COUNTA(J299:K303,M299:N303)&gt;0,OR(L298="X",L298="x")),J298,0)+IF(OR(COUNTA(J315:K319,M315:N319)&gt;0,OR(L314="X",L314="x")),N314,0)</f>
      </c>
      <c r="K329" s="14" t="str">
        <f>IF(OR(COUNTA(J299:K303,M299:N303)&gt;0,OR(L298="X",L298="x")),N298,0)+IF(OR(COUNTA(J315:K319,M315:N319)&gt;0,OR(L314="X",L314="x")),J314,0)</f>
      </c>
      <c r="L329" s="14" t="str">
        <f>IF(OR(COUNTA(J299:K303,M299:N303)&gt;0,OR(L298="X",L298="x")),(IF(OR(L299="X",L299="x"),1,0)+IF(OR(L300="X",L300="x"),1,0)+IF(OR(L301="X",L301="x"),1,0)+IF(OR(L302="X",L302="x"),1,0)+IF(OR(L303="X",L303="x"),1,0)),0)+IF(OR(COUNTA(J315:K319,M315:N319)&gt;0,OR(L314="X",L314="x")),(IF(OR(L315="X",L315="x"),1,0)+IF(OR(L316="X",L316="x"),1,0)+IF(OR(L317="X",L317="x"),1,0)+IF(OR(L318="X",L318="x"),1,0)+IF(OR(L319="X",L319="x"),1,0)),0)</f>
      </c>
      <c r="M329" s="14" t="str">
        <f>K298+M314</f>
      </c>
      <c r="N329" s="14" t="str">
        <f>M298+K314</f>
      </c>
    </row>
    <row r="330">
      <c r="A330" t="str">
        <f>data!$B$26</f>
      </c>
      <c r="B330" s="14" t="str">
        <f>IF(OR(COUNTA(B307:C311,E307:F311)&gt;0,OR(D306="X",D306="x")),B306,0)+IF(OR(COUNTA(B315:C319,E315:F319)&gt;0,OR(D314="X",D314="x")),B314,0)</f>
      </c>
      <c r="C330" s="14" t="str">
        <f>IF(OR(COUNTA(B307:C311,E307:F311)&gt;0,OR(D306="X",D306="x")),F306,0)+IF(OR(COUNTA(B315:C319,E315:F319)&gt;0,OR(D314="X",D314="x")),F314,0)</f>
      </c>
      <c r="D330" s="14" t="str">
        <f>IF(OR(COUNTA(B307:C311,E307:F311)&gt;0,OR(D306="X",D306="x")),(IF(OR(D307="X",D307="x"),1,0)+IF(OR(D308="X",D308="x"),1,0)+IF(OR(D309="X",D309="x"),1,0)+IF(OR(D310="X",D310="x"),1,0)+IF(OR(D311="X",D311="x"),1,0)),0)+IF(OR(COUNTA(B315:C319,E315:F319)&gt;0,OR(D314="X",D314="x")),(IF(OR(D315="X",D315="x"),1,0)+IF(OR(D316="X",D316="x"),1,0)+IF(OR(D317="X",D317="x"),1,0)+IF(OR(D318="X",D318="x"),1,0)+IF(OR(D319="X",D319="x"),1,0)),0)</f>
      </c>
      <c r="E330" s="14" t="str">
        <f>C306+C314</f>
      </c>
      <c r="F330" s="14" t="str">
        <f>E306+E314</f>
      </c>
      <c r="I330" t="str">
        <f>data!$B$73</f>
      </c>
      <c r="J330" s="14" t="str">
        <f>IF(OR(COUNTA(J307:K311,M307:N311)&gt;0,OR(L306="X",L306="x")),J306,0)+IF(OR(COUNTA(J315:K319,M315:N319)&gt;0,OR(L314="X",L314="x")),J314,0)</f>
      </c>
      <c r="K330" s="14" t="str">
        <f>IF(OR(COUNTA(J307:K311,M307:N311)&gt;0,OR(L306="X",L306="x")),N306,0)+IF(OR(COUNTA(J315:K319,M315:N319)&gt;0,OR(L314="X",L314="x")),N314,0)</f>
      </c>
      <c r="L330" s="14" t="str">
        <f>IF(OR(COUNTA(J307:K311,M307:N311)&gt;0,OR(L306="X",L306="x")),(IF(OR(L307="X",L307="x"),1,0)+IF(OR(L308="X",L308="x"),1,0)+IF(OR(L309="X",L309="x"),1,0)+IF(OR(L310="X",L310="x"),1,0)+IF(OR(L311="X",L311="x"),1,0)),0)+IF(OR(COUNTA(J315:K319,M315:N319)&gt;0,OR(L314="X",L314="x")),(IF(OR(L315="X",L315="x"),1,0)+IF(OR(L316="X",L316="x"),1,0)+IF(OR(L317="X",L317="x"),1,0)+IF(OR(L318="X",L318="x"),1,0)+IF(OR(L319="X",L319="x"),1,0)),0)</f>
      </c>
      <c r="M330" s="14" t="str">
        <f>K306+K314</f>
      </c>
      <c r="N330" s="14" t="str">
        <f>M306+M314</f>
      </c>
    </row>
    <row r="333">
      <c r="F333" s="13"/>
      <c r="G333" s="13" t="s">
        <v>250</v>
      </c>
      <c r="N333" s="13"/>
      <c r="O333" s="13" t="s">
        <v>250</v>
      </c>
    </row>
    <row r="334">
      <c r="F334" t="s">
        <v>251</v>
      </c>
      <c r="G334" s="19"/>
      <c r="N334" t="s">
        <v>251</v>
      </c>
      <c r="O334" s="19"/>
    </row>
    <row r="335">
      <c r="F335" t="s">
        <v>252</v>
      </c>
      <c r="G335" s="19"/>
      <c r="N335" t="s">
        <v>252</v>
      </c>
      <c r="O335" s="19"/>
    </row>
    <row r="336">
      <c r="F336" t="s">
        <v>253</v>
      </c>
      <c r="G336" s="19"/>
      <c r="N336" t="s">
        <v>253</v>
      </c>
      <c r="O336" s="19"/>
    </row>
    <row r="338">
      <c r="A338" s="13" t="str">
        <f>data!$A$29</f>
      </c>
      <c r="B338" s="13"/>
      <c r="C338" s="13"/>
      <c r="D338" s="13"/>
      <c r="E338" s="13"/>
      <c r="F338" s="13"/>
      <c r="G338" s="13"/>
      <c r="I338" s="13" t="str">
        <f>data!$A$76</f>
      </c>
      <c r="J338" s="13"/>
      <c r="K338" s="13"/>
      <c r="L338" s="13"/>
      <c r="M338" s="13"/>
      <c r="N338" s="13"/>
      <c r="O338" s="13"/>
    </row>
    <row r="339">
      <c r="A339" s="17" t="s">
        <v>239</v>
      </c>
      <c r="B339" s="14"/>
      <c r="C339" s="14"/>
      <c r="D339" s="14" t="s">
        <v>240</v>
      </c>
      <c r="E339" s="14"/>
      <c r="F339" s="14"/>
      <c r="G339" s="16" t="s">
        <v>241</v>
      </c>
      <c r="I339" s="17" t="s">
        <v>239</v>
      </c>
      <c r="J339" s="14"/>
      <c r="K339" s="14"/>
      <c r="L339" s="14" t="s">
        <v>240</v>
      </c>
      <c r="M339" s="14"/>
      <c r="N339" s="14"/>
      <c r="O339" s="16" t="s">
        <v>241</v>
      </c>
    </row>
    <row r="340">
      <c r="A340" s="14" t="str">
        <f>data!$B$28</f>
      </c>
      <c r="B340" s="18" t="str">
        <f>SUMPRODUCT((UPPER(D341:D345)&lt;&gt;"X")*((LEN(SUBSTITUTE(SUBSTITUTE(SUBSTITUTE(B341:B345," ",""),"0",""),"-",""))+LEN(SUBSTITUTE(SUBSTITUTE(SUBSTITUTE(C341:C345," ",""),"0",""),"-","")))&gt;(LEN(SUBSTITUTE(SUBSTITUTE(SUBSTITUTE(E341:E345," ",""),"0",""),"-",""))+LEN(SUBSTITUTE(SUBSTITUTE(SUBSTITUTE(F341:F345," ",""),"0",""),"-",""))))*1)</f>
      </c>
      <c r="C340" s="18" t="str">
        <f>SUMPRODUCT(LEN(SUBSTITUTE(SUBSTITUTE(SUBSTITUTE(B341:B345," ",""),"0",""),"-",""))+LEN(SUBSTITUTE(SUBSTITUTE(SUBSTITUTE(C341:C345," ",""),"0",""),"-","")))</f>
      </c>
      <c r="D340" s="18"/>
      <c r="E340" s="18" t="str">
        <f>SUMPRODUCT(LEN(SUBSTITUTE(SUBSTITUTE(SUBSTITUTE(E341:E345," ",""),"0",""),"-",""))+LEN(SUBSTITUTE(SUBSTITUTE(SUBSTITUTE(F341:F345," ",""),"0",""),"-","")))</f>
      </c>
      <c r="F340" s="18" t="str">
        <f>SUMPRODUCT((UPPER(D341:D345)&lt;&gt;"X")*((LEN(SUBSTITUTE(SUBSTITUTE(SUBSTITUTE(E341:E345," ",""),"0",""),"-",""))+LEN(SUBSTITUTE(SUBSTITUTE(SUBSTITUTE(F341:F345," ",""),"0",""),"-","")))&gt;(LEN(SUBSTITUTE(SUBSTITUTE(SUBSTITUTE(B341:B345," ",""),"0",""),"-",""))+LEN(SUBSTITUTE(SUBSTITUTE(SUBSTITUTE(C341:C345," ",""),"0",""),"-",""))))*1)</f>
      </c>
      <c r="G340" s="14" t="str">
        <f>data!$B$27</f>
      </c>
      <c r="I340" s="14" t="str">
        <f>data!$B$75</f>
      </c>
      <c r="J340" s="18" t="str">
        <f>SUMPRODUCT((UPPER(L341:L345)&lt;&gt;"X")*((LEN(SUBSTITUTE(SUBSTITUTE(SUBSTITUTE(J341:J345," ",""),"0",""),"-",""))+LEN(SUBSTITUTE(SUBSTITUTE(SUBSTITUTE(K341:K345," ",""),"0",""),"-","")))&gt;(LEN(SUBSTITUTE(SUBSTITUTE(SUBSTITUTE(M341:M345," ",""),"0",""),"-",""))+LEN(SUBSTITUTE(SUBSTITUTE(SUBSTITUTE(N341:N345," ",""),"0",""),"-",""))))*1)</f>
      </c>
      <c r="K340" s="18" t="str">
        <f>SUMPRODUCT(LEN(SUBSTITUTE(SUBSTITUTE(SUBSTITUTE(J341:J345," ",""),"0",""),"-",""))+LEN(SUBSTITUTE(SUBSTITUTE(SUBSTITUTE(K341:K345," ",""),"0",""),"-","")))</f>
      </c>
      <c r="L340" s="18"/>
      <c r="M340" s="18" t="str">
        <f>SUMPRODUCT(LEN(SUBSTITUTE(SUBSTITUTE(SUBSTITUTE(M341:M345," ",""),"0",""),"-",""))+LEN(SUBSTITUTE(SUBSTITUTE(SUBSTITUTE(N341:N345," ",""),"0",""),"-","")))</f>
      </c>
      <c r="N340" s="18" t="str">
        <f>SUMPRODUCT((UPPER(L341:L345)&lt;&gt;"X")*((LEN(SUBSTITUTE(SUBSTITUTE(SUBSTITUTE(M341:M345," ",""),"0",""),"-",""))+LEN(SUBSTITUTE(SUBSTITUTE(SUBSTITUTE(N341:N345," ",""),"0",""),"-","")))&gt;(LEN(SUBSTITUTE(SUBSTITUTE(SUBSTITUTE(J341:J345," ",""),"0",""),"-",""))+LEN(SUBSTITUTE(SUBSTITUTE(SUBSTITUTE(K341:K345," ",""),"0",""),"-",""))))*1)</f>
      </c>
      <c r="O340" s="14" t="str">
        <f>data!$B$74</f>
      </c>
    </row>
    <row r="341">
      <c r="A341" s="18">
        <v>1</v>
      </c>
      <c r="B341" s="18"/>
      <c r="C341" s="18"/>
      <c r="D341" s="18"/>
      <c r="E341" s="18"/>
      <c r="F341" s="18"/>
      <c r="G341" s="18">
        <v>1</v>
      </c>
      <c r="I341" s="18">
        <v>1</v>
      </c>
      <c r="J341" s="18"/>
      <c r="K341" s="18"/>
      <c r="L341" s="18"/>
      <c r="M341" s="18"/>
      <c r="N341" s="18"/>
      <c r="O341" s="18">
        <v>1</v>
      </c>
    </row>
    <row r="342">
      <c r="A342" s="18">
        <v>2</v>
      </c>
      <c r="B342" s="18"/>
      <c r="C342" s="18"/>
      <c r="D342" s="18"/>
      <c r="E342" s="18"/>
      <c r="F342" s="18"/>
      <c r="G342" s="18">
        <v>2</v>
      </c>
      <c r="I342" s="18">
        <v>2</v>
      </c>
      <c r="J342" s="18"/>
      <c r="K342" s="18"/>
      <c r="L342" s="18"/>
      <c r="M342" s="18"/>
      <c r="N342" s="18"/>
      <c r="O342" s="18">
        <v>2</v>
      </c>
    </row>
    <row r="343">
      <c r="A343" s="18">
        <v>3</v>
      </c>
      <c r="B343" s="18"/>
      <c r="C343" s="18"/>
      <c r="D343" s="18"/>
      <c r="E343" s="18"/>
      <c r="F343" s="18"/>
      <c r="G343" s="18">
        <v>3</v>
      </c>
      <c r="I343" s="18">
        <v>3</v>
      </c>
      <c r="J343" s="18"/>
      <c r="K343" s="18"/>
      <c r="L343" s="18"/>
      <c r="M343" s="18"/>
      <c r="N343" s="18"/>
      <c r="O343" s="18">
        <v>3</v>
      </c>
    </row>
    <row r="344">
      <c r="A344" s="18">
        <v>4</v>
      </c>
      <c r="B344" s="18"/>
      <c r="C344" s="18"/>
      <c r="D344" s="18"/>
      <c r="E344" s="18"/>
      <c r="F344" s="18"/>
      <c r="G344" s="18">
        <v>4</v>
      </c>
      <c r="I344" s="18">
        <v>4</v>
      </c>
      <c r="J344" s="18"/>
      <c r="K344" s="18"/>
      <c r="L344" s="18"/>
      <c r="M344" s="18"/>
      <c r="N344" s="18"/>
      <c r="O344" s="18">
        <v>4</v>
      </c>
    </row>
    <row r="345">
      <c r="A345" s="18">
        <v>5</v>
      </c>
      <c r="B345" s="18"/>
      <c r="C345" s="18"/>
      <c r="D345" s="18"/>
      <c r="E345" s="18"/>
      <c r="F345" s="18"/>
      <c r="G345" s="18">
        <v>5</v>
      </c>
      <c r="I345" s="18">
        <v>5</v>
      </c>
      <c r="J345" s="18"/>
      <c r="K345" s="18"/>
      <c r="L345" s="18"/>
      <c r="M345" s="18"/>
      <c r="N345" s="18"/>
      <c r="O345" s="18">
        <v>5</v>
      </c>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data!$B$29</f>
      </c>
      <c r="B348" s="18" t="str">
        <f>SUMPRODUCT((UPPER(D349:D353)&lt;&gt;"X")*((LEN(SUBSTITUTE(SUBSTITUTE(SUBSTITUTE(B349:B353," ",""),"0",""),"-",""))+LEN(SUBSTITUTE(SUBSTITUTE(SUBSTITUTE(C349:C353," ",""),"0",""),"-","")))&gt;(LEN(SUBSTITUTE(SUBSTITUTE(SUBSTITUTE(E349:E353," ",""),"0",""),"-",""))+LEN(SUBSTITUTE(SUBSTITUTE(SUBSTITUTE(F349:F353," ",""),"0",""),"-",""))))*1)</f>
      </c>
      <c r="C348" s="18" t="str">
        <f>SUMPRODUCT(LEN(SUBSTITUTE(SUBSTITUTE(SUBSTITUTE(B349:B353," ",""),"0",""),"-",""))+LEN(SUBSTITUTE(SUBSTITUTE(SUBSTITUTE(C349:C353," ",""),"0",""),"-","")))</f>
      </c>
      <c r="D348" s="18"/>
      <c r="E348" s="18" t="str">
        <f>SUMPRODUCT(LEN(SUBSTITUTE(SUBSTITUTE(SUBSTITUTE(E349:E353," ",""),"0",""),"-",""))+LEN(SUBSTITUTE(SUBSTITUTE(SUBSTITUTE(F349:F353," ",""),"0",""),"-","")))</f>
      </c>
      <c r="F348" s="18" t="str">
        <f>SUMPRODUCT((UPPER(D349:D353)&lt;&gt;"X")*((LEN(SUBSTITUTE(SUBSTITUTE(SUBSTITUTE(E349:E353," ",""),"0",""),"-",""))+LEN(SUBSTITUTE(SUBSTITUTE(SUBSTITUTE(F349:F353," ",""),"0",""),"-","")))&gt;(LEN(SUBSTITUTE(SUBSTITUTE(SUBSTITUTE(B349:B353," ",""),"0",""),"-",""))+LEN(SUBSTITUTE(SUBSTITUTE(SUBSTITUTE(C349:C353," ",""),"0",""),"-",""))))*1)</f>
      </c>
      <c r="G348" s="14" t="str">
        <f>data!$B$27</f>
      </c>
      <c r="I348" s="14" t="str">
        <f>data!$B$76</f>
      </c>
      <c r="J348" s="18" t="str">
        <f>SUMPRODUCT((UPPER(L349:L353)&lt;&gt;"X")*((LEN(SUBSTITUTE(SUBSTITUTE(SUBSTITUTE(J349:J353," ",""),"0",""),"-",""))+LEN(SUBSTITUTE(SUBSTITUTE(SUBSTITUTE(K349:K353," ",""),"0",""),"-","")))&gt;(LEN(SUBSTITUTE(SUBSTITUTE(SUBSTITUTE(M349:M353," ",""),"0",""),"-",""))+LEN(SUBSTITUTE(SUBSTITUTE(SUBSTITUTE(N349:N353," ",""),"0",""),"-",""))))*1)</f>
      </c>
      <c r="K348" s="18" t="str">
        <f>SUMPRODUCT(LEN(SUBSTITUTE(SUBSTITUTE(SUBSTITUTE(J349:J353," ",""),"0",""),"-",""))+LEN(SUBSTITUTE(SUBSTITUTE(SUBSTITUTE(K349:K353," ",""),"0",""),"-","")))</f>
      </c>
      <c r="L348" s="18"/>
      <c r="M348" s="18" t="str">
        <f>SUMPRODUCT(LEN(SUBSTITUTE(SUBSTITUTE(SUBSTITUTE(M349:M353," ",""),"0",""),"-",""))+LEN(SUBSTITUTE(SUBSTITUTE(SUBSTITUTE(N349:N353," ",""),"0",""),"-","")))</f>
      </c>
      <c r="N348" s="18" t="str">
        <f>SUMPRODUCT((UPPER(L349:L353)&lt;&gt;"X")*((LEN(SUBSTITUTE(SUBSTITUTE(SUBSTITUTE(M349:M353," ",""),"0",""),"-",""))+LEN(SUBSTITUTE(SUBSTITUTE(SUBSTITUTE(N349:N353," ",""),"0",""),"-","")))&gt;(LEN(SUBSTITUTE(SUBSTITUTE(SUBSTITUTE(J349:J353," ",""),"0",""),"-",""))+LEN(SUBSTITUTE(SUBSTITUTE(SUBSTITUTE(K349:K353," ",""),"0",""),"-",""))))*1)</f>
      </c>
      <c r="O348" s="14" t="str">
        <f>data!$B$74</f>
      </c>
    </row>
    <row r="349">
      <c r="A349" s="18">
        <v>1</v>
      </c>
      <c r="B349" s="18"/>
      <c r="C349" s="18"/>
      <c r="D349" s="18"/>
      <c r="E349" s="18"/>
      <c r="F349" s="18"/>
      <c r="G349" s="18">
        <v>1</v>
      </c>
      <c r="I349" s="18">
        <v>1</v>
      </c>
      <c r="J349" s="18"/>
      <c r="K349" s="18"/>
      <c r="L349" s="18"/>
      <c r="M349" s="18"/>
      <c r="N349" s="18"/>
      <c r="O349" s="18">
        <v>1</v>
      </c>
    </row>
    <row r="350">
      <c r="A350" s="18">
        <v>2</v>
      </c>
      <c r="B350" s="18"/>
      <c r="C350" s="18"/>
      <c r="D350" s="18"/>
      <c r="E350" s="18"/>
      <c r="F350" s="18"/>
      <c r="G350" s="18">
        <v>2</v>
      </c>
      <c r="I350" s="18">
        <v>2</v>
      </c>
      <c r="J350" s="18"/>
      <c r="K350" s="18"/>
      <c r="L350" s="18"/>
      <c r="M350" s="18"/>
      <c r="N350" s="18"/>
      <c r="O350" s="18">
        <v>2</v>
      </c>
    </row>
    <row r="351">
      <c r="A351" s="18">
        <v>3</v>
      </c>
      <c r="B351" s="18"/>
      <c r="C351" s="18"/>
      <c r="D351" s="18"/>
      <c r="E351" s="18"/>
      <c r="F351" s="18"/>
      <c r="G351" s="18">
        <v>3</v>
      </c>
      <c r="I351" s="18">
        <v>3</v>
      </c>
      <c r="J351" s="18"/>
      <c r="K351" s="18"/>
      <c r="L351" s="18"/>
      <c r="M351" s="18"/>
      <c r="N351" s="18"/>
      <c r="O351" s="18">
        <v>3</v>
      </c>
    </row>
    <row r="352">
      <c r="A352" s="18">
        <v>4</v>
      </c>
      <c r="B352" s="18"/>
      <c r="C352" s="18"/>
      <c r="D352" s="18"/>
      <c r="E352" s="18"/>
      <c r="F352" s="18"/>
      <c r="G352" s="18">
        <v>4</v>
      </c>
      <c r="I352" s="18">
        <v>4</v>
      </c>
      <c r="J352" s="18"/>
      <c r="K352" s="18"/>
      <c r="L352" s="18"/>
      <c r="M352" s="18"/>
      <c r="N352" s="18"/>
      <c r="O352" s="18">
        <v>4</v>
      </c>
    </row>
    <row r="353">
      <c r="A353" s="18">
        <v>5</v>
      </c>
      <c r="B353" s="18"/>
      <c r="C353" s="18"/>
      <c r="D353" s="18"/>
      <c r="E353" s="18"/>
      <c r="F353" s="18"/>
      <c r="G353" s="18">
        <v>5</v>
      </c>
      <c r="I353" s="18">
        <v>5</v>
      </c>
      <c r="J353" s="18"/>
      <c r="K353" s="18"/>
      <c r="L353" s="18"/>
      <c r="M353" s="18"/>
      <c r="N353" s="18"/>
      <c r="O353" s="18">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8" t="str">
        <f>SUMPRODUCT((UPPER(D357:D361)&lt;&gt;"X")*((LEN(SUBSTITUTE(SUBSTITUTE(SUBSTITUTE(B357:B361," ",""),"0",""),"-",""))+LEN(SUBSTITUTE(SUBSTITUTE(SUBSTITUTE(C357:C361," ",""),"0",""),"-","")))&gt;(LEN(SUBSTITUTE(SUBSTITUTE(SUBSTITUTE(E357:E361," ",""),"0",""),"-",""))+LEN(SUBSTITUTE(SUBSTITUTE(SUBSTITUTE(F357:F361," ",""),"0",""),"-",""))))*1)</f>
      </c>
      <c r="C356" s="18" t="str">
        <f>SUMPRODUCT(LEN(SUBSTITUTE(SUBSTITUTE(SUBSTITUTE(B357:B361," ",""),"0",""),"-",""))+LEN(SUBSTITUTE(SUBSTITUTE(SUBSTITUTE(C357:C361," ",""),"0",""),"-","")))</f>
      </c>
      <c r="D356" s="18"/>
      <c r="E356" s="18" t="str">
        <f>SUMPRODUCT(LEN(SUBSTITUTE(SUBSTITUTE(SUBSTITUTE(E357:E361," ",""),"0",""),"-",""))+LEN(SUBSTITUTE(SUBSTITUTE(SUBSTITUTE(F357:F361," ",""),"0",""),"-","")))</f>
      </c>
      <c r="F356" s="18" t="str">
        <f>SUMPRODUCT((UPPER(D357:D361)&lt;&gt;"X")*((LEN(SUBSTITUTE(SUBSTITUTE(SUBSTITUTE(E357:E361," ",""),"0",""),"-",""))+LEN(SUBSTITUTE(SUBSTITUTE(SUBSTITUTE(F357:F361," ",""),"0",""),"-","")))&gt;(LEN(SUBSTITUTE(SUBSTITUTE(SUBSTITUTE(B357:B361," ",""),"0",""),"-",""))+LEN(SUBSTITUTE(SUBSTITUTE(SUBSTITUTE(C357:C361," ",""),"0",""),"-",""))))*1)</f>
      </c>
      <c r="G356" s="14" t="str">
        <f>data!$B$28</f>
      </c>
      <c r="I356" s="14" t="str">
        <f>data!$B$76</f>
      </c>
      <c r="J356" s="18" t="str">
        <f>SUMPRODUCT((UPPER(L357:L361)&lt;&gt;"X")*((LEN(SUBSTITUTE(SUBSTITUTE(SUBSTITUTE(J357:J361," ",""),"0",""),"-",""))+LEN(SUBSTITUTE(SUBSTITUTE(SUBSTITUTE(K357:K361," ",""),"0",""),"-","")))&gt;(LEN(SUBSTITUTE(SUBSTITUTE(SUBSTITUTE(M357:M361," ",""),"0",""),"-",""))+LEN(SUBSTITUTE(SUBSTITUTE(SUBSTITUTE(N357:N361," ",""),"0",""),"-",""))))*1)</f>
      </c>
      <c r="K356" s="18" t="str">
        <f>SUMPRODUCT(LEN(SUBSTITUTE(SUBSTITUTE(SUBSTITUTE(J357:J361," ",""),"0",""),"-",""))+LEN(SUBSTITUTE(SUBSTITUTE(SUBSTITUTE(K357:K361," ",""),"0",""),"-","")))</f>
      </c>
      <c r="L356" s="18"/>
      <c r="M356" s="18" t="str">
        <f>SUMPRODUCT(LEN(SUBSTITUTE(SUBSTITUTE(SUBSTITUTE(M357:M361," ",""),"0",""),"-",""))+LEN(SUBSTITUTE(SUBSTITUTE(SUBSTITUTE(N357:N361," ",""),"0",""),"-","")))</f>
      </c>
      <c r="N356" s="18" t="str">
        <f>SUMPRODUCT((UPPER(L357:L361)&lt;&gt;"X")*((LEN(SUBSTITUTE(SUBSTITUTE(SUBSTITUTE(M357:M361," ",""),"0",""),"-",""))+LEN(SUBSTITUTE(SUBSTITUTE(SUBSTITUTE(N357:N361," ",""),"0",""),"-","")))&gt;(LEN(SUBSTITUTE(SUBSTITUTE(SUBSTITUTE(J357:J361," ",""),"0",""),"-",""))+LEN(SUBSTITUTE(SUBSTITUTE(SUBSTITUTE(K357:K361," ",""),"0",""),"-",""))))*1)</f>
      </c>
      <c r="O356" s="14" t="str">
        <f>data!$B$75</f>
      </c>
    </row>
    <row r="357">
      <c r="A357" s="18">
        <v>1</v>
      </c>
      <c r="B357" s="18"/>
      <c r="C357" s="18"/>
      <c r="D357" s="18"/>
      <c r="E357" s="18"/>
      <c r="F357" s="18"/>
      <c r="G357" s="18">
        <v>1</v>
      </c>
      <c r="I357" s="18">
        <v>1</v>
      </c>
      <c r="J357" s="18"/>
      <c r="K357" s="18"/>
      <c r="L357" s="18"/>
      <c r="M357" s="18"/>
      <c r="N357" s="18"/>
      <c r="O357" s="18">
        <v>1</v>
      </c>
    </row>
    <row r="358">
      <c r="A358" s="18">
        <v>2</v>
      </c>
      <c r="B358" s="18"/>
      <c r="C358" s="18"/>
      <c r="D358" s="18"/>
      <c r="E358" s="18"/>
      <c r="F358" s="18"/>
      <c r="G358" s="18">
        <v>2</v>
      </c>
      <c r="I358" s="18">
        <v>2</v>
      </c>
      <c r="J358" s="18"/>
      <c r="K358" s="18"/>
      <c r="L358" s="18"/>
      <c r="M358" s="18"/>
      <c r="N358" s="18"/>
      <c r="O358" s="18">
        <v>2</v>
      </c>
    </row>
    <row r="359">
      <c r="A359" s="18">
        <v>3</v>
      </c>
      <c r="B359" s="18"/>
      <c r="C359" s="18"/>
      <c r="D359" s="18"/>
      <c r="E359" s="18"/>
      <c r="F359" s="18"/>
      <c r="G359" s="18">
        <v>3</v>
      </c>
      <c r="I359" s="18">
        <v>3</v>
      </c>
      <c r="J359" s="18"/>
      <c r="K359" s="18"/>
      <c r="L359" s="18"/>
      <c r="M359" s="18"/>
      <c r="N359" s="18"/>
      <c r="O359" s="18">
        <v>3</v>
      </c>
    </row>
    <row r="360">
      <c r="A360" s="18">
        <v>4</v>
      </c>
      <c r="B360" s="18"/>
      <c r="C360" s="18"/>
      <c r="D360" s="18"/>
      <c r="E360" s="18"/>
      <c r="F360" s="18"/>
      <c r="G360" s="18">
        <v>4</v>
      </c>
      <c r="I360" s="18">
        <v>4</v>
      </c>
      <c r="J360" s="18"/>
      <c r="K360" s="18"/>
      <c r="L360" s="18"/>
      <c r="M360" s="18"/>
      <c r="N360" s="18"/>
      <c r="O360" s="18">
        <v>4</v>
      </c>
    </row>
    <row r="361">
      <c r="A361" s="18">
        <v>5</v>
      </c>
      <c r="B361" s="18"/>
      <c r="C361" s="18"/>
      <c r="D361" s="18"/>
      <c r="E361" s="18"/>
      <c r="F361" s="18"/>
      <c r="G361" s="18">
        <v>5</v>
      </c>
      <c r="I361" s="18">
        <v>5</v>
      </c>
      <c r="J361" s="18"/>
      <c r="K361" s="18"/>
      <c r="L361" s="18"/>
      <c r="M361" s="18"/>
      <c r="N361" s="18"/>
      <c r="O361" s="18">
        <v>5</v>
      </c>
    </row>
    <row r="364">
      <c r="A364" s="13"/>
      <c r="B364" s="13" t="s">
        <v>242</v>
      </c>
      <c r="C364" s="13" t="s">
        <v>243</v>
      </c>
      <c r="D364" s="13" t="s">
        <v>244</v>
      </c>
      <c r="I364" s="13"/>
      <c r="J364" s="13" t="s">
        <v>242</v>
      </c>
      <c r="K364" s="13" t="s">
        <v>243</v>
      </c>
      <c r="L364" s="13" t="s">
        <v>244</v>
      </c>
    </row>
    <row r="365">
      <c r="A365" t="str">
        <f>data!$B$27</f>
      </c>
      <c r="B365" s="14" t="str">
        <f>IF(OR(COUNTA(B341:C345,E341:F345)&gt;0,OR(D340="X",D340="x")),IF(OR(D340="X",D340="x"),0,IF(OR(F340&gt;B340,AND(F340=B340,E340&gt;C340)),1,0)),0)+IF(OR(COUNTA(B349:C353,E349:F353)&gt;0,OR(D348="X",D348="x")),IF(OR(D348="X",D348="x"),0,IF(OR(F348&gt;B348,AND(F348=B348,E348&gt;C348)),1,0)),0)</f>
      </c>
      <c r="C365" s="14" t="str">
        <f>IF(OR(COUNTA(B341:C345,E341:F345)&gt;0,OR(D340="X",D340="x")),IF(OR(D340="X",D340="x"),0,IF(OR(F340&lt;B340,AND(F340=B340,E340&lt;C340)),1,0)),0)+IF(OR(COUNTA(B349:C353,E349:F353)&gt;0,OR(D348="X",D348="x")),IF(OR(D348="X",D348="x"),0,IF(OR(F348&lt;B348,AND(F348=B348,E348&lt;C348)),1,0)),0)</f>
      </c>
      <c r="D365" s="14" t="str">
        <f>IF(OR(COUNTA(B341:C345,E341:F345)&gt;0,OR(D340="X",D340="x")),IF(OR(D340="X",D340="x"),1,0),0)+IF(OR(COUNTA(B349:C353,E349:F353)&gt;0,OR(D348="X",D348="x")),IF(OR(D348="X",D348="x"),1,0),0)</f>
      </c>
      <c r="I365" t="str">
        <f>data!$B$74</f>
      </c>
      <c r="J365" s="14" t="str">
        <f>IF(OR(COUNTA(J341:K345,M341:N345)&gt;0,OR(L340="X",L340="x")),IF(OR(L340="X",L340="x"),0,IF(OR(N340&gt;J340,AND(N340=J340,M340&gt;K340)),1,0)),0)+IF(OR(COUNTA(J349:K353,M349:N353)&gt;0,OR(L348="X",L348="x")),IF(OR(L348="X",L348="x"),0,IF(OR(N348&gt;J348,AND(N348=J348,M348&gt;K348)),1,0)),0)</f>
      </c>
      <c r="K365" s="14" t="str">
        <f>IF(OR(COUNTA(J341:K345,M341:N345)&gt;0,OR(L340="X",L340="x")),IF(OR(L340="X",L340="x"),0,IF(OR(N340&lt;J340,AND(N340=J340,M340&lt;K340)),1,0)),0)+IF(OR(COUNTA(J349:K353,M349:N353)&gt;0,OR(L348="X",L348="x")),IF(OR(L348="X",L348="x"),0,IF(OR(N348&lt;J348,AND(N348=J348,M348&lt;K348)),1,0)),0)</f>
      </c>
      <c r="L365" s="14" t="str">
        <f>IF(OR(COUNTA(J341:K345,M341:N345)&gt;0,OR(L340="X",L340="x")),IF(OR(L340="X",L340="x"),1,0),0)+IF(OR(COUNTA(J349:K353,M349:N353)&gt;0,OR(L348="X",L348="x")),IF(OR(L348="X",L348="x"),1,0),0)</f>
      </c>
    </row>
    <row r="366">
      <c r="A366" t="str">
        <f>data!$B$28</f>
      </c>
      <c r="B366" s="14" t="str">
        <f>IF(OR(COUNTA(B341:C345,E341:F345)&gt;0,OR(D340="X",D340="x")),IF(OR(D340="X",D340="x"),0,IF(OR(B340&gt;F340,AND(B340=F340,C340&gt;E340)),1,0)),0)+IF(OR(COUNTA(B357:C361,E357:F361)&gt;0,OR(D356="X",D356="x")),IF(OR(D356="X",D356="x"),0,IF(OR(F356&gt;B356,AND(F356=B356,E356&gt;C356)),1,0)),0)</f>
      </c>
      <c r="C366" s="14" t="str">
        <f>IF(OR(COUNTA(B341:C345,E341:F345)&gt;0,OR(D340="X",D340="x")),IF(OR(D340="X",D340="x"),0,IF(OR(B340&lt;F340,AND(B340=F340,C340&lt;E340)),1,0)),0)+IF(OR(COUNTA(B357:C361,E357:F361)&gt;0,OR(D356="X",D356="x")),IF(OR(D356="X",D356="x"),0,IF(OR(F356&lt;B356,AND(F356=B356,E356&lt;C356)),1,0)),0)</f>
      </c>
      <c r="D366" s="14" t="str">
        <f>IF(OR(COUNTA(B341:C345,E341:F345)&gt;0,OR(D340="X",D340="x")),IF(OR(D340="X",D340="x"),1,0),0)+IF(OR(COUNTA(B357:C361,E357:F361)&gt;0,OR(D356="X",D356="x")),IF(OR(D356="X",D356="x"),1,0),0)</f>
      </c>
      <c r="I366" t="str">
        <f>data!$B$75</f>
      </c>
      <c r="J366" s="14" t="str">
        <f>IF(OR(COUNTA(J341:K345,M341:N345)&gt;0,OR(L340="X",L340="x")),IF(OR(L340="X",L340="x"),0,IF(OR(J340&gt;N340,AND(J340=N340,K340&gt;M340)),1,0)),0)+IF(OR(COUNTA(J357:K361,M357:N361)&gt;0,OR(L356="X",L356="x")),IF(OR(L356="X",L356="x"),0,IF(OR(N356&gt;J356,AND(N356=J356,M356&gt;K356)),1,0)),0)</f>
      </c>
      <c r="K366" s="14" t="str">
        <f>IF(OR(COUNTA(J341:K345,M341:N345)&gt;0,OR(L340="X",L340="x")),IF(OR(L340="X",L340="x"),0,IF(OR(J340&lt;N340,AND(J340=N340,K340&lt;M340)),1,0)),0)+IF(OR(COUNTA(J357:K361,M357:N361)&gt;0,OR(L356="X",L356="x")),IF(OR(L356="X",L356="x"),0,IF(OR(N356&lt;J356,AND(N356=J356,M356&lt;K356)),1,0)),0)</f>
      </c>
      <c r="L366" s="14" t="str">
        <f>IF(OR(COUNTA(J341:K345,M341:N345)&gt;0,OR(L340="X",L340="x")),IF(OR(L340="X",L340="x"),1,0),0)+IF(OR(COUNTA(J357:K361,M357:N361)&gt;0,OR(L356="X",L356="x")),IF(OR(L356="X",L356="x"),1,0),0)</f>
      </c>
    </row>
    <row r="367">
      <c r="A367" t="str">
        <f>data!$B$29</f>
      </c>
      <c r="B367" s="14" t="str">
        <f>IF(OR(COUNTA(B349:C353,E349:F353)&gt;0,OR(D348="X",D348="x")),IF(OR(D348="X",D348="x"),0,IF(OR(B348&gt;F348,AND(B348=F348,C348&gt;E348)),1,0)),0)+IF(OR(COUNTA(B357:C361,E357:F361)&gt;0,OR(D356="X",D356="x")),IF(OR(D356="X",D356="x"),0,IF(OR(B356&gt;F356,AND(B356=F356,C356&gt;E356)),1,0)),0)</f>
      </c>
      <c r="C367" s="14" t="str">
        <f>IF(OR(COUNTA(B349:C353,E349:F353)&gt;0,OR(D348="X",D348="x")),IF(OR(D348="X",D348="x"),0,IF(OR(B348&lt;F348,AND(B348=F348,C348&lt;E348)),1,0)),0)+IF(OR(COUNTA(B357:C361,E357:F361)&gt;0,OR(D356="X",D356="x")),IF(OR(D356="X",D356="x"),0,IF(OR(B356&lt;F356,AND(B356=F356,C356&lt;E356)),1,0)),0)</f>
      </c>
      <c r="D367" s="14" t="str">
        <f>IF(OR(COUNTA(B349:C353,E349:F353)&gt;0,OR(D348="X",D348="x")),IF(OR(D348="X",D348="x"),1,0),0)+IF(OR(COUNTA(B357:C361,E357:F361)&gt;0,OR(D356="X",D356="x")),IF(OR(D356="X",D356="x"),1,0),0)</f>
      </c>
      <c r="I367" t="str">
        <f>data!$B$76</f>
      </c>
      <c r="J367" s="14" t="str">
        <f>IF(OR(COUNTA(J349:K353,M349:N353)&gt;0,OR(L348="X",L348="x")),IF(OR(L348="X",L348="x"),0,IF(OR(J348&gt;N348,AND(J348=N348,K348&gt;M348)),1,0)),0)+IF(OR(COUNTA(J357:K361,M357:N361)&gt;0,OR(L356="X",L356="x")),IF(OR(L356="X",L356="x"),0,IF(OR(J356&gt;N356,AND(J356=N356,K356&gt;M356)),1,0)),0)</f>
      </c>
      <c r="K367" s="14" t="str">
        <f>IF(OR(COUNTA(J349:K353,M349:N353)&gt;0,OR(L348="X",L348="x")),IF(OR(L348="X",L348="x"),0,IF(OR(J348&lt;N348,AND(J348=N348,K348&lt;M348)),1,0)),0)+IF(OR(COUNTA(J357:K361,M357:N361)&gt;0,OR(L356="X",L356="x")),IF(OR(L356="X",L356="x"),0,IF(OR(J356&lt;N356,AND(J356=N356,K356&lt;M356)),1,0)),0)</f>
      </c>
      <c r="L367" s="14" t="str">
        <f>IF(OR(COUNTA(J349:K353,M349:N353)&gt;0,OR(L348="X",L348="x")),IF(OR(L348="X",L348="x"),1,0),0)+IF(OR(COUNTA(J357:K361,M357:N361)&gt;0,OR(L356="X",L356="x")),IF(OR(L356="X",L356="x"),1,0),0)</f>
      </c>
    </row>
    <row r="369">
      <c r="A369" s="13"/>
      <c r="B369" s="13" t="s">
        <v>245</v>
      </c>
      <c r="C369" s="13" t="s">
        <v>246</v>
      </c>
      <c r="D369" s="13" t="s">
        <v>247</v>
      </c>
      <c r="E369" s="13" t="s">
        <v>248</v>
      </c>
      <c r="F369" s="13" t="s">
        <v>249</v>
      </c>
      <c r="I369" s="13"/>
      <c r="J369" s="13" t="s">
        <v>245</v>
      </c>
      <c r="K369" s="13" t="s">
        <v>246</v>
      </c>
      <c r="L369" s="13" t="s">
        <v>247</v>
      </c>
      <c r="M369" s="13" t="s">
        <v>248</v>
      </c>
      <c r="N369" s="13" t="s">
        <v>249</v>
      </c>
    </row>
    <row r="370">
      <c r="A370" t="str">
        <f>data!$B$27</f>
      </c>
      <c r="B370" s="14" t="str">
        <f>IF(OR(COUNTA(B341:C345,E341:F345)&gt;0,OR(D340="X",D340="x")),F340,0)+IF(OR(COUNTA(B349:C353,E349:F353)&gt;0,OR(D348="X",D348="x")),F348,0)</f>
      </c>
      <c r="C370" s="14" t="str">
        <f>IF(OR(COUNTA(B341:C345,E341:F345)&gt;0,OR(D340="X",D340="x")),B340,0)+IF(OR(COUNTA(B349:C353,E349:F353)&gt;0,OR(D348="X",D348="x")),B348,0)</f>
      </c>
      <c r="D370" s="14" t="str">
        <f>IF(OR(COUNTA(B341:C345,E341:F345)&gt;0,OR(D340="X",D340="x")),(IF(OR(D341="X",D341="x"),1,0)+IF(OR(D342="X",D342="x"),1,0)+IF(OR(D343="X",D343="x"),1,0)+IF(OR(D344="X",D344="x"),1,0)+IF(OR(D345="X",D345="x"),1,0)),0)+IF(OR(COUNTA(B349:C353,E349:F353)&gt;0,OR(D348="X",D348="x")),(IF(OR(D349="X",D349="x"),1,0)+IF(OR(D350="X",D350="x"),1,0)+IF(OR(D351="X",D351="x"),1,0)+IF(OR(D352="X",D352="x"),1,0)+IF(OR(D353="X",D353="x"),1,0)),0)</f>
      </c>
      <c r="E370" s="14" t="str">
        <f>E340+E348</f>
      </c>
      <c r="F370" s="14" t="str">
        <f>C340+C348</f>
      </c>
      <c r="I370" t="str">
        <f>data!$B$74</f>
      </c>
      <c r="J370" s="14" t="str">
        <f>IF(OR(COUNTA(J341:K345,M341:N345)&gt;0,OR(L340="X",L340="x")),N340,0)+IF(OR(COUNTA(J349:K353,M349:N353)&gt;0,OR(L348="X",L348="x")),N348,0)</f>
      </c>
      <c r="K370" s="14" t="str">
        <f>IF(OR(COUNTA(J341:K345,M341:N345)&gt;0,OR(L340="X",L340="x")),J340,0)+IF(OR(COUNTA(J349:K353,M349:N353)&gt;0,OR(L348="X",L348="x")),J348,0)</f>
      </c>
      <c r="L370" s="14" t="str">
        <f>IF(OR(COUNTA(J341:K345,M341:N345)&gt;0,OR(L340="X",L340="x")),(IF(OR(L341="X",L341="x"),1,0)+IF(OR(L342="X",L342="x"),1,0)+IF(OR(L343="X",L343="x"),1,0)+IF(OR(L344="X",L344="x"),1,0)+IF(OR(L345="X",L345="x"),1,0)),0)+IF(OR(COUNTA(J349:K353,M349:N353)&gt;0,OR(L348="X",L348="x")),(IF(OR(L349="X",L349="x"),1,0)+IF(OR(L350="X",L350="x"),1,0)+IF(OR(L351="X",L351="x"),1,0)+IF(OR(L352="X",L352="x"),1,0)+IF(OR(L353="X",L353="x"),1,0)),0)</f>
      </c>
      <c r="M370" s="14" t="str">
        <f>M340+M348</f>
      </c>
      <c r="N370" s="14" t="str">
        <f>K340+K348</f>
      </c>
    </row>
    <row r="371">
      <c r="A371" t="str">
        <f>data!$B$28</f>
      </c>
      <c r="B371" s="14" t="str">
        <f>IF(OR(COUNTA(B341:C345,E341:F345)&gt;0,OR(D340="X",D340="x")),B340,0)+IF(OR(COUNTA(B357:C361,E357:F361)&gt;0,OR(D356="X",D356="x")),F356,0)</f>
      </c>
      <c r="C371" s="14" t="str">
        <f>IF(OR(COUNTA(B341:C345,E341:F345)&gt;0,OR(D340="X",D340="x")),F340,0)+IF(OR(COUNTA(B357:C361,E357:F361)&gt;0,OR(D356="X",D356="x")),B356,0)</f>
      </c>
      <c r="D371" s="14" t="str">
        <f>IF(OR(COUNTA(B341:C345,E341:F345)&gt;0,OR(D340="X",D340="x")),(IF(OR(D341="X",D341="x"),1,0)+IF(OR(D342="X",D342="x"),1,0)+IF(OR(D343="X",D343="x"),1,0)+IF(OR(D344="X",D344="x"),1,0)+IF(OR(D345="X",D345="x"),1,0)),0)+IF(OR(COUNTA(B357:C361,E357:F361)&gt;0,OR(D356="X",D356="x")),(IF(OR(D357="X",D357="x"),1,0)+IF(OR(D358="X",D358="x"),1,0)+IF(OR(D359="X",D359="x"),1,0)+IF(OR(D360="X",D360="x"),1,0)+IF(OR(D361="X",D361="x"),1,0)),0)</f>
      </c>
      <c r="E371" s="14" t="str">
        <f>C340+E356</f>
      </c>
      <c r="F371" s="14" t="str">
        <f>E340+C356</f>
      </c>
      <c r="I371" t="str">
        <f>data!$B$75</f>
      </c>
      <c r="J371" s="14" t="str">
        <f>IF(OR(COUNTA(J341:K345,M341:N345)&gt;0,OR(L340="X",L340="x")),J340,0)+IF(OR(COUNTA(J357:K361,M357:N361)&gt;0,OR(L356="X",L356="x")),N356,0)</f>
      </c>
      <c r="K371" s="14" t="str">
        <f>IF(OR(COUNTA(J341:K345,M341:N345)&gt;0,OR(L340="X",L340="x")),N340,0)+IF(OR(COUNTA(J357:K361,M357:N361)&gt;0,OR(L356="X",L356="x")),J356,0)</f>
      </c>
      <c r="L371" s="14" t="str">
        <f>IF(OR(COUNTA(J341:K345,M341:N345)&gt;0,OR(L340="X",L340="x")),(IF(OR(L341="X",L341="x"),1,0)+IF(OR(L342="X",L342="x"),1,0)+IF(OR(L343="X",L343="x"),1,0)+IF(OR(L344="X",L344="x"),1,0)+IF(OR(L345="X",L345="x"),1,0)),0)+IF(OR(COUNTA(J357:K361,M357:N361)&gt;0,OR(L356="X",L356="x")),(IF(OR(L357="X",L357="x"),1,0)+IF(OR(L358="X",L358="x"),1,0)+IF(OR(L359="X",L359="x"),1,0)+IF(OR(L360="X",L360="x"),1,0)+IF(OR(L361="X",L361="x"),1,0)),0)</f>
      </c>
      <c r="M371" s="14" t="str">
        <f>K340+M356</f>
      </c>
      <c r="N371" s="14" t="str">
        <f>M340+K356</f>
      </c>
    </row>
    <row r="372">
      <c r="A372" t="str">
        <f>data!$B$29</f>
      </c>
      <c r="B372" s="14" t="str">
        <f>IF(OR(COUNTA(B349:C353,E349:F353)&gt;0,OR(D348="X",D348="x")),B348,0)+IF(OR(COUNTA(B357:C361,E357:F361)&gt;0,OR(D356="X",D356="x")),B356,0)</f>
      </c>
      <c r="C372" s="14" t="str">
        <f>IF(OR(COUNTA(B349:C353,E349:F353)&gt;0,OR(D348="X",D348="x")),F348,0)+IF(OR(COUNTA(B357:C361,E357:F361)&gt;0,OR(D356="X",D356="x")),F356,0)</f>
      </c>
      <c r="D372" s="14" t="str">
        <f>IF(OR(COUNTA(B349:C353,E349:F353)&gt;0,OR(D348="X",D348="x")),(IF(OR(D349="X",D349="x"),1,0)+IF(OR(D350="X",D350="x"),1,0)+IF(OR(D351="X",D351="x"),1,0)+IF(OR(D352="X",D352="x"),1,0)+IF(OR(D353="X",D353="x"),1,0)),0)+IF(OR(COUNTA(B357:C361,E357:F361)&gt;0,OR(D356="X",D356="x")),(IF(OR(D357="X",D357="x"),1,0)+IF(OR(D358="X",D358="x"),1,0)+IF(OR(D359="X",D359="x"),1,0)+IF(OR(D360="X",D360="x"),1,0)+IF(OR(D361="X",D361="x"),1,0)),0)</f>
      </c>
      <c r="E372" s="14" t="str">
        <f>C348+C356</f>
      </c>
      <c r="F372" s="14" t="str">
        <f>E348+E356</f>
      </c>
      <c r="I372" t="str">
        <f>data!$B$76</f>
      </c>
      <c r="J372" s="14" t="str">
        <f>IF(OR(COUNTA(J349:K353,M349:N353)&gt;0,OR(L348="X",L348="x")),J348,0)+IF(OR(COUNTA(J357:K361,M357:N361)&gt;0,OR(L356="X",L356="x")),J356,0)</f>
      </c>
      <c r="K372" s="14" t="str">
        <f>IF(OR(COUNTA(J349:K353,M349:N353)&gt;0,OR(L348="X",L348="x")),N348,0)+IF(OR(COUNTA(J357:K361,M357:N361)&gt;0,OR(L356="X",L356="x")),N356,0)</f>
      </c>
      <c r="L372" s="14" t="str">
        <f>IF(OR(COUNTA(J349:K353,M349:N353)&gt;0,OR(L348="X",L348="x")),(IF(OR(L349="X",L349="x"),1,0)+IF(OR(L350="X",L350="x"),1,0)+IF(OR(L351="X",L351="x"),1,0)+IF(OR(L352="X",L352="x"),1,0)+IF(OR(L353="X",L353="x"),1,0)),0)+IF(OR(COUNTA(J357:K361,M357:N361)&gt;0,OR(L356="X",L356="x")),(IF(OR(L357="X",L357="x"),1,0)+IF(OR(L358="X",L358="x"),1,0)+IF(OR(L359="X",L359="x"),1,0)+IF(OR(L360="X",L360="x"),1,0)+IF(OR(L361="X",L361="x"),1,0)),0)</f>
      </c>
      <c r="M372" s="14" t="str">
        <f>K348+K356</f>
      </c>
      <c r="N372" s="14" t="str">
        <f>M348+M356</f>
      </c>
    </row>
    <row r="375">
      <c r="F375" s="13"/>
      <c r="G375" s="13" t="s">
        <v>250</v>
      </c>
      <c r="N375" s="13"/>
      <c r="O375" s="13" t="s">
        <v>250</v>
      </c>
    </row>
    <row r="376">
      <c r="F376" t="s">
        <v>251</v>
      </c>
      <c r="G376" s="19"/>
      <c r="N376" t="s">
        <v>251</v>
      </c>
      <c r="O376" s="19"/>
    </row>
    <row r="377">
      <c r="F377" t="s">
        <v>252</v>
      </c>
      <c r="G377" s="19"/>
      <c r="N377" t="s">
        <v>252</v>
      </c>
      <c r="O377" s="19"/>
    </row>
    <row r="378">
      <c r="F378" t="s">
        <v>253</v>
      </c>
      <c r="G378" s="19"/>
      <c r="N378" t="s">
        <v>253</v>
      </c>
      <c r="O378" s="19"/>
    </row>
    <row r="380">
      <c r="A380" s="13" t="str">
        <f>data!$A$32</f>
      </c>
      <c r="B380" s="13"/>
      <c r="C380" s="13"/>
      <c r="D380" s="13"/>
      <c r="E380" s="13"/>
      <c r="F380" s="13"/>
      <c r="G380" s="13"/>
      <c r="I380" s="13" t="str">
        <f>data!$A$79</f>
      </c>
      <c r="J380" s="13"/>
      <c r="K380" s="13"/>
      <c r="L380" s="13"/>
      <c r="M380" s="13"/>
      <c r="N380" s="13"/>
      <c r="O380" s="13"/>
    </row>
    <row r="381">
      <c r="A381" s="17" t="s">
        <v>239</v>
      </c>
      <c r="B381" s="14"/>
      <c r="C381" s="14"/>
      <c r="D381" s="14" t="s">
        <v>240</v>
      </c>
      <c r="E381" s="14"/>
      <c r="F381" s="14"/>
      <c r="G381" s="16" t="s">
        <v>241</v>
      </c>
      <c r="I381" s="17" t="s">
        <v>239</v>
      </c>
      <c r="J381" s="14"/>
      <c r="K381" s="14"/>
      <c r="L381" s="14" t="s">
        <v>240</v>
      </c>
      <c r="M381" s="14"/>
      <c r="N381" s="14"/>
      <c r="O381" s="16" t="s">
        <v>241</v>
      </c>
    </row>
    <row r="382">
      <c r="A382" s="14" t="str">
        <f>data!$B$31</f>
      </c>
      <c r="B382" s="18" t="str">
        <f>SUMPRODUCT((UPPER(D383:D387)&lt;&gt;"X")*((LEN(SUBSTITUTE(SUBSTITUTE(SUBSTITUTE(B383:B387," ",""),"0",""),"-",""))+LEN(SUBSTITUTE(SUBSTITUTE(SUBSTITUTE(C383:C387," ",""),"0",""),"-","")))&gt;(LEN(SUBSTITUTE(SUBSTITUTE(SUBSTITUTE(E383:E387," ",""),"0",""),"-",""))+LEN(SUBSTITUTE(SUBSTITUTE(SUBSTITUTE(F383:F387," ",""),"0",""),"-",""))))*1)</f>
      </c>
      <c r="C382" s="18" t="str">
        <f>SUMPRODUCT(LEN(SUBSTITUTE(SUBSTITUTE(SUBSTITUTE(B383:B387," ",""),"0",""),"-",""))+LEN(SUBSTITUTE(SUBSTITUTE(SUBSTITUTE(C383:C387," ",""),"0",""),"-","")))</f>
      </c>
      <c r="D382" s="18"/>
      <c r="E382" s="18" t="str">
        <f>SUMPRODUCT(LEN(SUBSTITUTE(SUBSTITUTE(SUBSTITUTE(E383:E387," ",""),"0",""),"-",""))+LEN(SUBSTITUTE(SUBSTITUTE(SUBSTITUTE(F383:F387," ",""),"0",""),"-","")))</f>
      </c>
      <c r="F382" s="18" t="str">
        <f>SUMPRODUCT((UPPER(D383:D387)&lt;&gt;"X")*((LEN(SUBSTITUTE(SUBSTITUTE(SUBSTITUTE(E383:E387," ",""),"0",""),"-",""))+LEN(SUBSTITUTE(SUBSTITUTE(SUBSTITUTE(F383:F387," ",""),"0",""),"-","")))&gt;(LEN(SUBSTITUTE(SUBSTITUTE(SUBSTITUTE(B383:B387," ",""),"0",""),"-",""))+LEN(SUBSTITUTE(SUBSTITUTE(SUBSTITUTE(C383:C387," ",""),"0",""),"-",""))))*1)</f>
      </c>
      <c r="G382" s="14" t="str">
        <f>data!$B$30</f>
      </c>
      <c r="I382" s="14" t="str">
        <f>data!$B$78</f>
      </c>
      <c r="J382" s="18" t="str">
        <f>SUMPRODUCT((UPPER(L383:L387)&lt;&gt;"X")*((LEN(SUBSTITUTE(SUBSTITUTE(SUBSTITUTE(J383:J387," ",""),"0",""),"-",""))+LEN(SUBSTITUTE(SUBSTITUTE(SUBSTITUTE(K383:K387," ",""),"0",""),"-","")))&gt;(LEN(SUBSTITUTE(SUBSTITUTE(SUBSTITUTE(M383:M387," ",""),"0",""),"-",""))+LEN(SUBSTITUTE(SUBSTITUTE(SUBSTITUTE(N383:N387," ",""),"0",""),"-",""))))*1)</f>
      </c>
      <c r="K382" s="18" t="str">
        <f>SUMPRODUCT(LEN(SUBSTITUTE(SUBSTITUTE(SUBSTITUTE(J383:J387," ",""),"0",""),"-",""))+LEN(SUBSTITUTE(SUBSTITUTE(SUBSTITUTE(K383:K387," ",""),"0",""),"-","")))</f>
      </c>
      <c r="L382" s="18"/>
      <c r="M382" s="18" t="str">
        <f>SUMPRODUCT(LEN(SUBSTITUTE(SUBSTITUTE(SUBSTITUTE(M383:M387," ",""),"0",""),"-",""))+LEN(SUBSTITUTE(SUBSTITUTE(SUBSTITUTE(N383:N387," ",""),"0",""),"-","")))</f>
      </c>
      <c r="N382" s="18" t="str">
        <f>SUMPRODUCT((UPPER(L383:L387)&lt;&gt;"X")*((LEN(SUBSTITUTE(SUBSTITUTE(SUBSTITUTE(M383:M387," ",""),"0",""),"-",""))+LEN(SUBSTITUTE(SUBSTITUTE(SUBSTITUTE(N383:N387," ",""),"0",""),"-","")))&gt;(LEN(SUBSTITUTE(SUBSTITUTE(SUBSTITUTE(J383:J387," ",""),"0",""),"-",""))+LEN(SUBSTITUTE(SUBSTITUTE(SUBSTITUTE(K383:K387," ",""),"0",""),"-",""))))*1)</f>
      </c>
      <c r="O382" s="14" t="str">
        <f>data!$B$77</f>
      </c>
    </row>
    <row r="383">
      <c r="A383" s="18">
        <v>1</v>
      </c>
      <c r="B383" s="18"/>
      <c r="C383" s="18"/>
      <c r="D383" s="18"/>
      <c r="E383" s="18"/>
      <c r="F383" s="18"/>
      <c r="G383" s="18">
        <v>1</v>
      </c>
      <c r="I383" s="18">
        <v>1</v>
      </c>
      <c r="J383" s="18"/>
      <c r="K383" s="18"/>
      <c r="L383" s="18"/>
      <c r="M383" s="18"/>
      <c r="N383" s="18"/>
      <c r="O383" s="18">
        <v>1</v>
      </c>
    </row>
    <row r="384">
      <c r="A384" s="18">
        <v>2</v>
      </c>
      <c r="B384" s="18"/>
      <c r="C384" s="18"/>
      <c r="D384" s="18"/>
      <c r="E384" s="18"/>
      <c r="F384" s="18"/>
      <c r="G384" s="18">
        <v>2</v>
      </c>
      <c r="I384" s="18">
        <v>2</v>
      </c>
      <c r="J384" s="18"/>
      <c r="K384" s="18"/>
      <c r="L384" s="18"/>
      <c r="M384" s="18"/>
      <c r="N384" s="18"/>
      <c r="O384" s="18">
        <v>2</v>
      </c>
    </row>
    <row r="385">
      <c r="A385" s="18">
        <v>3</v>
      </c>
      <c r="B385" s="18"/>
      <c r="C385" s="18"/>
      <c r="D385" s="18"/>
      <c r="E385" s="18"/>
      <c r="F385" s="18"/>
      <c r="G385" s="18">
        <v>3</v>
      </c>
      <c r="I385" s="18">
        <v>3</v>
      </c>
      <c r="J385" s="18"/>
      <c r="K385" s="18"/>
      <c r="L385" s="18"/>
      <c r="M385" s="18"/>
      <c r="N385" s="18"/>
      <c r="O385" s="18">
        <v>3</v>
      </c>
    </row>
    <row r="386">
      <c r="A386" s="18">
        <v>4</v>
      </c>
      <c r="B386" s="18"/>
      <c r="C386" s="18"/>
      <c r="D386" s="18"/>
      <c r="E386" s="18"/>
      <c r="F386" s="18"/>
      <c r="G386" s="18">
        <v>4</v>
      </c>
      <c r="I386" s="18">
        <v>4</v>
      </c>
      <c r="J386" s="18"/>
      <c r="K386" s="18"/>
      <c r="L386" s="18"/>
      <c r="M386" s="18"/>
      <c r="N386" s="18"/>
      <c r="O386" s="18">
        <v>4</v>
      </c>
    </row>
    <row r="387">
      <c r="A387" s="18">
        <v>5</v>
      </c>
      <c r="B387" s="18"/>
      <c r="C387" s="18"/>
      <c r="D387" s="18"/>
      <c r="E387" s="18"/>
      <c r="F387" s="18"/>
      <c r="G387" s="18">
        <v>5</v>
      </c>
      <c r="I387" s="18">
        <v>5</v>
      </c>
      <c r="J387" s="18"/>
      <c r="K387" s="18"/>
      <c r="L387" s="18"/>
      <c r="M387" s="18"/>
      <c r="N387" s="18"/>
      <c r="O387" s="18">
        <v>5</v>
      </c>
    </row>
    <row r="389">
      <c r="A389" s="17" t="s">
        <v>239</v>
      </c>
      <c r="B389" s="14"/>
      <c r="C389" s="14"/>
      <c r="D389" s="14" t="s">
        <v>240</v>
      </c>
      <c r="E389" s="14"/>
      <c r="F389" s="14"/>
      <c r="G389" s="16" t="s">
        <v>241</v>
      </c>
      <c r="I389" s="17" t="s">
        <v>239</v>
      </c>
      <c r="J389" s="14"/>
      <c r="K389" s="14"/>
      <c r="L389" s="14" t="s">
        <v>240</v>
      </c>
      <c r="M389" s="14"/>
      <c r="N389" s="14"/>
      <c r="O389" s="16" t="s">
        <v>241</v>
      </c>
    </row>
    <row r="390">
      <c r="A390" s="14" t="str">
        <f>data!$B$32</f>
      </c>
      <c r="B390" s="18" t="str">
        <f>SUMPRODUCT((UPPER(D391:D395)&lt;&gt;"X")*((LEN(SUBSTITUTE(SUBSTITUTE(SUBSTITUTE(B391:B395," ",""),"0",""),"-",""))+LEN(SUBSTITUTE(SUBSTITUTE(SUBSTITUTE(C391:C395," ",""),"0",""),"-","")))&gt;(LEN(SUBSTITUTE(SUBSTITUTE(SUBSTITUTE(E391:E395," ",""),"0",""),"-",""))+LEN(SUBSTITUTE(SUBSTITUTE(SUBSTITUTE(F391:F395," ",""),"0",""),"-",""))))*1)</f>
      </c>
      <c r="C390" s="18" t="str">
        <f>SUMPRODUCT(LEN(SUBSTITUTE(SUBSTITUTE(SUBSTITUTE(B391:B395," ",""),"0",""),"-",""))+LEN(SUBSTITUTE(SUBSTITUTE(SUBSTITUTE(C391:C395," ",""),"0",""),"-","")))</f>
      </c>
      <c r="D390" s="18"/>
      <c r="E390" s="18" t="str">
        <f>SUMPRODUCT(LEN(SUBSTITUTE(SUBSTITUTE(SUBSTITUTE(E391:E395," ",""),"0",""),"-",""))+LEN(SUBSTITUTE(SUBSTITUTE(SUBSTITUTE(F391:F395," ",""),"0",""),"-","")))</f>
      </c>
      <c r="F390" s="18" t="str">
        <f>SUMPRODUCT((UPPER(D391:D395)&lt;&gt;"X")*((LEN(SUBSTITUTE(SUBSTITUTE(SUBSTITUTE(E391:E395," ",""),"0",""),"-",""))+LEN(SUBSTITUTE(SUBSTITUTE(SUBSTITUTE(F391:F395," ",""),"0",""),"-","")))&gt;(LEN(SUBSTITUTE(SUBSTITUTE(SUBSTITUTE(B391:B395," ",""),"0",""),"-",""))+LEN(SUBSTITUTE(SUBSTITUTE(SUBSTITUTE(C391:C395," ",""),"0",""),"-",""))))*1)</f>
      </c>
      <c r="G390" s="14" t="str">
        <f>data!$B$30</f>
      </c>
      <c r="I390" s="14" t="str">
        <f>data!$B$79</f>
      </c>
      <c r="J390" s="18" t="str">
        <f>SUMPRODUCT((UPPER(L391:L395)&lt;&gt;"X")*((LEN(SUBSTITUTE(SUBSTITUTE(SUBSTITUTE(J391:J395," ",""),"0",""),"-",""))+LEN(SUBSTITUTE(SUBSTITUTE(SUBSTITUTE(K391:K395," ",""),"0",""),"-","")))&gt;(LEN(SUBSTITUTE(SUBSTITUTE(SUBSTITUTE(M391:M395," ",""),"0",""),"-",""))+LEN(SUBSTITUTE(SUBSTITUTE(SUBSTITUTE(N391:N395," ",""),"0",""),"-",""))))*1)</f>
      </c>
      <c r="K390" s="18" t="str">
        <f>SUMPRODUCT(LEN(SUBSTITUTE(SUBSTITUTE(SUBSTITUTE(J391:J395," ",""),"0",""),"-",""))+LEN(SUBSTITUTE(SUBSTITUTE(SUBSTITUTE(K391:K395," ",""),"0",""),"-","")))</f>
      </c>
      <c r="L390" s="18"/>
      <c r="M390" s="18" t="str">
        <f>SUMPRODUCT(LEN(SUBSTITUTE(SUBSTITUTE(SUBSTITUTE(M391:M395," ",""),"0",""),"-",""))+LEN(SUBSTITUTE(SUBSTITUTE(SUBSTITUTE(N391:N395," ",""),"0",""),"-","")))</f>
      </c>
      <c r="N390" s="18" t="str">
        <f>SUMPRODUCT((UPPER(L391:L395)&lt;&gt;"X")*((LEN(SUBSTITUTE(SUBSTITUTE(SUBSTITUTE(M391:M395," ",""),"0",""),"-",""))+LEN(SUBSTITUTE(SUBSTITUTE(SUBSTITUTE(N391:N395," ",""),"0",""),"-","")))&gt;(LEN(SUBSTITUTE(SUBSTITUTE(SUBSTITUTE(J391:J395," ",""),"0",""),"-",""))+LEN(SUBSTITUTE(SUBSTITUTE(SUBSTITUTE(K391:K395," ",""),"0",""),"-",""))))*1)</f>
      </c>
      <c r="O390" s="14" t="str">
        <f>data!$B$77</f>
      </c>
    </row>
    <row r="391">
      <c r="A391" s="18">
        <v>1</v>
      </c>
      <c r="B391" s="18"/>
      <c r="C391" s="18"/>
      <c r="D391" s="18"/>
      <c r="E391" s="18"/>
      <c r="F391" s="18"/>
      <c r="G391" s="18">
        <v>1</v>
      </c>
      <c r="I391" s="18">
        <v>1</v>
      </c>
      <c r="J391" s="18"/>
      <c r="K391" s="18"/>
      <c r="L391" s="18"/>
      <c r="M391" s="18"/>
      <c r="N391" s="18"/>
      <c r="O391" s="18">
        <v>1</v>
      </c>
    </row>
    <row r="392">
      <c r="A392" s="18">
        <v>2</v>
      </c>
      <c r="B392" s="18"/>
      <c r="C392" s="18"/>
      <c r="D392" s="18"/>
      <c r="E392" s="18"/>
      <c r="F392" s="18"/>
      <c r="G392" s="18">
        <v>2</v>
      </c>
      <c r="I392" s="18">
        <v>2</v>
      </c>
      <c r="J392" s="18"/>
      <c r="K392" s="18"/>
      <c r="L392" s="18"/>
      <c r="M392" s="18"/>
      <c r="N392" s="18"/>
      <c r="O392" s="18">
        <v>2</v>
      </c>
    </row>
    <row r="393">
      <c r="A393" s="18">
        <v>3</v>
      </c>
      <c r="B393" s="18"/>
      <c r="C393" s="18"/>
      <c r="D393" s="18"/>
      <c r="E393" s="18"/>
      <c r="F393" s="18"/>
      <c r="G393" s="18">
        <v>3</v>
      </c>
      <c r="I393" s="18">
        <v>3</v>
      </c>
      <c r="J393" s="18"/>
      <c r="K393" s="18"/>
      <c r="L393" s="18"/>
      <c r="M393" s="18"/>
      <c r="N393" s="18"/>
      <c r="O393" s="18">
        <v>3</v>
      </c>
    </row>
    <row r="394">
      <c r="A394" s="18">
        <v>4</v>
      </c>
      <c r="B394" s="18"/>
      <c r="C394" s="18"/>
      <c r="D394" s="18"/>
      <c r="E394" s="18"/>
      <c r="F394" s="18"/>
      <c r="G394" s="18">
        <v>4</v>
      </c>
      <c r="I394" s="18">
        <v>4</v>
      </c>
      <c r="J394" s="18"/>
      <c r="K394" s="18"/>
      <c r="L394" s="18"/>
      <c r="M394" s="18"/>
      <c r="N394" s="18"/>
      <c r="O394" s="18">
        <v>4</v>
      </c>
    </row>
    <row r="395">
      <c r="A395" s="18">
        <v>5</v>
      </c>
      <c r="B395" s="18"/>
      <c r="C395" s="18"/>
      <c r="D395" s="18"/>
      <c r="E395" s="18"/>
      <c r="F395" s="18"/>
      <c r="G395" s="18">
        <v>5</v>
      </c>
      <c r="I395" s="18">
        <v>5</v>
      </c>
      <c r="J395" s="18"/>
      <c r="K395" s="18"/>
      <c r="L395" s="18"/>
      <c r="M395" s="18"/>
      <c r="N395" s="18"/>
      <c r="O395" s="18">
        <v>5</v>
      </c>
    </row>
    <row r="397">
      <c r="A397" s="17" t="s">
        <v>239</v>
      </c>
      <c r="B397" s="14"/>
      <c r="C397" s="14"/>
      <c r="D397" s="14" t="s">
        <v>240</v>
      </c>
      <c r="E397" s="14"/>
      <c r="F397" s="14"/>
      <c r="G397" s="16" t="s">
        <v>241</v>
      </c>
      <c r="I397" s="17" t="s">
        <v>239</v>
      </c>
      <c r="J397" s="14"/>
      <c r="K397" s="14"/>
      <c r="L397" s="14" t="s">
        <v>240</v>
      </c>
      <c r="M397" s="14"/>
      <c r="N397" s="14"/>
      <c r="O397" s="16" t="s">
        <v>241</v>
      </c>
    </row>
    <row r="398">
      <c r="A398" s="14" t="str">
        <f>data!$B$32</f>
      </c>
      <c r="B398" s="18" t="str">
        <f>SUMPRODUCT((UPPER(D399:D403)&lt;&gt;"X")*((LEN(SUBSTITUTE(SUBSTITUTE(SUBSTITUTE(B399:B403," ",""),"0",""),"-",""))+LEN(SUBSTITUTE(SUBSTITUTE(SUBSTITUTE(C399:C403," ",""),"0",""),"-","")))&gt;(LEN(SUBSTITUTE(SUBSTITUTE(SUBSTITUTE(E399:E403," ",""),"0",""),"-",""))+LEN(SUBSTITUTE(SUBSTITUTE(SUBSTITUTE(F399:F403," ",""),"0",""),"-",""))))*1)</f>
      </c>
      <c r="C398" s="18" t="str">
        <f>SUMPRODUCT(LEN(SUBSTITUTE(SUBSTITUTE(SUBSTITUTE(B399:B403," ",""),"0",""),"-",""))+LEN(SUBSTITUTE(SUBSTITUTE(SUBSTITUTE(C399:C403," ",""),"0",""),"-","")))</f>
      </c>
      <c r="D398" s="18"/>
      <c r="E398" s="18" t="str">
        <f>SUMPRODUCT(LEN(SUBSTITUTE(SUBSTITUTE(SUBSTITUTE(E399:E403," ",""),"0",""),"-",""))+LEN(SUBSTITUTE(SUBSTITUTE(SUBSTITUTE(F399:F403," ",""),"0",""),"-","")))</f>
      </c>
      <c r="F398" s="18" t="str">
        <f>SUMPRODUCT((UPPER(D399:D403)&lt;&gt;"X")*((LEN(SUBSTITUTE(SUBSTITUTE(SUBSTITUTE(E399:E403," ",""),"0",""),"-",""))+LEN(SUBSTITUTE(SUBSTITUTE(SUBSTITUTE(F399:F403," ",""),"0",""),"-","")))&gt;(LEN(SUBSTITUTE(SUBSTITUTE(SUBSTITUTE(B399:B403," ",""),"0",""),"-",""))+LEN(SUBSTITUTE(SUBSTITUTE(SUBSTITUTE(C399:C403," ",""),"0",""),"-",""))))*1)</f>
      </c>
      <c r="G398" s="14" t="str">
        <f>data!$B$31</f>
      </c>
      <c r="I398" s="14" t="str">
        <f>data!$B$79</f>
      </c>
      <c r="J398" s="18" t="str">
        <f>SUMPRODUCT((UPPER(L399:L403)&lt;&gt;"X")*((LEN(SUBSTITUTE(SUBSTITUTE(SUBSTITUTE(J399:J403," ",""),"0",""),"-",""))+LEN(SUBSTITUTE(SUBSTITUTE(SUBSTITUTE(K399:K403," ",""),"0",""),"-","")))&gt;(LEN(SUBSTITUTE(SUBSTITUTE(SUBSTITUTE(M399:M403," ",""),"0",""),"-",""))+LEN(SUBSTITUTE(SUBSTITUTE(SUBSTITUTE(N399:N403," ",""),"0",""),"-",""))))*1)</f>
      </c>
      <c r="K398" s="18" t="str">
        <f>SUMPRODUCT(LEN(SUBSTITUTE(SUBSTITUTE(SUBSTITUTE(J399:J403," ",""),"0",""),"-",""))+LEN(SUBSTITUTE(SUBSTITUTE(SUBSTITUTE(K399:K403," ",""),"0",""),"-","")))</f>
      </c>
      <c r="L398" s="18"/>
      <c r="M398" s="18" t="str">
        <f>SUMPRODUCT(LEN(SUBSTITUTE(SUBSTITUTE(SUBSTITUTE(M399:M403," ",""),"0",""),"-",""))+LEN(SUBSTITUTE(SUBSTITUTE(SUBSTITUTE(N399:N403," ",""),"0",""),"-","")))</f>
      </c>
      <c r="N398" s="18" t="str">
        <f>SUMPRODUCT((UPPER(L399:L403)&lt;&gt;"X")*((LEN(SUBSTITUTE(SUBSTITUTE(SUBSTITUTE(M399:M403," ",""),"0",""),"-",""))+LEN(SUBSTITUTE(SUBSTITUTE(SUBSTITUTE(N399:N403," ",""),"0",""),"-","")))&gt;(LEN(SUBSTITUTE(SUBSTITUTE(SUBSTITUTE(J399:J403," ",""),"0",""),"-",""))+LEN(SUBSTITUTE(SUBSTITUTE(SUBSTITUTE(K399:K403," ",""),"0",""),"-",""))))*1)</f>
      </c>
      <c r="O398" s="14" t="str">
        <f>data!$B$78</f>
      </c>
    </row>
    <row r="399">
      <c r="A399" s="18">
        <v>1</v>
      </c>
      <c r="B399" s="18"/>
      <c r="C399" s="18"/>
      <c r="D399" s="18"/>
      <c r="E399" s="18"/>
      <c r="F399" s="18"/>
      <c r="G399" s="18">
        <v>1</v>
      </c>
      <c r="I399" s="18">
        <v>1</v>
      </c>
      <c r="J399" s="18"/>
      <c r="K399" s="18"/>
      <c r="L399" s="18"/>
      <c r="M399" s="18"/>
      <c r="N399" s="18"/>
      <c r="O399" s="18">
        <v>1</v>
      </c>
    </row>
    <row r="400">
      <c r="A400" s="18">
        <v>2</v>
      </c>
      <c r="B400" s="18"/>
      <c r="C400" s="18"/>
      <c r="D400" s="18"/>
      <c r="E400" s="18"/>
      <c r="F400" s="18"/>
      <c r="G400" s="18">
        <v>2</v>
      </c>
      <c r="I400" s="18">
        <v>2</v>
      </c>
      <c r="J400" s="18"/>
      <c r="K400" s="18"/>
      <c r="L400" s="18"/>
      <c r="M400" s="18"/>
      <c r="N400" s="18"/>
      <c r="O400" s="18">
        <v>2</v>
      </c>
    </row>
    <row r="401">
      <c r="A401" s="18">
        <v>3</v>
      </c>
      <c r="B401" s="18"/>
      <c r="C401" s="18"/>
      <c r="D401" s="18"/>
      <c r="E401" s="18"/>
      <c r="F401" s="18"/>
      <c r="G401" s="18">
        <v>3</v>
      </c>
      <c r="I401" s="18">
        <v>3</v>
      </c>
      <c r="J401" s="18"/>
      <c r="K401" s="18"/>
      <c r="L401" s="18"/>
      <c r="M401" s="18"/>
      <c r="N401" s="18"/>
      <c r="O401" s="18">
        <v>3</v>
      </c>
    </row>
    <row r="402">
      <c r="A402" s="18">
        <v>4</v>
      </c>
      <c r="B402" s="18"/>
      <c r="C402" s="18"/>
      <c r="D402" s="18"/>
      <c r="E402" s="18"/>
      <c r="F402" s="18"/>
      <c r="G402" s="18">
        <v>4</v>
      </c>
      <c r="I402" s="18">
        <v>4</v>
      </c>
      <c r="J402" s="18"/>
      <c r="K402" s="18"/>
      <c r="L402" s="18"/>
      <c r="M402" s="18"/>
      <c r="N402" s="18"/>
      <c r="O402" s="18">
        <v>4</v>
      </c>
    </row>
    <row r="403">
      <c r="A403" s="18">
        <v>5</v>
      </c>
      <c r="B403" s="18"/>
      <c r="C403" s="18"/>
      <c r="D403" s="18"/>
      <c r="E403" s="18"/>
      <c r="F403" s="18"/>
      <c r="G403" s="18">
        <v>5</v>
      </c>
      <c r="I403" s="18">
        <v>5</v>
      </c>
      <c r="J403" s="18"/>
      <c r="K403" s="18"/>
      <c r="L403" s="18"/>
      <c r="M403" s="18"/>
      <c r="N403" s="18"/>
      <c r="O403" s="18">
        <v>5</v>
      </c>
    </row>
    <row r="406">
      <c r="A406" s="13"/>
      <c r="B406" s="13" t="s">
        <v>242</v>
      </c>
      <c r="C406" s="13" t="s">
        <v>243</v>
      </c>
      <c r="D406" s="13" t="s">
        <v>244</v>
      </c>
      <c r="I406" s="13"/>
      <c r="J406" s="13" t="s">
        <v>242</v>
      </c>
      <c r="K406" s="13" t="s">
        <v>243</v>
      </c>
      <c r="L406" s="13" t="s">
        <v>244</v>
      </c>
    </row>
    <row r="407">
      <c r="A407" t="str">
        <f>data!$B$30</f>
      </c>
      <c r="B407" s="14" t="str">
        <f>IF(OR(COUNTA(B383:C387,E383:F387)&gt;0,OR(D382="X",D382="x")),IF(OR(D382="X",D382="x"),0,IF(OR(F382&gt;B382,AND(F382=B382,E382&gt;C382)),1,0)),0)+IF(OR(COUNTA(B391:C395,E391:F395)&gt;0,OR(D390="X",D390="x")),IF(OR(D390="X",D390="x"),0,IF(OR(F390&gt;B390,AND(F390=B390,E390&gt;C390)),1,0)),0)</f>
      </c>
      <c r="C407" s="14" t="str">
        <f>IF(OR(COUNTA(B383:C387,E383:F387)&gt;0,OR(D382="X",D382="x")),IF(OR(D382="X",D382="x"),0,IF(OR(F382&lt;B382,AND(F382=B382,E382&lt;C382)),1,0)),0)+IF(OR(COUNTA(B391:C395,E391:F395)&gt;0,OR(D390="X",D390="x")),IF(OR(D390="X",D390="x"),0,IF(OR(F390&lt;B390,AND(F390=B390,E390&lt;C390)),1,0)),0)</f>
      </c>
      <c r="D407" s="14" t="str">
        <f>IF(OR(COUNTA(B383:C387,E383:F387)&gt;0,OR(D382="X",D382="x")),IF(OR(D382="X",D382="x"),1,0),0)+IF(OR(COUNTA(B391:C395,E391:F395)&gt;0,OR(D390="X",D390="x")),IF(OR(D390="X",D390="x"),1,0),0)</f>
      </c>
      <c r="I407" t="str">
        <f>data!$B$77</f>
      </c>
      <c r="J407" s="14" t="str">
        <f>IF(OR(COUNTA(J383:K387,M383:N387)&gt;0,OR(L382="X",L382="x")),IF(OR(L382="X",L382="x"),0,IF(OR(N382&gt;J382,AND(N382=J382,M382&gt;K382)),1,0)),0)+IF(OR(COUNTA(J391:K395,M391:N395)&gt;0,OR(L390="X",L390="x")),IF(OR(L390="X",L390="x"),0,IF(OR(N390&gt;J390,AND(N390=J390,M390&gt;K390)),1,0)),0)</f>
      </c>
      <c r="K407" s="14" t="str">
        <f>IF(OR(COUNTA(J383:K387,M383:N387)&gt;0,OR(L382="X",L382="x")),IF(OR(L382="X",L382="x"),0,IF(OR(N382&lt;J382,AND(N382=J382,M382&lt;K382)),1,0)),0)+IF(OR(COUNTA(J391:K395,M391:N395)&gt;0,OR(L390="X",L390="x")),IF(OR(L390="X",L390="x"),0,IF(OR(N390&lt;J390,AND(N390=J390,M390&lt;K390)),1,0)),0)</f>
      </c>
      <c r="L407" s="14" t="str">
        <f>IF(OR(COUNTA(J383:K387,M383:N387)&gt;0,OR(L382="X",L382="x")),IF(OR(L382="X",L382="x"),1,0),0)+IF(OR(COUNTA(J391:K395,M391:N395)&gt;0,OR(L390="X",L390="x")),IF(OR(L390="X",L390="x"),1,0),0)</f>
      </c>
    </row>
    <row r="408">
      <c r="A408" t="str">
        <f>data!$B$31</f>
      </c>
      <c r="B408" s="14" t="str">
        <f>IF(OR(COUNTA(B383:C387,E383:F387)&gt;0,OR(D382="X",D382="x")),IF(OR(D382="X",D382="x"),0,IF(OR(B382&gt;F382,AND(B382=F382,C382&gt;E382)),1,0)),0)+IF(OR(COUNTA(B399:C403,E399:F403)&gt;0,OR(D398="X",D398="x")),IF(OR(D398="X",D398="x"),0,IF(OR(F398&gt;B398,AND(F398=B398,E398&gt;C398)),1,0)),0)</f>
      </c>
      <c r="C408" s="14" t="str">
        <f>IF(OR(COUNTA(B383:C387,E383:F387)&gt;0,OR(D382="X",D382="x")),IF(OR(D382="X",D382="x"),0,IF(OR(B382&lt;F382,AND(B382=F382,C382&lt;E382)),1,0)),0)+IF(OR(COUNTA(B399:C403,E399:F403)&gt;0,OR(D398="X",D398="x")),IF(OR(D398="X",D398="x"),0,IF(OR(F398&lt;B398,AND(F398=B398,E398&lt;C398)),1,0)),0)</f>
      </c>
      <c r="D408" s="14" t="str">
        <f>IF(OR(COUNTA(B383:C387,E383:F387)&gt;0,OR(D382="X",D382="x")),IF(OR(D382="X",D382="x"),1,0),0)+IF(OR(COUNTA(B399:C403,E399:F403)&gt;0,OR(D398="X",D398="x")),IF(OR(D398="X",D398="x"),1,0),0)</f>
      </c>
      <c r="I408" t="str">
        <f>data!$B$78</f>
      </c>
      <c r="J408" s="14" t="str">
        <f>IF(OR(COUNTA(J383:K387,M383:N387)&gt;0,OR(L382="X",L382="x")),IF(OR(L382="X",L382="x"),0,IF(OR(J382&gt;N382,AND(J382=N382,K382&gt;M382)),1,0)),0)+IF(OR(COUNTA(J399:K403,M399:N403)&gt;0,OR(L398="X",L398="x")),IF(OR(L398="X",L398="x"),0,IF(OR(N398&gt;J398,AND(N398=J398,M398&gt;K398)),1,0)),0)</f>
      </c>
      <c r="K408" s="14" t="str">
        <f>IF(OR(COUNTA(J383:K387,M383:N387)&gt;0,OR(L382="X",L382="x")),IF(OR(L382="X",L382="x"),0,IF(OR(J382&lt;N382,AND(J382=N382,K382&lt;M382)),1,0)),0)+IF(OR(COUNTA(J399:K403,M399:N403)&gt;0,OR(L398="X",L398="x")),IF(OR(L398="X",L398="x"),0,IF(OR(N398&lt;J398,AND(N398=J398,M398&lt;K398)),1,0)),0)</f>
      </c>
      <c r="L408" s="14" t="str">
        <f>IF(OR(COUNTA(J383:K387,M383:N387)&gt;0,OR(L382="X",L382="x")),IF(OR(L382="X",L382="x"),1,0),0)+IF(OR(COUNTA(J399:K403,M399:N403)&gt;0,OR(L398="X",L398="x")),IF(OR(L398="X",L398="x"),1,0),0)</f>
      </c>
    </row>
    <row r="409">
      <c r="A409" t="str">
        <f>data!$B$32</f>
      </c>
      <c r="B409" s="14" t="str">
        <f>IF(OR(COUNTA(B391:C395,E391:F395)&gt;0,OR(D390="X",D390="x")),IF(OR(D390="X",D390="x"),0,IF(OR(B390&gt;F390,AND(B390=F390,C390&gt;E390)),1,0)),0)+IF(OR(COUNTA(B399:C403,E399:F403)&gt;0,OR(D398="X",D398="x")),IF(OR(D398="X",D398="x"),0,IF(OR(B398&gt;F398,AND(B398=F398,C398&gt;E398)),1,0)),0)</f>
      </c>
      <c r="C409" s="14" t="str">
        <f>IF(OR(COUNTA(B391:C395,E391:F395)&gt;0,OR(D390="X",D390="x")),IF(OR(D390="X",D390="x"),0,IF(OR(B390&lt;F390,AND(B390=F390,C390&lt;E390)),1,0)),0)+IF(OR(COUNTA(B399:C403,E399:F403)&gt;0,OR(D398="X",D398="x")),IF(OR(D398="X",D398="x"),0,IF(OR(B398&lt;F398,AND(B398=F398,C398&lt;E398)),1,0)),0)</f>
      </c>
      <c r="D409" s="14" t="str">
        <f>IF(OR(COUNTA(B391:C395,E391:F395)&gt;0,OR(D390="X",D390="x")),IF(OR(D390="X",D390="x"),1,0),0)+IF(OR(COUNTA(B399:C403,E399:F403)&gt;0,OR(D398="X",D398="x")),IF(OR(D398="X",D398="x"),1,0),0)</f>
      </c>
      <c r="I409" t="str">
        <f>data!$B$79</f>
      </c>
      <c r="J409" s="14" t="str">
        <f>IF(OR(COUNTA(J391:K395,M391:N395)&gt;0,OR(L390="X",L390="x")),IF(OR(L390="X",L390="x"),0,IF(OR(J390&gt;N390,AND(J390=N390,K390&gt;M390)),1,0)),0)+IF(OR(COUNTA(J399:K403,M399:N403)&gt;0,OR(L398="X",L398="x")),IF(OR(L398="X",L398="x"),0,IF(OR(J398&gt;N398,AND(J398=N398,K398&gt;M398)),1,0)),0)</f>
      </c>
      <c r="K409" s="14" t="str">
        <f>IF(OR(COUNTA(J391:K395,M391:N395)&gt;0,OR(L390="X",L390="x")),IF(OR(L390="X",L390="x"),0,IF(OR(J390&lt;N390,AND(J390=N390,K390&lt;M390)),1,0)),0)+IF(OR(COUNTA(J399:K403,M399:N403)&gt;0,OR(L398="X",L398="x")),IF(OR(L398="X",L398="x"),0,IF(OR(J398&lt;N398,AND(J398=N398,K398&lt;M398)),1,0)),0)</f>
      </c>
      <c r="L409" s="14" t="str">
        <f>IF(OR(COUNTA(J391:K395,M391:N395)&gt;0,OR(L390="X",L390="x")),IF(OR(L390="X",L390="x"),1,0),0)+IF(OR(COUNTA(J399:K403,M399:N403)&gt;0,OR(L398="X",L398="x")),IF(OR(L398="X",L398="x"),1,0),0)</f>
      </c>
    </row>
    <row r="411">
      <c r="A411" s="13"/>
      <c r="B411" s="13" t="s">
        <v>245</v>
      </c>
      <c r="C411" s="13" t="s">
        <v>246</v>
      </c>
      <c r="D411" s="13" t="s">
        <v>247</v>
      </c>
      <c r="E411" s="13" t="s">
        <v>248</v>
      </c>
      <c r="F411" s="13" t="s">
        <v>249</v>
      </c>
      <c r="I411" s="13"/>
      <c r="J411" s="13" t="s">
        <v>245</v>
      </c>
      <c r="K411" s="13" t="s">
        <v>246</v>
      </c>
      <c r="L411" s="13" t="s">
        <v>247</v>
      </c>
      <c r="M411" s="13" t="s">
        <v>248</v>
      </c>
      <c r="N411" s="13" t="s">
        <v>249</v>
      </c>
    </row>
    <row r="412">
      <c r="A412" t="str">
        <f>data!$B$30</f>
      </c>
      <c r="B412" s="14" t="str">
        <f>IF(OR(COUNTA(B383:C387,E383:F387)&gt;0,OR(D382="X",D382="x")),F382,0)+IF(OR(COUNTA(B391:C395,E391:F395)&gt;0,OR(D390="X",D390="x")),F390,0)</f>
      </c>
      <c r="C412" s="14" t="str">
        <f>IF(OR(COUNTA(B383:C387,E383:F387)&gt;0,OR(D382="X",D382="x")),B382,0)+IF(OR(COUNTA(B391:C395,E391:F395)&gt;0,OR(D390="X",D390="x")),B390,0)</f>
      </c>
      <c r="D412" s="14" t="str">
        <f>IF(OR(COUNTA(B383:C387,E383:F387)&gt;0,OR(D382="X",D382="x")),(IF(OR(D383="X",D383="x"),1,0)+IF(OR(D384="X",D384="x"),1,0)+IF(OR(D385="X",D385="x"),1,0)+IF(OR(D386="X",D386="x"),1,0)+IF(OR(D387="X",D387="x"),1,0)),0)+IF(OR(COUNTA(B391:C395,E391:F395)&gt;0,OR(D390="X",D390="x")),(IF(OR(D391="X",D391="x"),1,0)+IF(OR(D392="X",D392="x"),1,0)+IF(OR(D393="X",D393="x"),1,0)+IF(OR(D394="X",D394="x"),1,0)+IF(OR(D395="X",D395="x"),1,0)),0)</f>
      </c>
      <c r="E412" s="14" t="str">
        <f>E382+E390</f>
      </c>
      <c r="F412" s="14" t="str">
        <f>C382+C390</f>
      </c>
      <c r="I412" t="str">
        <f>data!$B$77</f>
      </c>
      <c r="J412" s="14" t="str">
        <f>IF(OR(COUNTA(J383:K387,M383:N387)&gt;0,OR(L382="X",L382="x")),N382,0)+IF(OR(COUNTA(J391:K395,M391:N395)&gt;0,OR(L390="X",L390="x")),N390,0)</f>
      </c>
      <c r="K412" s="14" t="str">
        <f>IF(OR(COUNTA(J383:K387,M383:N387)&gt;0,OR(L382="X",L382="x")),J382,0)+IF(OR(COUNTA(J391:K395,M391:N395)&gt;0,OR(L390="X",L390="x")),J390,0)</f>
      </c>
      <c r="L412" s="14" t="str">
        <f>IF(OR(COUNTA(J383:K387,M383:N387)&gt;0,OR(L382="X",L382="x")),(IF(OR(L383="X",L383="x"),1,0)+IF(OR(L384="X",L384="x"),1,0)+IF(OR(L385="X",L385="x"),1,0)+IF(OR(L386="X",L386="x"),1,0)+IF(OR(L387="X",L387="x"),1,0)),0)+IF(OR(COUNTA(J391:K395,M391:N395)&gt;0,OR(L390="X",L390="x")),(IF(OR(L391="X",L391="x"),1,0)+IF(OR(L392="X",L392="x"),1,0)+IF(OR(L393="X",L393="x"),1,0)+IF(OR(L394="X",L394="x"),1,0)+IF(OR(L395="X",L395="x"),1,0)),0)</f>
      </c>
      <c r="M412" s="14" t="str">
        <f>M382+M390</f>
      </c>
      <c r="N412" s="14" t="str">
        <f>K382+K390</f>
      </c>
    </row>
    <row r="413">
      <c r="A413" t="str">
        <f>data!$B$31</f>
      </c>
      <c r="B413" s="14" t="str">
        <f>IF(OR(COUNTA(B383:C387,E383:F387)&gt;0,OR(D382="X",D382="x")),B382,0)+IF(OR(COUNTA(B399:C403,E399:F403)&gt;0,OR(D398="X",D398="x")),F398,0)</f>
      </c>
      <c r="C413" s="14" t="str">
        <f>IF(OR(COUNTA(B383:C387,E383:F387)&gt;0,OR(D382="X",D382="x")),F382,0)+IF(OR(COUNTA(B399:C403,E399:F403)&gt;0,OR(D398="X",D398="x")),B398,0)</f>
      </c>
      <c r="D413" s="14" t="str">
        <f>IF(OR(COUNTA(B383:C387,E383:F387)&gt;0,OR(D382="X",D382="x")),(IF(OR(D383="X",D383="x"),1,0)+IF(OR(D384="X",D384="x"),1,0)+IF(OR(D385="X",D385="x"),1,0)+IF(OR(D386="X",D386="x"),1,0)+IF(OR(D387="X",D387="x"),1,0)),0)+IF(OR(COUNTA(B399:C403,E399:F403)&gt;0,OR(D398="X",D398="x")),(IF(OR(D399="X",D399="x"),1,0)+IF(OR(D400="X",D400="x"),1,0)+IF(OR(D401="X",D401="x"),1,0)+IF(OR(D402="X",D402="x"),1,0)+IF(OR(D403="X",D403="x"),1,0)),0)</f>
      </c>
      <c r="E413" s="14" t="str">
        <f>C382+E398</f>
      </c>
      <c r="F413" s="14" t="str">
        <f>E382+C398</f>
      </c>
      <c r="I413" t="str">
        <f>data!$B$78</f>
      </c>
      <c r="J413" s="14" t="str">
        <f>IF(OR(COUNTA(J383:K387,M383:N387)&gt;0,OR(L382="X",L382="x")),J382,0)+IF(OR(COUNTA(J399:K403,M399:N403)&gt;0,OR(L398="X",L398="x")),N398,0)</f>
      </c>
      <c r="K413" s="14" t="str">
        <f>IF(OR(COUNTA(J383:K387,M383:N387)&gt;0,OR(L382="X",L382="x")),N382,0)+IF(OR(COUNTA(J399:K403,M399:N403)&gt;0,OR(L398="X",L398="x")),J398,0)</f>
      </c>
      <c r="L413" s="14" t="str">
        <f>IF(OR(COUNTA(J383:K387,M383:N387)&gt;0,OR(L382="X",L382="x")),(IF(OR(L383="X",L383="x"),1,0)+IF(OR(L384="X",L384="x"),1,0)+IF(OR(L385="X",L385="x"),1,0)+IF(OR(L386="X",L386="x"),1,0)+IF(OR(L387="X",L387="x"),1,0)),0)+IF(OR(COUNTA(J399:K403,M399:N403)&gt;0,OR(L398="X",L398="x")),(IF(OR(L399="X",L399="x"),1,0)+IF(OR(L400="X",L400="x"),1,0)+IF(OR(L401="X",L401="x"),1,0)+IF(OR(L402="X",L402="x"),1,0)+IF(OR(L403="X",L403="x"),1,0)),0)</f>
      </c>
      <c r="M413" s="14" t="str">
        <f>K382+M398</f>
      </c>
      <c r="N413" s="14" t="str">
        <f>M382+K398</f>
      </c>
    </row>
    <row r="414">
      <c r="A414" t="str">
        <f>data!$B$32</f>
      </c>
      <c r="B414" s="14" t="str">
        <f>IF(OR(COUNTA(B391:C395,E391:F395)&gt;0,OR(D390="X",D390="x")),B390,0)+IF(OR(COUNTA(B399:C403,E399:F403)&gt;0,OR(D398="X",D398="x")),B398,0)</f>
      </c>
      <c r="C414" s="14" t="str">
        <f>IF(OR(COUNTA(B391:C395,E391:F395)&gt;0,OR(D390="X",D390="x")),F390,0)+IF(OR(COUNTA(B399:C403,E399:F403)&gt;0,OR(D398="X",D398="x")),F398,0)</f>
      </c>
      <c r="D414" s="14" t="str">
        <f>IF(OR(COUNTA(B391:C395,E391:F395)&gt;0,OR(D390="X",D390="x")),(IF(OR(D391="X",D391="x"),1,0)+IF(OR(D392="X",D392="x"),1,0)+IF(OR(D393="X",D393="x"),1,0)+IF(OR(D394="X",D394="x"),1,0)+IF(OR(D395="X",D395="x"),1,0)),0)+IF(OR(COUNTA(B399:C403,E399:F403)&gt;0,OR(D398="X",D398="x")),(IF(OR(D399="X",D399="x"),1,0)+IF(OR(D400="X",D400="x"),1,0)+IF(OR(D401="X",D401="x"),1,0)+IF(OR(D402="X",D402="x"),1,0)+IF(OR(D403="X",D403="x"),1,0)),0)</f>
      </c>
      <c r="E414" s="14" t="str">
        <f>C390+C398</f>
      </c>
      <c r="F414" s="14" t="str">
        <f>E390+E398</f>
      </c>
      <c r="I414" t="str">
        <f>data!$B$79</f>
      </c>
      <c r="J414" s="14" t="str">
        <f>IF(OR(COUNTA(J391:K395,M391:N395)&gt;0,OR(L390="X",L390="x")),J390,0)+IF(OR(COUNTA(J399:K403,M399:N403)&gt;0,OR(L398="X",L398="x")),J398,0)</f>
      </c>
      <c r="K414" s="14" t="str">
        <f>IF(OR(COUNTA(J391:K395,M391:N395)&gt;0,OR(L390="X",L390="x")),N390,0)+IF(OR(COUNTA(J399:K403,M399:N403)&gt;0,OR(L398="X",L398="x")),N398,0)</f>
      </c>
      <c r="L414" s="14" t="str">
        <f>IF(OR(COUNTA(J391:K395,M391:N395)&gt;0,OR(L390="X",L390="x")),(IF(OR(L391="X",L391="x"),1,0)+IF(OR(L392="X",L392="x"),1,0)+IF(OR(L393="X",L393="x"),1,0)+IF(OR(L394="X",L394="x"),1,0)+IF(OR(L395="X",L395="x"),1,0)),0)+IF(OR(COUNTA(J399:K403,M399:N403)&gt;0,OR(L398="X",L398="x")),(IF(OR(L399="X",L399="x"),1,0)+IF(OR(L400="X",L400="x"),1,0)+IF(OR(L401="X",L401="x"),1,0)+IF(OR(L402="X",L402="x"),1,0)+IF(OR(L403="X",L403="x"),1,0)),0)</f>
      </c>
      <c r="M414" s="14" t="str">
        <f>K390+K398</f>
      </c>
      <c r="N414" s="14" t="str">
        <f>M390+M398</f>
      </c>
    </row>
    <row r="417">
      <c r="F417" s="13"/>
      <c r="G417" s="13" t="s">
        <v>250</v>
      </c>
      <c r="N417" s="13"/>
      <c r="O417" s="13" t="s">
        <v>250</v>
      </c>
    </row>
    <row r="418">
      <c r="F418" t="s">
        <v>251</v>
      </c>
      <c r="G418" s="19"/>
      <c r="N418" t="s">
        <v>251</v>
      </c>
      <c r="O418" s="19"/>
    </row>
    <row r="419">
      <c r="F419" t="s">
        <v>252</v>
      </c>
      <c r="G419" s="19"/>
      <c r="N419" t="s">
        <v>252</v>
      </c>
      <c r="O419" s="19"/>
    </row>
    <row r="420">
      <c r="F420" t="s">
        <v>253</v>
      </c>
      <c r="G420" s="19"/>
      <c r="N420" t="s">
        <v>253</v>
      </c>
      <c r="O420" s="19"/>
    </row>
    <row r="422">
      <c r="A422" s="13" t="str">
        <f>data!$A$35</f>
      </c>
      <c r="B422" s="13"/>
      <c r="C422" s="13"/>
      <c r="D422" s="13"/>
      <c r="E422" s="13"/>
      <c r="F422" s="13"/>
      <c r="G422" s="13"/>
      <c r="I422" s="13" t="str">
        <f>data!$A$82</f>
      </c>
      <c r="J422" s="13"/>
      <c r="K422" s="13"/>
      <c r="L422" s="13"/>
      <c r="M422" s="13"/>
      <c r="N422" s="13"/>
      <c r="O422" s="13"/>
    </row>
    <row r="423">
      <c r="A423" s="17" t="s">
        <v>239</v>
      </c>
      <c r="B423" s="14"/>
      <c r="C423" s="14"/>
      <c r="D423" s="14" t="s">
        <v>240</v>
      </c>
      <c r="E423" s="14"/>
      <c r="F423" s="14"/>
      <c r="G423" s="16" t="s">
        <v>241</v>
      </c>
      <c r="I423" s="17" t="s">
        <v>239</v>
      </c>
      <c r="J423" s="14"/>
      <c r="K423" s="14"/>
      <c r="L423" s="14" t="s">
        <v>240</v>
      </c>
      <c r="M423" s="14"/>
      <c r="N423" s="14"/>
      <c r="O423" s="16" t="s">
        <v>241</v>
      </c>
    </row>
    <row r="424">
      <c r="A424" s="14" t="str">
        <f>data!$B$34</f>
      </c>
      <c r="B424" s="18" t="str">
        <f>SUMPRODUCT((UPPER(D425:D429)&lt;&gt;"X")*((LEN(SUBSTITUTE(SUBSTITUTE(SUBSTITUTE(B425:B429," ",""),"0",""),"-",""))+LEN(SUBSTITUTE(SUBSTITUTE(SUBSTITUTE(C425:C429," ",""),"0",""),"-","")))&gt;(LEN(SUBSTITUTE(SUBSTITUTE(SUBSTITUTE(E425:E429," ",""),"0",""),"-",""))+LEN(SUBSTITUTE(SUBSTITUTE(SUBSTITUTE(F425:F429," ",""),"0",""),"-",""))))*1)</f>
      </c>
      <c r="C424" s="18" t="str">
        <f>SUMPRODUCT(LEN(SUBSTITUTE(SUBSTITUTE(SUBSTITUTE(B425:B429," ",""),"0",""),"-",""))+LEN(SUBSTITUTE(SUBSTITUTE(SUBSTITUTE(C425:C429," ",""),"0",""),"-","")))</f>
      </c>
      <c r="D424" s="18"/>
      <c r="E424" s="18" t="str">
        <f>SUMPRODUCT(LEN(SUBSTITUTE(SUBSTITUTE(SUBSTITUTE(E425:E429," ",""),"0",""),"-",""))+LEN(SUBSTITUTE(SUBSTITUTE(SUBSTITUTE(F425:F429," ",""),"0",""),"-","")))</f>
      </c>
      <c r="F424" s="18" t="str">
        <f>SUMPRODUCT((UPPER(D425:D429)&lt;&gt;"X")*((LEN(SUBSTITUTE(SUBSTITUTE(SUBSTITUTE(E425:E429," ",""),"0",""),"-",""))+LEN(SUBSTITUTE(SUBSTITUTE(SUBSTITUTE(F425:F429," ",""),"0",""),"-","")))&gt;(LEN(SUBSTITUTE(SUBSTITUTE(SUBSTITUTE(B425:B429," ",""),"0",""),"-",""))+LEN(SUBSTITUTE(SUBSTITUTE(SUBSTITUTE(C425:C429," ",""),"0",""),"-",""))))*1)</f>
      </c>
      <c r="G424" s="14" t="str">
        <f>data!$B$33</f>
      </c>
      <c r="I424" s="14" t="str">
        <f>data!$B$81</f>
      </c>
      <c r="J424" s="18" t="str">
        <f>SUMPRODUCT((UPPER(L425:L429)&lt;&gt;"X")*((LEN(SUBSTITUTE(SUBSTITUTE(SUBSTITUTE(J425:J429," ",""),"0",""),"-",""))+LEN(SUBSTITUTE(SUBSTITUTE(SUBSTITUTE(K425:K429," ",""),"0",""),"-","")))&gt;(LEN(SUBSTITUTE(SUBSTITUTE(SUBSTITUTE(M425:M429," ",""),"0",""),"-",""))+LEN(SUBSTITUTE(SUBSTITUTE(SUBSTITUTE(N425:N429," ",""),"0",""),"-",""))))*1)</f>
      </c>
      <c r="K424" s="18" t="str">
        <f>SUMPRODUCT(LEN(SUBSTITUTE(SUBSTITUTE(SUBSTITUTE(J425:J429," ",""),"0",""),"-",""))+LEN(SUBSTITUTE(SUBSTITUTE(SUBSTITUTE(K425:K429," ",""),"0",""),"-","")))</f>
      </c>
      <c r="L424" s="18"/>
      <c r="M424" s="18" t="str">
        <f>SUMPRODUCT(LEN(SUBSTITUTE(SUBSTITUTE(SUBSTITUTE(M425:M429," ",""),"0",""),"-",""))+LEN(SUBSTITUTE(SUBSTITUTE(SUBSTITUTE(N425:N429," ",""),"0",""),"-","")))</f>
      </c>
      <c r="N424" s="18" t="str">
        <f>SUMPRODUCT((UPPER(L425:L429)&lt;&gt;"X")*((LEN(SUBSTITUTE(SUBSTITUTE(SUBSTITUTE(M425:M429," ",""),"0",""),"-",""))+LEN(SUBSTITUTE(SUBSTITUTE(SUBSTITUTE(N425:N429," ",""),"0",""),"-","")))&gt;(LEN(SUBSTITUTE(SUBSTITUTE(SUBSTITUTE(J425:J429," ",""),"0",""),"-",""))+LEN(SUBSTITUTE(SUBSTITUTE(SUBSTITUTE(K425:K429," ",""),"0",""),"-",""))))*1)</f>
      </c>
      <c r="O424" s="14" t="str">
        <f>data!$B$80</f>
      </c>
    </row>
    <row r="425">
      <c r="A425" s="18">
        <v>1</v>
      </c>
      <c r="B425" s="18"/>
      <c r="C425" s="18"/>
      <c r="D425" s="18"/>
      <c r="E425" s="18"/>
      <c r="F425" s="18"/>
      <c r="G425" s="18">
        <v>1</v>
      </c>
      <c r="I425" s="18">
        <v>1</v>
      </c>
      <c r="J425" s="18"/>
      <c r="K425" s="18"/>
      <c r="L425" s="18"/>
      <c r="M425" s="18"/>
      <c r="N425" s="18"/>
      <c r="O425" s="18">
        <v>1</v>
      </c>
    </row>
    <row r="426">
      <c r="A426" s="18">
        <v>2</v>
      </c>
      <c r="B426" s="18"/>
      <c r="C426" s="18"/>
      <c r="D426" s="18"/>
      <c r="E426" s="18"/>
      <c r="F426" s="18"/>
      <c r="G426" s="18">
        <v>2</v>
      </c>
      <c r="I426" s="18">
        <v>2</v>
      </c>
      <c r="J426" s="18"/>
      <c r="K426" s="18"/>
      <c r="L426" s="18"/>
      <c r="M426" s="18"/>
      <c r="N426" s="18"/>
      <c r="O426" s="18">
        <v>2</v>
      </c>
    </row>
    <row r="427">
      <c r="A427" s="18">
        <v>3</v>
      </c>
      <c r="B427" s="18"/>
      <c r="C427" s="18"/>
      <c r="D427" s="18"/>
      <c r="E427" s="18"/>
      <c r="F427" s="18"/>
      <c r="G427" s="18">
        <v>3</v>
      </c>
      <c r="I427" s="18">
        <v>3</v>
      </c>
      <c r="J427" s="18"/>
      <c r="K427" s="18"/>
      <c r="L427" s="18"/>
      <c r="M427" s="18"/>
      <c r="N427" s="18"/>
      <c r="O427" s="18">
        <v>3</v>
      </c>
    </row>
    <row r="428">
      <c r="A428" s="18">
        <v>4</v>
      </c>
      <c r="B428" s="18"/>
      <c r="C428" s="18"/>
      <c r="D428" s="18"/>
      <c r="E428" s="18"/>
      <c r="F428" s="18"/>
      <c r="G428" s="18">
        <v>4</v>
      </c>
      <c r="I428" s="18">
        <v>4</v>
      </c>
      <c r="J428" s="18"/>
      <c r="K428" s="18"/>
      <c r="L428" s="18"/>
      <c r="M428" s="18"/>
      <c r="N428" s="18"/>
      <c r="O428" s="18">
        <v>4</v>
      </c>
    </row>
    <row r="429">
      <c r="A429" s="18">
        <v>5</v>
      </c>
      <c r="B429" s="18"/>
      <c r="C429" s="18"/>
      <c r="D429" s="18"/>
      <c r="E429" s="18"/>
      <c r="F429" s="18"/>
      <c r="G429" s="18">
        <v>5</v>
      </c>
      <c r="I429" s="18">
        <v>5</v>
      </c>
      <c r="J429" s="18"/>
      <c r="K429" s="18"/>
      <c r="L429" s="18"/>
      <c r="M429" s="18"/>
      <c r="N429" s="18"/>
      <c r="O429" s="18">
        <v>5</v>
      </c>
    </row>
    <row r="431">
      <c r="A431" s="17" t="s">
        <v>239</v>
      </c>
      <c r="B431" s="14"/>
      <c r="C431" s="14"/>
      <c r="D431" s="14" t="s">
        <v>240</v>
      </c>
      <c r="E431" s="14"/>
      <c r="F431" s="14"/>
      <c r="G431" s="16" t="s">
        <v>241</v>
      </c>
      <c r="I431" s="17" t="s">
        <v>239</v>
      </c>
      <c r="J431" s="14"/>
      <c r="K431" s="14"/>
      <c r="L431" s="14" t="s">
        <v>240</v>
      </c>
      <c r="M431" s="14"/>
      <c r="N431" s="14"/>
      <c r="O431" s="16" t="s">
        <v>241</v>
      </c>
    </row>
    <row r="432">
      <c r="A432" s="14" t="str">
        <f>data!$B$35</f>
      </c>
      <c r="B432" s="18" t="str">
        <f>SUMPRODUCT((UPPER(D433:D437)&lt;&gt;"X")*((LEN(SUBSTITUTE(SUBSTITUTE(SUBSTITUTE(B433:B437," ",""),"0",""),"-",""))+LEN(SUBSTITUTE(SUBSTITUTE(SUBSTITUTE(C433:C437," ",""),"0",""),"-","")))&gt;(LEN(SUBSTITUTE(SUBSTITUTE(SUBSTITUTE(E433:E437," ",""),"0",""),"-",""))+LEN(SUBSTITUTE(SUBSTITUTE(SUBSTITUTE(F433:F437," ",""),"0",""),"-",""))))*1)</f>
      </c>
      <c r="C432" s="18" t="str">
        <f>SUMPRODUCT(LEN(SUBSTITUTE(SUBSTITUTE(SUBSTITUTE(B433:B437," ",""),"0",""),"-",""))+LEN(SUBSTITUTE(SUBSTITUTE(SUBSTITUTE(C433:C437," ",""),"0",""),"-","")))</f>
      </c>
      <c r="D432" s="18"/>
      <c r="E432" s="18" t="str">
        <f>SUMPRODUCT(LEN(SUBSTITUTE(SUBSTITUTE(SUBSTITUTE(E433:E437," ",""),"0",""),"-",""))+LEN(SUBSTITUTE(SUBSTITUTE(SUBSTITUTE(F433:F437," ",""),"0",""),"-","")))</f>
      </c>
      <c r="F432" s="18" t="str">
        <f>SUMPRODUCT((UPPER(D433:D437)&lt;&gt;"X")*((LEN(SUBSTITUTE(SUBSTITUTE(SUBSTITUTE(E433:E437," ",""),"0",""),"-",""))+LEN(SUBSTITUTE(SUBSTITUTE(SUBSTITUTE(F433:F437," ",""),"0",""),"-","")))&gt;(LEN(SUBSTITUTE(SUBSTITUTE(SUBSTITUTE(B433:B437," ",""),"0",""),"-",""))+LEN(SUBSTITUTE(SUBSTITUTE(SUBSTITUTE(C433:C437," ",""),"0",""),"-",""))))*1)</f>
      </c>
      <c r="G432" s="14" t="str">
        <f>data!$B$33</f>
      </c>
      <c r="I432" s="14" t="str">
        <f>data!$B$82</f>
      </c>
      <c r="J432" s="18" t="str">
        <f>SUMPRODUCT((UPPER(L433:L437)&lt;&gt;"X")*((LEN(SUBSTITUTE(SUBSTITUTE(SUBSTITUTE(J433:J437," ",""),"0",""),"-",""))+LEN(SUBSTITUTE(SUBSTITUTE(SUBSTITUTE(K433:K437," ",""),"0",""),"-","")))&gt;(LEN(SUBSTITUTE(SUBSTITUTE(SUBSTITUTE(M433:M437," ",""),"0",""),"-",""))+LEN(SUBSTITUTE(SUBSTITUTE(SUBSTITUTE(N433:N437," ",""),"0",""),"-",""))))*1)</f>
      </c>
      <c r="K432" s="18" t="str">
        <f>SUMPRODUCT(LEN(SUBSTITUTE(SUBSTITUTE(SUBSTITUTE(J433:J437," ",""),"0",""),"-",""))+LEN(SUBSTITUTE(SUBSTITUTE(SUBSTITUTE(K433:K437," ",""),"0",""),"-","")))</f>
      </c>
      <c r="L432" s="18"/>
      <c r="M432" s="18" t="str">
        <f>SUMPRODUCT(LEN(SUBSTITUTE(SUBSTITUTE(SUBSTITUTE(M433:M437," ",""),"0",""),"-",""))+LEN(SUBSTITUTE(SUBSTITUTE(SUBSTITUTE(N433:N437," ",""),"0",""),"-","")))</f>
      </c>
      <c r="N432" s="18" t="str">
        <f>SUMPRODUCT((UPPER(L433:L437)&lt;&gt;"X")*((LEN(SUBSTITUTE(SUBSTITUTE(SUBSTITUTE(M433:M437," ",""),"0",""),"-",""))+LEN(SUBSTITUTE(SUBSTITUTE(SUBSTITUTE(N433:N437," ",""),"0",""),"-","")))&gt;(LEN(SUBSTITUTE(SUBSTITUTE(SUBSTITUTE(J433:J437," ",""),"0",""),"-",""))+LEN(SUBSTITUTE(SUBSTITUTE(SUBSTITUTE(K433:K437," ",""),"0",""),"-",""))))*1)</f>
      </c>
      <c r="O432" s="14" t="str">
        <f>data!$B$80</f>
      </c>
    </row>
    <row r="433">
      <c r="A433" s="18">
        <v>1</v>
      </c>
      <c r="B433" s="18"/>
      <c r="C433" s="18"/>
      <c r="D433" s="18"/>
      <c r="E433" s="18"/>
      <c r="F433" s="18"/>
      <c r="G433" s="18">
        <v>1</v>
      </c>
      <c r="I433" s="18">
        <v>1</v>
      </c>
      <c r="J433" s="18"/>
      <c r="K433" s="18"/>
      <c r="L433" s="18"/>
      <c r="M433" s="18"/>
      <c r="N433" s="18"/>
      <c r="O433" s="18">
        <v>1</v>
      </c>
    </row>
    <row r="434">
      <c r="A434" s="18">
        <v>2</v>
      </c>
      <c r="B434" s="18"/>
      <c r="C434" s="18"/>
      <c r="D434" s="18"/>
      <c r="E434" s="18"/>
      <c r="F434" s="18"/>
      <c r="G434" s="18">
        <v>2</v>
      </c>
      <c r="I434" s="18">
        <v>2</v>
      </c>
      <c r="J434" s="18"/>
      <c r="K434" s="18"/>
      <c r="L434" s="18"/>
      <c r="M434" s="18"/>
      <c r="N434" s="18"/>
      <c r="O434" s="18">
        <v>2</v>
      </c>
    </row>
    <row r="435">
      <c r="A435" s="18">
        <v>3</v>
      </c>
      <c r="B435" s="18"/>
      <c r="C435" s="18"/>
      <c r="D435" s="18"/>
      <c r="E435" s="18"/>
      <c r="F435" s="18"/>
      <c r="G435" s="18">
        <v>3</v>
      </c>
      <c r="I435" s="18">
        <v>3</v>
      </c>
      <c r="J435" s="18"/>
      <c r="K435" s="18"/>
      <c r="L435" s="18"/>
      <c r="M435" s="18"/>
      <c r="N435" s="18"/>
      <c r="O435" s="18">
        <v>3</v>
      </c>
    </row>
    <row r="436">
      <c r="A436" s="18">
        <v>4</v>
      </c>
      <c r="B436" s="18"/>
      <c r="C436" s="18"/>
      <c r="D436" s="18"/>
      <c r="E436" s="18"/>
      <c r="F436" s="18"/>
      <c r="G436" s="18">
        <v>4</v>
      </c>
      <c r="I436" s="18">
        <v>4</v>
      </c>
      <c r="J436" s="18"/>
      <c r="K436" s="18"/>
      <c r="L436" s="18"/>
      <c r="M436" s="18"/>
      <c r="N436" s="18"/>
      <c r="O436" s="18">
        <v>4</v>
      </c>
    </row>
    <row r="437">
      <c r="A437" s="18">
        <v>5</v>
      </c>
      <c r="B437" s="18"/>
      <c r="C437" s="18"/>
      <c r="D437" s="18"/>
      <c r="E437" s="18"/>
      <c r="F437" s="18"/>
      <c r="G437" s="18">
        <v>5</v>
      </c>
      <c r="I437" s="18">
        <v>5</v>
      </c>
      <c r="J437" s="18"/>
      <c r="K437" s="18"/>
      <c r="L437" s="18"/>
      <c r="M437" s="18"/>
      <c r="N437" s="18"/>
      <c r="O437" s="18">
        <v>5</v>
      </c>
    </row>
    <row r="439">
      <c r="A439" s="17" t="s">
        <v>239</v>
      </c>
      <c r="B439" s="14"/>
      <c r="C439" s="14"/>
      <c r="D439" s="14" t="s">
        <v>240</v>
      </c>
      <c r="E439" s="14"/>
      <c r="F439" s="14"/>
      <c r="G439" s="16" t="s">
        <v>241</v>
      </c>
      <c r="I439" s="17" t="s">
        <v>239</v>
      </c>
      <c r="J439" s="14"/>
      <c r="K439" s="14"/>
      <c r="L439" s="14" t="s">
        <v>240</v>
      </c>
      <c r="M439" s="14"/>
      <c r="N439" s="14"/>
      <c r="O439" s="16" t="s">
        <v>241</v>
      </c>
    </row>
    <row r="440">
      <c r="A440" s="14" t="str">
        <f>data!$B$35</f>
      </c>
      <c r="B440" s="18" t="str">
        <f>SUMPRODUCT((UPPER(D441:D445)&lt;&gt;"X")*((LEN(SUBSTITUTE(SUBSTITUTE(SUBSTITUTE(B441:B445," ",""),"0",""),"-",""))+LEN(SUBSTITUTE(SUBSTITUTE(SUBSTITUTE(C441:C445," ",""),"0",""),"-","")))&gt;(LEN(SUBSTITUTE(SUBSTITUTE(SUBSTITUTE(E441:E445," ",""),"0",""),"-",""))+LEN(SUBSTITUTE(SUBSTITUTE(SUBSTITUTE(F441:F445," ",""),"0",""),"-",""))))*1)</f>
      </c>
      <c r="C440" s="18" t="str">
        <f>SUMPRODUCT(LEN(SUBSTITUTE(SUBSTITUTE(SUBSTITUTE(B441:B445," ",""),"0",""),"-",""))+LEN(SUBSTITUTE(SUBSTITUTE(SUBSTITUTE(C441:C445," ",""),"0",""),"-","")))</f>
      </c>
      <c r="D440" s="18"/>
      <c r="E440" s="18" t="str">
        <f>SUMPRODUCT(LEN(SUBSTITUTE(SUBSTITUTE(SUBSTITUTE(E441:E445," ",""),"0",""),"-",""))+LEN(SUBSTITUTE(SUBSTITUTE(SUBSTITUTE(F441:F445," ",""),"0",""),"-","")))</f>
      </c>
      <c r="F440" s="18" t="str">
        <f>SUMPRODUCT((UPPER(D441:D445)&lt;&gt;"X")*((LEN(SUBSTITUTE(SUBSTITUTE(SUBSTITUTE(E441:E445," ",""),"0",""),"-",""))+LEN(SUBSTITUTE(SUBSTITUTE(SUBSTITUTE(F441:F445," ",""),"0",""),"-","")))&gt;(LEN(SUBSTITUTE(SUBSTITUTE(SUBSTITUTE(B441:B445," ",""),"0",""),"-",""))+LEN(SUBSTITUTE(SUBSTITUTE(SUBSTITUTE(C441:C445," ",""),"0",""),"-",""))))*1)</f>
      </c>
      <c r="G440" s="14" t="str">
        <f>data!$B$34</f>
      </c>
      <c r="I440" s="14" t="str">
        <f>data!$B$82</f>
      </c>
      <c r="J440" s="18" t="str">
        <f>SUMPRODUCT((UPPER(L441:L445)&lt;&gt;"X")*((LEN(SUBSTITUTE(SUBSTITUTE(SUBSTITUTE(J441:J445," ",""),"0",""),"-",""))+LEN(SUBSTITUTE(SUBSTITUTE(SUBSTITUTE(K441:K445," ",""),"0",""),"-","")))&gt;(LEN(SUBSTITUTE(SUBSTITUTE(SUBSTITUTE(M441:M445," ",""),"0",""),"-",""))+LEN(SUBSTITUTE(SUBSTITUTE(SUBSTITUTE(N441:N445," ",""),"0",""),"-",""))))*1)</f>
      </c>
      <c r="K440" s="18" t="str">
        <f>SUMPRODUCT(LEN(SUBSTITUTE(SUBSTITUTE(SUBSTITUTE(J441:J445," ",""),"0",""),"-",""))+LEN(SUBSTITUTE(SUBSTITUTE(SUBSTITUTE(K441:K445," ",""),"0",""),"-","")))</f>
      </c>
      <c r="L440" s="18"/>
      <c r="M440" s="18" t="str">
        <f>SUMPRODUCT(LEN(SUBSTITUTE(SUBSTITUTE(SUBSTITUTE(M441:M445," ",""),"0",""),"-",""))+LEN(SUBSTITUTE(SUBSTITUTE(SUBSTITUTE(N441:N445," ",""),"0",""),"-","")))</f>
      </c>
      <c r="N440" s="18" t="str">
        <f>SUMPRODUCT((UPPER(L441:L445)&lt;&gt;"X")*((LEN(SUBSTITUTE(SUBSTITUTE(SUBSTITUTE(M441:M445," ",""),"0",""),"-",""))+LEN(SUBSTITUTE(SUBSTITUTE(SUBSTITUTE(N441:N445," ",""),"0",""),"-","")))&gt;(LEN(SUBSTITUTE(SUBSTITUTE(SUBSTITUTE(J441:J445," ",""),"0",""),"-",""))+LEN(SUBSTITUTE(SUBSTITUTE(SUBSTITUTE(K441:K445," ",""),"0",""),"-",""))))*1)</f>
      </c>
      <c r="O440" s="14" t="str">
        <f>data!$B$81</f>
      </c>
    </row>
    <row r="441">
      <c r="A441" s="18">
        <v>1</v>
      </c>
      <c r="B441" s="18"/>
      <c r="C441" s="18"/>
      <c r="D441" s="18"/>
      <c r="E441" s="18"/>
      <c r="F441" s="18"/>
      <c r="G441" s="18">
        <v>1</v>
      </c>
      <c r="I441" s="18">
        <v>1</v>
      </c>
      <c r="J441" s="18"/>
      <c r="K441" s="18"/>
      <c r="L441" s="18"/>
      <c r="M441" s="18"/>
      <c r="N441" s="18"/>
      <c r="O441" s="18">
        <v>1</v>
      </c>
    </row>
    <row r="442">
      <c r="A442" s="18">
        <v>2</v>
      </c>
      <c r="B442" s="18"/>
      <c r="C442" s="18"/>
      <c r="D442" s="18"/>
      <c r="E442" s="18"/>
      <c r="F442" s="18"/>
      <c r="G442" s="18">
        <v>2</v>
      </c>
      <c r="I442" s="18">
        <v>2</v>
      </c>
      <c r="J442" s="18"/>
      <c r="K442" s="18"/>
      <c r="L442" s="18"/>
      <c r="M442" s="18"/>
      <c r="N442" s="18"/>
      <c r="O442" s="18">
        <v>2</v>
      </c>
    </row>
    <row r="443">
      <c r="A443" s="18">
        <v>3</v>
      </c>
      <c r="B443" s="18"/>
      <c r="C443" s="18"/>
      <c r="D443" s="18"/>
      <c r="E443" s="18"/>
      <c r="F443" s="18"/>
      <c r="G443" s="18">
        <v>3</v>
      </c>
      <c r="I443" s="18">
        <v>3</v>
      </c>
      <c r="J443" s="18"/>
      <c r="K443" s="18"/>
      <c r="L443" s="18"/>
      <c r="M443" s="18"/>
      <c r="N443" s="18"/>
      <c r="O443" s="18">
        <v>3</v>
      </c>
    </row>
    <row r="444">
      <c r="A444" s="18">
        <v>4</v>
      </c>
      <c r="B444" s="18"/>
      <c r="C444" s="18"/>
      <c r="D444" s="18"/>
      <c r="E444" s="18"/>
      <c r="F444" s="18"/>
      <c r="G444" s="18">
        <v>4</v>
      </c>
      <c r="I444" s="18">
        <v>4</v>
      </c>
      <c r="J444" s="18"/>
      <c r="K444" s="18"/>
      <c r="L444" s="18"/>
      <c r="M444" s="18"/>
      <c r="N444" s="18"/>
      <c r="O444" s="18">
        <v>4</v>
      </c>
    </row>
    <row r="445">
      <c r="A445" s="18">
        <v>5</v>
      </c>
      <c r="B445" s="18"/>
      <c r="C445" s="18"/>
      <c r="D445" s="18"/>
      <c r="E445" s="18"/>
      <c r="F445" s="18"/>
      <c r="G445" s="18">
        <v>5</v>
      </c>
      <c r="I445" s="18">
        <v>5</v>
      </c>
      <c r="J445" s="18"/>
      <c r="K445" s="18"/>
      <c r="L445" s="18"/>
      <c r="M445" s="18"/>
      <c r="N445" s="18"/>
      <c r="O445" s="18">
        <v>5</v>
      </c>
    </row>
    <row r="448">
      <c r="A448" s="13"/>
      <c r="B448" s="13" t="s">
        <v>242</v>
      </c>
      <c r="C448" s="13" t="s">
        <v>243</v>
      </c>
      <c r="D448" s="13" t="s">
        <v>244</v>
      </c>
      <c r="I448" s="13"/>
      <c r="J448" s="13" t="s">
        <v>242</v>
      </c>
      <c r="K448" s="13" t="s">
        <v>243</v>
      </c>
      <c r="L448" s="13" t="s">
        <v>244</v>
      </c>
    </row>
    <row r="449">
      <c r="A449" t="str">
        <f>data!$B$33</f>
      </c>
      <c r="B449" s="14" t="str">
        <f>IF(OR(COUNTA(B425:C429,E425:F429)&gt;0,OR(D424="X",D424="x")),IF(OR(D424="X",D424="x"),0,IF(OR(F424&gt;B424,AND(F424=B424,E424&gt;C424)),1,0)),0)+IF(OR(COUNTA(B433:C437,E433:F437)&gt;0,OR(D432="X",D432="x")),IF(OR(D432="X",D432="x"),0,IF(OR(F432&gt;B432,AND(F432=B432,E432&gt;C432)),1,0)),0)</f>
      </c>
      <c r="C449" s="14" t="str">
        <f>IF(OR(COUNTA(B425:C429,E425:F429)&gt;0,OR(D424="X",D424="x")),IF(OR(D424="X",D424="x"),0,IF(OR(F424&lt;B424,AND(F424=B424,E424&lt;C424)),1,0)),0)+IF(OR(COUNTA(B433:C437,E433:F437)&gt;0,OR(D432="X",D432="x")),IF(OR(D432="X",D432="x"),0,IF(OR(F432&lt;B432,AND(F432=B432,E432&lt;C432)),1,0)),0)</f>
      </c>
      <c r="D449" s="14" t="str">
        <f>IF(OR(COUNTA(B425:C429,E425:F429)&gt;0,OR(D424="X",D424="x")),IF(OR(D424="X",D424="x"),1,0),0)+IF(OR(COUNTA(B433:C437,E433:F437)&gt;0,OR(D432="X",D432="x")),IF(OR(D432="X",D432="x"),1,0),0)</f>
      </c>
      <c r="I449" t="str">
        <f>data!$B$80</f>
      </c>
      <c r="J449" s="14" t="str">
        <f>IF(OR(COUNTA(J425:K429,M425:N429)&gt;0,OR(L424="X",L424="x")),IF(OR(L424="X",L424="x"),0,IF(OR(N424&gt;J424,AND(N424=J424,M424&gt;K424)),1,0)),0)+IF(OR(COUNTA(J433:K437,M433:N437)&gt;0,OR(L432="X",L432="x")),IF(OR(L432="X",L432="x"),0,IF(OR(N432&gt;J432,AND(N432=J432,M432&gt;K432)),1,0)),0)</f>
      </c>
      <c r="K449" s="14" t="str">
        <f>IF(OR(COUNTA(J425:K429,M425:N429)&gt;0,OR(L424="X",L424="x")),IF(OR(L424="X",L424="x"),0,IF(OR(N424&lt;J424,AND(N424=J424,M424&lt;K424)),1,0)),0)+IF(OR(COUNTA(J433:K437,M433:N437)&gt;0,OR(L432="X",L432="x")),IF(OR(L432="X",L432="x"),0,IF(OR(N432&lt;J432,AND(N432=J432,M432&lt;K432)),1,0)),0)</f>
      </c>
      <c r="L449" s="14" t="str">
        <f>IF(OR(COUNTA(J425:K429,M425:N429)&gt;0,OR(L424="X",L424="x")),IF(OR(L424="X",L424="x"),1,0),0)+IF(OR(COUNTA(J433:K437,M433:N437)&gt;0,OR(L432="X",L432="x")),IF(OR(L432="X",L432="x"),1,0),0)</f>
      </c>
    </row>
    <row r="450">
      <c r="A450" t="str">
        <f>data!$B$34</f>
      </c>
      <c r="B450" s="14" t="str">
        <f>IF(OR(COUNTA(B425:C429,E425:F429)&gt;0,OR(D424="X",D424="x")),IF(OR(D424="X",D424="x"),0,IF(OR(B424&gt;F424,AND(B424=F424,C424&gt;E424)),1,0)),0)+IF(OR(COUNTA(B441:C445,E441:F445)&gt;0,OR(D440="X",D440="x")),IF(OR(D440="X",D440="x"),0,IF(OR(F440&gt;B440,AND(F440=B440,E440&gt;C440)),1,0)),0)</f>
      </c>
      <c r="C450" s="14" t="str">
        <f>IF(OR(COUNTA(B425:C429,E425:F429)&gt;0,OR(D424="X",D424="x")),IF(OR(D424="X",D424="x"),0,IF(OR(B424&lt;F424,AND(B424=F424,C424&lt;E424)),1,0)),0)+IF(OR(COUNTA(B441:C445,E441:F445)&gt;0,OR(D440="X",D440="x")),IF(OR(D440="X",D440="x"),0,IF(OR(F440&lt;B440,AND(F440=B440,E440&lt;C440)),1,0)),0)</f>
      </c>
      <c r="D450" s="14" t="str">
        <f>IF(OR(COUNTA(B425:C429,E425:F429)&gt;0,OR(D424="X",D424="x")),IF(OR(D424="X",D424="x"),1,0),0)+IF(OR(COUNTA(B441:C445,E441:F445)&gt;0,OR(D440="X",D440="x")),IF(OR(D440="X",D440="x"),1,0),0)</f>
      </c>
      <c r="I450" t="str">
        <f>data!$B$81</f>
      </c>
      <c r="J450" s="14" t="str">
        <f>IF(OR(COUNTA(J425:K429,M425:N429)&gt;0,OR(L424="X",L424="x")),IF(OR(L424="X",L424="x"),0,IF(OR(J424&gt;N424,AND(J424=N424,K424&gt;M424)),1,0)),0)+IF(OR(COUNTA(J441:K445,M441:N445)&gt;0,OR(L440="X",L440="x")),IF(OR(L440="X",L440="x"),0,IF(OR(N440&gt;J440,AND(N440=J440,M440&gt;K440)),1,0)),0)</f>
      </c>
      <c r="K450" s="14" t="str">
        <f>IF(OR(COUNTA(J425:K429,M425:N429)&gt;0,OR(L424="X",L424="x")),IF(OR(L424="X",L424="x"),0,IF(OR(J424&lt;N424,AND(J424=N424,K424&lt;M424)),1,0)),0)+IF(OR(COUNTA(J441:K445,M441:N445)&gt;0,OR(L440="X",L440="x")),IF(OR(L440="X",L440="x"),0,IF(OR(N440&lt;J440,AND(N440=J440,M440&lt;K440)),1,0)),0)</f>
      </c>
      <c r="L450" s="14" t="str">
        <f>IF(OR(COUNTA(J425:K429,M425:N429)&gt;0,OR(L424="X",L424="x")),IF(OR(L424="X",L424="x"),1,0),0)+IF(OR(COUNTA(J441:K445,M441:N445)&gt;0,OR(L440="X",L440="x")),IF(OR(L440="X",L440="x"),1,0),0)</f>
      </c>
    </row>
    <row r="451">
      <c r="A451" t="str">
        <f>data!$B$35</f>
      </c>
      <c r="B451" s="14" t="str">
        <f>IF(OR(COUNTA(B433:C437,E433:F437)&gt;0,OR(D432="X",D432="x")),IF(OR(D432="X",D432="x"),0,IF(OR(B432&gt;F432,AND(B432=F432,C432&gt;E432)),1,0)),0)+IF(OR(COUNTA(B441:C445,E441:F445)&gt;0,OR(D440="X",D440="x")),IF(OR(D440="X",D440="x"),0,IF(OR(B440&gt;F440,AND(B440=F440,C440&gt;E440)),1,0)),0)</f>
      </c>
      <c r="C451" s="14" t="str">
        <f>IF(OR(COUNTA(B433:C437,E433:F437)&gt;0,OR(D432="X",D432="x")),IF(OR(D432="X",D432="x"),0,IF(OR(B432&lt;F432,AND(B432=F432,C432&lt;E432)),1,0)),0)+IF(OR(COUNTA(B441:C445,E441:F445)&gt;0,OR(D440="X",D440="x")),IF(OR(D440="X",D440="x"),0,IF(OR(B440&lt;F440,AND(B440=F440,C440&lt;E440)),1,0)),0)</f>
      </c>
      <c r="D451" s="14" t="str">
        <f>IF(OR(COUNTA(B433:C437,E433:F437)&gt;0,OR(D432="X",D432="x")),IF(OR(D432="X",D432="x"),1,0),0)+IF(OR(COUNTA(B441:C445,E441:F445)&gt;0,OR(D440="X",D440="x")),IF(OR(D440="X",D440="x"),1,0),0)</f>
      </c>
      <c r="I451" t="str">
        <f>data!$B$82</f>
      </c>
      <c r="J451" s="14" t="str">
        <f>IF(OR(COUNTA(J433:K437,M433:N437)&gt;0,OR(L432="X",L432="x")),IF(OR(L432="X",L432="x"),0,IF(OR(J432&gt;N432,AND(J432=N432,K432&gt;M432)),1,0)),0)+IF(OR(COUNTA(J441:K445,M441:N445)&gt;0,OR(L440="X",L440="x")),IF(OR(L440="X",L440="x"),0,IF(OR(J440&gt;N440,AND(J440=N440,K440&gt;M440)),1,0)),0)</f>
      </c>
      <c r="K451" s="14" t="str">
        <f>IF(OR(COUNTA(J433:K437,M433:N437)&gt;0,OR(L432="X",L432="x")),IF(OR(L432="X",L432="x"),0,IF(OR(J432&lt;N432,AND(J432=N432,K432&lt;M432)),1,0)),0)+IF(OR(COUNTA(J441:K445,M441:N445)&gt;0,OR(L440="X",L440="x")),IF(OR(L440="X",L440="x"),0,IF(OR(J440&lt;N440,AND(J440=N440,K440&lt;M440)),1,0)),0)</f>
      </c>
      <c r="L451" s="14" t="str">
        <f>IF(OR(COUNTA(J433:K437,M433:N437)&gt;0,OR(L432="X",L432="x")),IF(OR(L432="X",L432="x"),1,0),0)+IF(OR(COUNTA(J441:K445,M441:N445)&gt;0,OR(L440="X",L440="x")),IF(OR(L440="X",L440="x"),1,0),0)</f>
      </c>
    </row>
    <row r="453">
      <c r="A453" s="13"/>
      <c r="B453" s="13" t="s">
        <v>245</v>
      </c>
      <c r="C453" s="13" t="s">
        <v>246</v>
      </c>
      <c r="D453" s="13" t="s">
        <v>247</v>
      </c>
      <c r="E453" s="13" t="s">
        <v>248</v>
      </c>
      <c r="F453" s="13" t="s">
        <v>249</v>
      </c>
      <c r="I453" s="13"/>
      <c r="J453" s="13" t="s">
        <v>245</v>
      </c>
      <c r="K453" s="13" t="s">
        <v>246</v>
      </c>
      <c r="L453" s="13" t="s">
        <v>247</v>
      </c>
      <c r="M453" s="13" t="s">
        <v>248</v>
      </c>
      <c r="N453" s="13" t="s">
        <v>249</v>
      </c>
    </row>
    <row r="454">
      <c r="A454" t="str">
        <f>data!$B$33</f>
      </c>
      <c r="B454" s="14" t="str">
        <f>IF(OR(COUNTA(B425:C429,E425:F429)&gt;0,OR(D424="X",D424="x")),F424,0)+IF(OR(COUNTA(B433:C437,E433:F437)&gt;0,OR(D432="X",D432="x")),F432,0)</f>
      </c>
      <c r="C454" s="14" t="str">
        <f>IF(OR(COUNTA(B425:C429,E425:F429)&gt;0,OR(D424="X",D424="x")),B424,0)+IF(OR(COUNTA(B433:C437,E433:F437)&gt;0,OR(D432="X",D432="x")),B432,0)</f>
      </c>
      <c r="D454" s="14" t="str">
        <f>IF(OR(COUNTA(B425:C429,E425:F429)&gt;0,OR(D424="X",D424="x")),(IF(OR(D425="X",D425="x"),1,0)+IF(OR(D426="X",D426="x"),1,0)+IF(OR(D427="X",D427="x"),1,0)+IF(OR(D428="X",D428="x"),1,0)+IF(OR(D429="X",D429="x"),1,0)),0)+IF(OR(COUNTA(B433:C437,E433:F437)&gt;0,OR(D432="X",D432="x")),(IF(OR(D433="X",D433="x"),1,0)+IF(OR(D434="X",D434="x"),1,0)+IF(OR(D435="X",D435="x"),1,0)+IF(OR(D436="X",D436="x"),1,0)+IF(OR(D437="X",D437="x"),1,0)),0)</f>
      </c>
      <c r="E454" s="14" t="str">
        <f>E424+E432</f>
      </c>
      <c r="F454" s="14" t="str">
        <f>C424+C432</f>
      </c>
      <c r="I454" t="str">
        <f>data!$B$80</f>
      </c>
      <c r="J454" s="14" t="str">
        <f>IF(OR(COUNTA(J425:K429,M425:N429)&gt;0,OR(L424="X",L424="x")),N424,0)+IF(OR(COUNTA(J433:K437,M433:N437)&gt;0,OR(L432="X",L432="x")),N432,0)</f>
      </c>
      <c r="K454" s="14" t="str">
        <f>IF(OR(COUNTA(J425:K429,M425:N429)&gt;0,OR(L424="X",L424="x")),J424,0)+IF(OR(COUNTA(J433:K437,M433:N437)&gt;0,OR(L432="X",L432="x")),J432,0)</f>
      </c>
      <c r="L454" s="14" t="str">
        <f>IF(OR(COUNTA(J425:K429,M425:N429)&gt;0,OR(L424="X",L424="x")),(IF(OR(L425="X",L425="x"),1,0)+IF(OR(L426="X",L426="x"),1,0)+IF(OR(L427="X",L427="x"),1,0)+IF(OR(L428="X",L428="x"),1,0)+IF(OR(L429="X",L429="x"),1,0)),0)+IF(OR(COUNTA(J433:K437,M433:N437)&gt;0,OR(L432="X",L432="x")),(IF(OR(L433="X",L433="x"),1,0)+IF(OR(L434="X",L434="x"),1,0)+IF(OR(L435="X",L435="x"),1,0)+IF(OR(L436="X",L436="x"),1,0)+IF(OR(L437="X",L437="x"),1,0)),0)</f>
      </c>
      <c r="M454" s="14" t="str">
        <f>M424+M432</f>
      </c>
      <c r="N454" s="14" t="str">
        <f>K424+K432</f>
      </c>
    </row>
    <row r="455">
      <c r="A455" t="str">
        <f>data!$B$34</f>
      </c>
      <c r="B455" s="14" t="str">
        <f>IF(OR(COUNTA(B425:C429,E425:F429)&gt;0,OR(D424="X",D424="x")),B424,0)+IF(OR(COUNTA(B441:C445,E441:F445)&gt;0,OR(D440="X",D440="x")),F440,0)</f>
      </c>
      <c r="C455" s="14" t="str">
        <f>IF(OR(COUNTA(B425:C429,E425:F429)&gt;0,OR(D424="X",D424="x")),F424,0)+IF(OR(COUNTA(B441:C445,E441:F445)&gt;0,OR(D440="X",D440="x")),B440,0)</f>
      </c>
      <c r="D455" s="14" t="str">
        <f>IF(OR(COUNTA(B425:C429,E425:F429)&gt;0,OR(D424="X",D424="x")),(IF(OR(D425="X",D425="x"),1,0)+IF(OR(D426="X",D426="x"),1,0)+IF(OR(D427="X",D427="x"),1,0)+IF(OR(D428="X",D428="x"),1,0)+IF(OR(D429="X",D429="x"),1,0)),0)+IF(OR(COUNTA(B441:C445,E441:F445)&gt;0,OR(D440="X",D440="x")),(IF(OR(D441="X",D441="x"),1,0)+IF(OR(D442="X",D442="x"),1,0)+IF(OR(D443="X",D443="x"),1,0)+IF(OR(D444="X",D444="x"),1,0)+IF(OR(D445="X",D445="x"),1,0)),0)</f>
      </c>
      <c r="E455" s="14" t="str">
        <f>C424+E440</f>
      </c>
      <c r="F455" s="14" t="str">
        <f>E424+C440</f>
      </c>
      <c r="I455" t="str">
        <f>data!$B$81</f>
      </c>
      <c r="J455" s="14" t="str">
        <f>IF(OR(COUNTA(J425:K429,M425:N429)&gt;0,OR(L424="X",L424="x")),J424,0)+IF(OR(COUNTA(J441:K445,M441:N445)&gt;0,OR(L440="X",L440="x")),N440,0)</f>
      </c>
      <c r="K455" s="14" t="str">
        <f>IF(OR(COUNTA(J425:K429,M425:N429)&gt;0,OR(L424="X",L424="x")),N424,0)+IF(OR(COUNTA(J441:K445,M441:N445)&gt;0,OR(L440="X",L440="x")),J440,0)</f>
      </c>
      <c r="L455" s="14" t="str">
        <f>IF(OR(COUNTA(J425:K429,M425:N429)&gt;0,OR(L424="X",L424="x")),(IF(OR(L425="X",L425="x"),1,0)+IF(OR(L426="X",L426="x"),1,0)+IF(OR(L427="X",L427="x"),1,0)+IF(OR(L428="X",L428="x"),1,0)+IF(OR(L429="X",L429="x"),1,0)),0)+IF(OR(COUNTA(J441:K445,M441:N445)&gt;0,OR(L440="X",L440="x")),(IF(OR(L441="X",L441="x"),1,0)+IF(OR(L442="X",L442="x"),1,0)+IF(OR(L443="X",L443="x"),1,0)+IF(OR(L444="X",L444="x"),1,0)+IF(OR(L445="X",L445="x"),1,0)),0)</f>
      </c>
      <c r="M455" s="14" t="str">
        <f>K424+M440</f>
      </c>
      <c r="N455" s="14" t="str">
        <f>M424+K440</f>
      </c>
    </row>
    <row r="456">
      <c r="A456" t="str">
        <f>data!$B$35</f>
      </c>
      <c r="B456" s="14" t="str">
        <f>IF(OR(COUNTA(B433:C437,E433:F437)&gt;0,OR(D432="X",D432="x")),B432,0)+IF(OR(COUNTA(B441:C445,E441:F445)&gt;0,OR(D440="X",D440="x")),B440,0)</f>
      </c>
      <c r="C456" s="14" t="str">
        <f>IF(OR(COUNTA(B433:C437,E433:F437)&gt;0,OR(D432="X",D432="x")),F432,0)+IF(OR(COUNTA(B441:C445,E441:F445)&gt;0,OR(D440="X",D440="x")),F440,0)</f>
      </c>
      <c r="D456" s="14" t="str">
        <f>IF(OR(COUNTA(B433:C437,E433:F437)&gt;0,OR(D432="X",D432="x")),(IF(OR(D433="X",D433="x"),1,0)+IF(OR(D434="X",D434="x"),1,0)+IF(OR(D435="X",D435="x"),1,0)+IF(OR(D436="X",D436="x"),1,0)+IF(OR(D437="X",D437="x"),1,0)),0)+IF(OR(COUNTA(B441:C445,E441:F445)&gt;0,OR(D440="X",D440="x")),(IF(OR(D441="X",D441="x"),1,0)+IF(OR(D442="X",D442="x"),1,0)+IF(OR(D443="X",D443="x"),1,0)+IF(OR(D444="X",D444="x"),1,0)+IF(OR(D445="X",D445="x"),1,0)),0)</f>
      </c>
      <c r="E456" s="14" t="str">
        <f>C432+C440</f>
      </c>
      <c r="F456" s="14" t="str">
        <f>E432+E440</f>
      </c>
      <c r="I456" t="str">
        <f>data!$B$82</f>
      </c>
      <c r="J456" s="14" t="str">
        <f>IF(OR(COUNTA(J433:K437,M433:N437)&gt;0,OR(L432="X",L432="x")),J432,0)+IF(OR(COUNTA(J441:K445,M441:N445)&gt;0,OR(L440="X",L440="x")),J440,0)</f>
      </c>
      <c r="K456" s="14" t="str">
        <f>IF(OR(COUNTA(J433:K437,M433:N437)&gt;0,OR(L432="X",L432="x")),N432,0)+IF(OR(COUNTA(J441:K445,M441:N445)&gt;0,OR(L440="X",L440="x")),N440,0)</f>
      </c>
      <c r="L456" s="14" t="str">
        <f>IF(OR(COUNTA(J433:K437,M433:N437)&gt;0,OR(L432="X",L432="x")),(IF(OR(L433="X",L433="x"),1,0)+IF(OR(L434="X",L434="x"),1,0)+IF(OR(L435="X",L435="x"),1,0)+IF(OR(L436="X",L436="x"),1,0)+IF(OR(L437="X",L437="x"),1,0)),0)+IF(OR(COUNTA(J441:K445,M441:N445)&gt;0,OR(L440="X",L440="x")),(IF(OR(L441="X",L441="x"),1,0)+IF(OR(L442="X",L442="x"),1,0)+IF(OR(L443="X",L443="x"),1,0)+IF(OR(L444="X",L444="x"),1,0)+IF(OR(L445="X",L445="x"),1,0)),0)</f>
      </c>
      <c r="M456" s="14" t="str">
        <f>K432+K440</f>
      </c>
      <c r="N456" s="14" t="str">
        <f>M432+M440</f>
      </c>
    </row>
    <row r="459">
      <c r="F459" s="13"/>
      <c r="G459" s="13" t="s">
        <v>250</v>
      </c>
      <c r="N459" s="13"/>
      <c r="O459" s="13" t="s">
        <v>250</v>
      </c>
    </row>
    <row r="460">
      <c r="F460" t="s">
        <v>251</v>
      </c>
      <c r="G460" s="19"/>
      <c r="N460" t="s">
        <v>251</v>
      </c>
      <c r="O460" s="19"/>
    </row>
    <row r="461">
      <c r="F461" t="s">
        <v>252</v>
      </c>
      <c r="G461" s="19"/>
      <c r="N461" t="s">
        <v>252</v>
      </c>
      <c r="O461" s="19"/>
    </row>
    <row r="462">
      <c r="F462" t="s">
        <v>253</v>
      </c>
      <c r="G462" s="19"/>
      <c r="N462" t="s">
        <v>253</v>
      </c>
      <c r="O462" s="19"/>
    </row>
    <row r="464">
      <c r="A464" s="13" t="str">
        <f>data!$A$38</f>
      </c>
      <c r="B464" s="13"/>
      <c r="C464" s="13"/>
      <c r="D464" s="13"/>
      <c r="E464" s="13"/>
      <c r="F464" s="13"/>
      <c r="G464" s="13"/>
      <c r="I464" s="13" t="str">
        <f>data!$A$85</f>
      </c>
      <c r="J464" s="13"/>
      <c r="K464" s="13"/>
      <c r="L464" s="13"/>
      <c r="M464" s="13"/>
      <c r="N464" s="13"/>
      <c r="O464" s="13"/>
    </row>
    <row r="465">
      <c r="A465" s="17" t="s">
        <v>239</v>
      </c>
      <c r="B465" s="14"/>
      <c r="C465" s="14"/>
      <c r="D465" s="14" t="s">
        <v>240</v>
      </c>
      <c r="E465" s="14"/>
      <c r="F465" s="14"/>
      <c r="G465" s="16" t="s">
        <v>241</v>
      </c>
      <c r="I465" s="17" t="s">
        <v>239</v>
      </c>
      <c r="J465" s="14"/>
      <c r="K465" s="14"/>
      <c r="L465" s="14" t="s">
        <v>240</v>
      </c>
      <c r="M465" s="14"/>
      <c r="N465" s="14"/>
      <c r="O465" s="16" t="s">
        <v>241</v>
      </c>
    </row>
    <row r="466">
      <c r="A466" s="14" t="str">
        <f>data!$B$37</f>
      </c>
      <c r="B466" s="18" t="str">
        <f>SUMPRODUCT((UPPER(D467:D471)&lt;&gt;"X")*((LEN(SUBSTITUTE(SUBSTITUTE(SUBSTITUTE(B467:B471," ",""),"0",""),"-",""))+LEN(SUBSTITUTE(SUBSTITUTE(SUBSTITUTE(C467:C471," ",""),"0",""),"-","")))&gt;(LEN(SUBSTITUTE(SUBSTITUTE(SUBSTITUTE(E467:E471," ",""),"0",""),"-",""))+LEN(SUBSTITUTE(SUBSTITUTE(SUBSTITUTE(F467:F471," ",""),"0",""),"-",""))))*1)</f>
      </c>
      <c r="C466" s="18" t="str">
        <f>SUMPRODUCT(LEN(SUBSTITUTE(SUBSTITUTE(SUBSTITUTE(B467:B471," ",""),"0",""),"-",""))+LEN(SUBSTITUTE(SUBSTITUTE(SUBSTITUTE(C467:C471," ",""),"0",""),"-","")))</f>
      </c>
      <c r="D466" s="18"/>
      <c r="E466" s="18" t="str">
        <f>SUMPRODUCT(LEN(SUBSTITUTE(SUBSTITUTE(SUBSTITUTE(E467:E471," ",""),"0",""),"-",""))+LEN(SUBSTITUTE(SUBSTITUTE(SUBSTITUTE(F467:F471," ",""),"0",""),"-","")))</f>
      </c>
      <c r="F466" s="18" t="str">
        <f>SUMPRODUCT((UPPER(D467:D471)&lt;&gt;"X")*((LEN(SUBSTITUTE(SUBSTITUTE(SUBSTITUTE(E467:E471," ",""),"0",""),"-",""))+LEN(SUBSTITUTE(SUBSTITUTE(SUBSTITUTE(F467:F471," ",""),"0",""),"-","")))&gt;(LEN(SUBSTITUTE(SUBSTITUTE(SUBSTITUTE(B467:B471," ",""),"0",""),"-",""))+LEN(SUBSTITUTE(SUBSTITUTE(SUBSTITUTE(C467:C471," ",""),"0",""),"-",""))))*1)</f>
      </c>
      <c r="G466" s="14" t="str">
        <f>data!$B$36</f>
      </c>
      <c r="I466" s="14" t="str">
        <f>data!$B$84</f>
      </c>
      <c r="J466" s="18" t="str">
        <f>SUMPRODUCT((UPPER(L467:L471)&lt;&gt;"X")*((LEN(SUBSTITUTE(SUBSTITUTE(SUBSTITUTE(J467:J471," ",""),"0",""),"-",""))+LEN(SUBSTITUTE(SUBSTITUTE(SUBSTITUTE(K467:K471," ",""),"0",""),"-","")))&gt;(LEN(SUBSTITUTE(SUBSTITUTE(SUBSTITUTE(M467:M471," ",""),"0",""),"-",""))+LEN(SUBSTITUTE(SUBSTITUTE(SUBSTITUTE(N467:N471," ",""),"0",""),"-",""))))*1)</f>
      </c>
      <c r="K466" s="18" t="str">
        <f>SUMPRODUCT(LEN(SUBSTITUTE(SUBSTITUTE(SUBSTITUTE(J467:J471," ",""),"0",""),"-",""))+LEN(SUBSTITUTE(SUBSTITUTE(SUBSTITUTE(K467:K471," ",""),"0",""),"-","")))</f>
      </c>
      <c r="L466" s="18"/>
      <c r="M466" s="18" t="str">
        <f>SUMPRODUCT(LEN(SUBSTITUTE(SUBSTITUTE(SUBSTITUTE(M467:M471," ",""),"0",""),"-",""))+LEN(SUBSTITUTE(SUBSTITUTE(SUBSTITUTE(N467:N471," ",""),"0",""),"-","")))</f>
      </c>
      <c r="N466" s="18" t="str">
        <f>SUMPRODUCT((UPPER(L467:L471)&lt;&gt;"X")*((LEN(SUBSTITUTE(SUBSTITUTE(SUBSTITUTE(M467:M471," ",""),"0",""),"-",""))+LEN(SUBSTITUTE(SUBSTITUTE(SUBSTITUTE(N467:N471," ",""),"0",""),"-","")))&gt;(LEN(SUBSTITUTE(SUBSTITUTE(SUBSTITUTE(J467:J471," ",""),"0",""),"-",""))+LEN(SUBSTITUTE(SUBSTITUTE(SUBSTITUTE(K467:K471," ",""),"0",""),"-",""))))*1)</f>
      </c>
      <c r="O466" s="14" t="str">
        <f>data!$B$83</f>
      </c>
    </row>
    <row r="467">
      <c r="A467" s="18">
        <v>1</v>
      </c>
      <c r="B467" s="18"/>
      <c r="C467" s="18"/>
      <c r="D467" s="18"/>
      <c r="E467" s="18"/>
      <c r="F467" s="18"/>
      <c r="G467" s="18">
        <v>1</v>
      </c>
      <c r="I467" s="18">
        <v>1</v>
      </c>
      <c r="J467" s="18"/>
      <c r="K467" s="18"/>
      <c r="L467" s="18"/>
      <c r="M467" s="18"/>
      <c r="N467" s="18"/>
      <c r="O467" s="18">
        <v>1</v>
      </c>
    </row>
    <row r="468">
      <c r="A468" s="18">
        <v>2</v>
      </c>
      <c r="B468" s="18"/>
      <c r="C468" s="18"/>
      <c r="D468" s="18"/>
      <c r="E468" s="18"/>
      <c r="F468" s="18"/>
      <c r="G468" s="18">
        <v>2</v>
      </c>
      <c r="I468" s="18">
        <v>2</v>
      </c>
      <c r="J468" s="18"/>
      <c r="K468" s="18"/>
      <c r="L468" s="18"/>
      <c r="M468" s="18"/>
      <c r="N468" s="18"/>
      <c r="O468" s="18">
        <v>2</v>
      </c>
    </row>
    <row r="469">
      <c r="A469" s="18">
        <v>3</v>
      </c>
      <c r="B469" s="18"/>
      <c r="C469" s="18"/>
      <c r="D469" s="18"/>
      <c r="E469" s="18"/>
      <c r="F469" s="18"/>
      <c r="G469" s="18">
        <v>3</v>
      </c>
      <c r="I469" s="18">
        <v>3</v>
      </c>
      <c r="J469" s="18"/>
      <c r="K469" s="18"/>
      <c r="L469" s="18"/>
      <c r="M469" s="18"/>
      <c r="N469" s="18"/>
      <c r="O469" s="18">
        <v>3</v>
      </c>
    </row>
    <row r="470">
      <c r="A470" s="18">
        <v>4</v>
      </c>
      <c r="B470" s="18"/>
      <c r="C470" s="18"/>
      <c r="D470" s="18"/>
      <c r="E470" s="18"/>
      <c r="F470" s="18"/>
      <c r="G470" s="18">
        <v>4</v>
      </c>
      <c r="I470" s="18">
        <v>4</v>
      </c>
      <c r="J470" s="18"/>
      <c r="K470" s="18"/>
      <c r="L470" s="18"/>
      <c r="M470" s="18"/>
      <c r="N470" s="18"/>
      <c r="O470" s="18">
        <v>4</v>
      </c>
    </row>
    <row r="471">
      <c r="A471" s="18">
        <v>5</v>
      </c>
      <c r="B471" s="18"/>
      <c r="C471" s="18"/>
      <c r="D471" s="18"/>
      <c r="E471" s="18"/>
      <c r="F471" s="18"/>
      <c r="G471" s="18">
        <v>5</v>
      </c>
      <c r="I471" s="18">
        <v>5</v>
      </c>
      <c r="J471" s="18"/>
      <c r="K471" s="18"/>
      <c r="L471" s="18"/>
      <c r="M471" s="18"/>
      <c r="N471" s="18"/>
      <c r="O471" s="18">
        <v>5</v>
      </c>
    </row>
    <row r="473">
      <c r="A473" s="17" t="s">
        <v>239</v>
      </c>
      <c r="B473" s="14"/>
      <c r="C473" s="14"/>
      <c r="D473" s="14" t="s">
        <v>240</v>
      </c>
      <c r="E473" s="14"/>
      <c r="F473" s="14"/>
      <c r="G473" s="16" t="s">
        <v>241</v>
      </c>
      <c r="I473" s="17" t="s">
        <v>239</v>
      </c>
      <c r="J473" s="14"/>
      <c r="K473" s="14"/>
      <c r="L473" s="14" t="s">
        <v>240</v>
      </c>
      <c r="M473" s="14"/>
      <c r="N473" s="14"/>
      <c r="O473" s="16" t="s">
        <v>241</v>
      </c>
    </row>
    <row r="474">
      <c r="A474" s="14" t="str">
        <f>data!$B$38</f>
      </c>
      <c r="B474" s="18" t="str">
        <f>SUMPRODUCT((UPPER(D475:D479)&lt;&gt;"X")*((LEN(SUBSTITUTE(SUBSTITUTE(SUBSTITUTE(B475:B479," ",""),"0",""),"-",""))+LEN(SUBSTITUTE(SUBSTITUTE(SUBSTITUTE(C475:C479," ",""),"0",""),"-","")))&gt;(LEN(SUBSTITUTE(SUBSTITUTE(SUBSTITUTE(E475:E479," ",""),"0",""),"-",""))+LEN(SUBSTITUTE(SUBSTITUTE(SUBSTITUTE(F475:F479," ",""),"0",""),"-",""))))*1)</f>
      </c>
      <c r="C474" s="18" t="str">
        <f>SUMPRODUCT(LEN(SUBSTITUTE(SUBSTITUTE(SUBSTITUTE(B475:B479," ",""),"0",""),"-",""))+LEN(SUBSTITUTE(SUBSTITUTE(SUBSTITUTE(C475:C479," ",""),"0",""),"-","")))</f>
      </c>
      <c r="D474" s="18"/>
      <c r="E474" s="18" t="str">
        <f>SUMPRODUCT(LEN(SUBSTITUTE(SUBSTITUTE(SUBSTITUTE(E475:E479," ",""),"0",""),"-",""))+LEN(SUBSTITUTE(SUBSTITUTE(SUBSTITUTE(F475:F479," ",""),"0",""),"-","")))</f>
      </c>
      <c r="F474" s="18" t="str">
        <f>SUMPRODUCT((UPPER(D475:D479)&lt;&gt;"X")*((LEN(SUBSTITUTE(SUBSTITUTE(SUBSTITUTE(E475:E479," ",""),"0",""),"-",""))+LEN(SUBSTITUTE(SUBSTITUTE(SUBSTITUTE(F475:F479," ",""),"0",""),"-","")))&gt;(LEN(SUBSTITUTE(SUBSTITUTE(SUBSTITUTE(B475:B479," ",""),"0",""),"-",""))+LEN(SUBSTITUTE(SUBSTITUTE(SUBSTITUTE(C475:C479," ",""),"0",""),"-",""))))*1)</f>
      </c>
      <c r="G474" s="14" t="str">
        <f>data!$B$36</f>
      </c>
      <c r="I474" s="14" t="str">
        <f>data!$B$85</f>
      </c>
      <c r="J474" s="18" t="str">
        <f>SUMPRODUCT((UPPER(L475:L479)&lt;&gt;"X")*((LEN(SUBSTITUTE(SUBSTITUTE(SUBSTITUTE(J475:J479," ",""),"0",""),"-",""))+LEN(SUBSTITUTE(SUBSTITUTE(SUBSTITUTE(K475:K479," ",""),"0",""),"-","")))&gt;(LEN(SUBSTITUTE(SUBSTITUTE(SUBSTITUTE(M475:M479," ",""),"0",""),"-",""))+LEN(SUBSTITUTE(SUBSTITUTE(SUBSTITUTE(N475:N479," ",""),"0",""),"-",""))))*1)</f>
      </c>
      <c r="K474" s="18" t="str">
        <f>SUMPRODUCT(LEN(SUBSTITUTE(SUBSTITUTE(SUBSTITUTE(J475:J479," ",""),"0",""),"-",""))+LEN(SUBSTITUTE(SUBSTITUTE(SUBSTITUTE(K475:K479," ",""),"0",""),"-","")))</f>
      </c>
      <c r="L474" s="18"/>
      <c r="M474" s="18" t="str">
        <f>SUMPRODUCT(LEN(SUBSTITUTE(SUBSTITUTE(SUBSTITUTE(M475:M479," ",""),"0",""),"-",""))+LEN(SUBSTITUTE(SUBSTITUTE(SUBSTITUTE(N475:N479," ",""),"0",""),"-","")))</f>
      </c>
      <c r="N474" s="18" t="str">
        <f>SUMPRODUCT((UPPER(L475:L479)&lt;&gt;"X")*((LEN(SUBSTITUTE(SUBSTITUTE(SUBSTITUTE(M475:M479," ",""),"0",""),"-",""))+LEN(SUBSTITUTE(SUBSTITUTE(SUBSTITUTE(N475:N479," ",""),"0",""),"-","")))&gt;(LEN(SUBSTITUTE(SUBSTITUTE(SUBSTITUTE(J475:J479," ",""),"0",""),"-",""))+LEN(SUBSTITUTE(SUBSTITUTE(SUBSTITUTE(K475:K479," ",""),"0",""),"-",""))))*1)</f>
      </c>
      <c r="O474" s="14" t="str">
        <f>data!$B$83</f>
      </c>
    </row>
    <row r="475">
      <c r="A475" s="18">
        <v>1</v>
      </c>
      <c r="B475" s="18"/>
      <c r="C475" s="18"/>
      <c r="D475" s="18"/>
      <c r="E475" s="18"/>
      <c r="F475" s="18"/>
      <c r="G475" s="18">
        <v>1</v>
      </c>
      <c r="I475" s="18">
        <v>1</v>
      </c>
      <c r="J475" s="18"/>
      <c r="K475" s="18"/>
      <c r="L475" s="18"/>
      <c r="M475" s="18"/>
      <c r="N475" s="18"/>
      <c r="O475" s="18">
        <v>1</v>
      </c>
    </row>
    <row r="476">
      <c r="A476" s="18">
        <v>2</v>
      </c>
      <c r="B476" s="18"/>
      <c r="C476" s="18"/>
      <c r="D476" s="18"/>
      <c r="E476" s="18"/>
      <c r="F476" s="18"/>
      <c r="G476" s="18">
        <v>2</v>
      </c>
      <c r="I476" s="18">
        <v>2</v>
      </c>
      <c r="J476" s="18"/>
      <c r="K476" s="18"/>
      <c r="L476" s="18"/>
      <c r="M476" s="18"/>
      <c r="N476" s="18"/>
      <c r="O476" s="18">
        <v>2</v>
      </c>
    </row>
    <row r="477">
      <c r="A477" s="18">
        <v>3</v>
      </c>
      <c r="B477" s="18"/>
      <c r="C477" s="18"/>
      <c r="D477" s="18"/>
      <c r="E477" s="18"/>
      <c r="F477" s="18"/>
      <c r="G477" s="18">
        <v>3</v>
      </c>
      <c r="I477" s="18">
        <v>3</v>
      </c>
      <c r="J477" s="18"/>
      <c r="K477" s="18"/>
      <c r="L477" s="18"/>
      <c r="M477" s="18"/>
      <c r="N477" s="18"/>
      <c r="O477" s="18">
        <v>3</v>
      </c>
    </row>
    <row r="478">
      <c r="A478" s="18">
        <v>4</v>
      </c>
      <c r="B478" s="18"/>
      <c r="C478" s="18"/>
      <c r="D478" s="18"/>
      <c r="E478" s="18"/>
      <c r="F478" s="18"/>
      <c r="G478" s="18">
        <v>4</v>
      </c>
      <c r="I478" s="18">
        <v>4</v>
      </c>
      <c r="J478" s="18"/>
      <c r="K478" s="18"/>
      <c r="L478" s="18"/>
      <c r="M478" s="18"/>
      <c r="N478" s="18"/>
      <c r="O478" s="18">
        <v>4</v>
      </c>
    </row>
    <row r="479">
      <c r="A479" s="18">
        <v>5</v>
      </c>
      <c r="B479" s="18"/>
      <c r="C479" s="18"/>
      <c r="D479" s="18"/>
      <c r="E479" s="18"/>
      <c r="F479" s="18"/>
      <c r="G479" s="18">
        <v>5</v>
      </c>
      <c r="I479" s="18">
        <v>5</v>
      </c>
      <c r="J479" s="18"/>
      <c r="K479" s="18"/>
      <c r="L479" s="18"/>
      <c r="M479" s="18"/>
      <c r="N479" s="18"/>
      <c r="O479" s="18">
        <v>5</v>
      </c>
    </row>
    <row r="481">
      <c r="A481" s="17" t="s">
        <v>239</v>
      </c>
      <c r="B481" s="14"/>
      <c r="C481" s="14"/>
      <c r="D481" s="14" t="s">
        <v>240</v>
      </c>
      <c r="E481" s="14"/>
      <c r="F481" s="14"/>
      <c r="G481" s="16" t="s">
        <v>241</v>
      </c>
      <c r="I481" s="17" t="s">
        <v>239</v>
      </c>
      <c r="J481" s="14"/>
      <c r="K481" s="14"/>
      <c r="L481" s="14" t="s">
        <v>240</v>
      </c>
      <c r="M481" s="14"/>
      <c r="N481" s="14"/>
      <c r="O481" s="16" t="s">
        <v>241</v>
      </c>
    </row>
    <row r="482">
      <c r="A482" s="14" t="str">
        <f>data!$B$38</f>
      </c>
      <c r="B482" s="18" t="str">
        <f>SUMPRODUCT((UPPER(D483:D487)&lt;&gt;"X")*((LEN(SUBSTITUTE(SUBSTITUTE(SUBSTITUTE(B483:B487," ",""),"0",""),"-",""))+LEN(SUBSTITUTE(SUBSTITUTE(SUBSTITUTE(C483:C487," ",""),"0",""),"-","")))&gt;(LEN(SUBSTITUTE(SUBSTITUTE(SUBSTITUTE(E483:E487," ",""),"0",""),"-",""))+LEN(SUBSTITUTE(SUBSTITUTE(SUBSTITUTE(F483:F487," ",""),"0",""),"-",""))))*1)</f>
      </c>
      <c r="C482" s="18" t="str">
        <f>SUMPRODUCT(LEN(SUBSTITUTE(SUBSTITUTE(SUBSTITUTE(B483:B487," ",""),"0",""),"-",""))+LEN(SUBSTITUTE(SUBSTITUTE(SUBSTITUTE(C483:C487," ",""),"0",""),"-","")))</f>
      </c>
      <c r="D482" s="18"/>
      <c r="E482" s="18" t="str">
        <f>SUMPRODUCT(LEN(SUBSTITUTE(SUBSTITUTE(SUBSTITUTE(E483:E487," ",""),"0",""),"-",""))+LEN(SUBSTITUTE(SUBSTITUTE(SUBSTITUTE(F483:F487," ",""),"0",""),"-","")))</f>
      </c>
      <c r="F482" s="18" t="str">
        <f>SUMPRODUCT((UPPER(D483:D487)&lt;&gt;"X")*((LEN(SUBSTITUTE(SUBSTITUTE(SUBSTITUTE(E483:E487," ",""),"0",""),"-",""))+LEN(SUBSTITUTE(SUBSTITUTE(SUBSTITUTE(F483:F487," ",""),"0",""),"-","")))&gt;(LEN(SUBSTITUTE(SUBSTITUTE(SUBSTITUTE(B483:B487," ",""),"0",""),"-",""))+LEN(SUBSTITUTE(SUBSTITUTE(SUBSTITUTE(C483:C487," ",""),"0",""),"-",""))))*1)</f>
      </c>
      <c r="G482" s="14" t="str">
        <f>data!$B$37</f>
      </c>
      <c r="I482" s="14" t="str">
        <f>data!$B$85</f>
      </c>
      <c r="J482" s="18" t="str">
        <f>SUMPRODUCT((UPPER(L483:L487)&lt;&gt;"X")*((LEN(SUBSTITUTE(SUBSTITUTE(SUBSTITUTE(J483:J487," ",""),"0",""),"-",""))+LEN(SUBSTITUTE(SUBSTITUTE(SUBSTITUTE(K483:K487," ",""),"0",""),"-","")))&gt;(LEN(SUBSTITUTE(SUBSTITUTE(SUBSTITUTE(M483:M487," ",""),"0",""),"-",""))+LEN(SUBSTITUTE(SUBSTITUTE(SUBSTITUTE(N483:N487," ",""),"0",""),"-",""))))*1)</f>
      </c>
      <c r="K482" s="18" t="str">
        <f>SUMPRODUCT(LEN(SUBSTITUTE(SUBSTITUTE(SUBSTITUTE(J483:J487," ",""),"0",""),"-",""))+LEN(SUBSTITUTE(SUBSTITUTE(SUBSTITUTE(K483:K487," ",""),"0",""),"-","")))</f>
      </c>
      <c r="L482" s="18"/>
      <c r="M482" s="18" t="str">
        <f>SUMPRODUCT(LEN(SUBSTITUTE(SUBSTITUTE(SUBSTITUTE(M483:M487," ",""),"0",""),"-",""))+LEN(SUBSTITUTE(SUBSTITUTE(SUBSTITUTE(N483:N487," ",""),"0",""),"-","")))</f>
      </c>
      <c r="N482" s="18" t="str">
        <f>SUMPRODUCT((UPPER(L483:L487)&lt;&gt;"X")*((LEN(SUBSTITUTE(SUBSTITUTE(SUBSTITUTE(M483:M487," ",""),"0",""),"-",""))+LEN(SUBSTITUTE(SUBSTITUTE(SUBSTITUTE(N483:N487," ",""),"0",""),"-","")))&gt;(LEN(SUBSTITUTE(SUBSTITUTE(SUBSTITUTE(J483:J487," ",""),"0",""),"-",""))+LEN(SUBSTITUTE(SUBSTITUTE(SUBSTITUTE(K483:K487," ",""),"0",""),"-",""))))*1)</f>
      </c>
      <c r="O482" s="14" t="str">
        <f>data!$B$84</f>
      </c>
    </row>
    <row r="483">
      <c r="A483" s="18">
        <v>1</v>
      </c>
      <c r="B483" s="18"/>
      <c r="C483" s="18"/>
      <c r="D483" s="18"/>
      <c r="E483" s="18"/>
      <c r="F483" s="18"/>
      <c r="G483" s="18">
        <v>1</v>
      </c>
      <c r="I483" s="18">
        <v>1</v>
      </c>
      <c r="J483" s="18"/>
      <c r="K483" s="18"/>
      <c r="L483" s="18"/>
      <c r="M483" s="18"/>
      <c r="N483" s="18"/>
      <c r="O483" s="18">
        <v>1</v>
      </c>
    </row>
    <row r="484">
      <c r="A484" s="18">
        <v>2</v>
      </c>
      <c r="B484" s="18"/>
      <c r="C484" s="18"/>
      <c r="D484" s="18"/>
      <c r="E484" s="18"/>
      <c r="F484" s="18"/>
      <c r="G484" s="18">
        <v>2</v>
      </c>
      <c r="I484" s="18">
        <v>2</v>
      </c>
      <c r="J484" s="18"/>
      <c r="K484" s="18"/>
      <c r="L484" s="18"/>
      <c r="M484" s="18"/>
      <c r="N484" s="18"/>
      <c r="O484" s="18">
        <v>2</v>
      </c>
    </row>
    <row r="485">
      <c r="A485" s="18">
        <v>3</v>
      </c>
      <c r="B485" s="18"/>
      <c r="C485" s="18"/>
      <c r="D485" s="18"/>
      <c r="E485" s="18"/>
      <c r="F485" s="18"/>
      <c r="G485" s="18">
        <v>3</v>
      </c>
      <c r="I485" s="18">
        <v>3</v>
      </c>
      <c r="J485" s="18"/>
      <c r="K485" s="18"/>
      <c r="L485" s="18"/>
      <c r="M485" s="18"/>
      <c r="N485" s="18"/>
      <c r="O485" s="18">
        <v>3</v>
      </c>
    </row>
    <row r="486">
      <c r="A486" s="18">
        <v>4</v>
      </c>
      <c r="B486" s="18"/>
      <c r="C486" s="18"/>
      <c r="D486" s="18"/>
      <c r="E486" s="18"/>
      <c r="F486" s="18"/>
      <c r="G486" s="18">
        <v>4</v>
      </c>
      <c r="I486" s="18">
        <v>4</v>
      </c>
      <c r="J486" s="18"/>
      <c r="K486" s="18"/>
      <c r="L486" s="18"/>
      <c r="M486" s="18"/>
      <c r="N486" s="18"/>
      <c r="O486" s="18">
        <v>4</v>
      </c>
    </row>
    <row r="487">
      <c r="A487" s="18">
        <v>5</v>
      </c>
      <c r="B487" s="18"/>
      <c r="C487" s="18"/>
      <c r="D487" s="18"/>
      <c r="E487" s="18"/>
      <c r="F487" s="18"/>
      <c r="G487" s="18">
        <v>5</v>
      </c>
      <c r="I487" s="18">
        <v>5</v>
      </c>
      <c r="J487" s="18"/>
      <c r="K487" s="18"/>
      <c r="L487" s="18"/>
      <c r="M487" s="18"/>
      <c r="N487" s="18"/>
      <c r="O487" s="18">
        <v>5</v>
      </c>
    </row>
    <row r="490">
      <c r="A490" s="13"/>
      <c r="B490" s="13" t="s">
        <v>242</v>
      </c>
      <c r="C490" s="13" t="s">
        <v>243</v>
      </c>
      <c r="D490" s="13" t="s">
        <v>244</v>
      </c>
      <c r="I490" s="13"/>
      <c r="J490" s="13" t="s">
        <v>242</v>
      </c>
      <c r="K490" s="13" t="s">
        <v>243</v>
      </c>
      <c r="L490" s="13" t="s">
        <v>244</v>
      </c>
    </row>
    <row r="491">
      <c r="A491" t="str">
        <f>data!$B$36</f>
      </c>
      <c r="B491" s="14" t="str">
        <f>IF(OR(COUNTA(B467:C471,E467:F471)&gt;0,OR(D466="X",D466="x")),IF(OR(D466="X",D466="x"),0,IF(OR(F466&gt;B466,AND(F466=B466,E466&gt;C466)),1,0)),0)+IF(OR(COUNTA(B475:C479,E475:F479)&gt;0,OR(D474="X",D474="x")),IF(OR(D474="X",D474="x"),0,IF(OR(F474&gt;B474,AND(F474=B474,E474&gt;C474)),1,0)),0)</f>
      </c>
      <c r="C491" s="14" t="str">
        <f>IF(OR(COUNTA(B467:C471,E467:F471)&gt;0,OR(D466="X",D466="x")),IF(OR(D466="X",D466="x"),0,IF(OR(F466&lt;B466,AND(F466=B466,E466&lt;C466)),1,0)),0)+IF(OR(COUNTA(B475:C479,E475:F479)&gt;0,OR(D474="X",D474="x")),IF(OR(D474="X",D474="x"),0,IF(OR(F474&lt;B474,AND(F474=B474,E474&lt;C474)),1,0)),0)</f>
      </c>
      <c r="D491" s="14" t="str">
        <f>IF(OR(COUNTA(B467:C471,E467:F471)&gt;0,OR(D466="X",D466="x")),IF(OR(D466="X",D466="x"),1,0),0)+IF(OR(COUNTA(B475:C479,E475:F479)&gt;0,OR(D474="X",D474="x")),IF(OR(D474="X",D474="x"),1,0),0)</f>
      </c>
      <c r="I491" t="str">
        <f>data!$B$83</f>
      </c>
      <c r="J491" s="14" t="str">
        <f>IF(OR(COUNTA(J467:K471,M467:N471)&gt;0,OR(L466="X",L466="x")),IF(OR(L466="X",L466="x"),0,IF(OR(N466&gt;J466,AND(N466=J466,M466&gt;K466)),1,0)),0)+IF(OR(COUNTA(J475:K479,M475:N479)&gt;0,OR(L474="X",L474="x")),IF(OR(L474="X",L474="x"),0,IF(OR(N474&gt;J474,AND(N474=J474,M474&gt;K474)),1,0)),0)</f>
      </c>
      <c r="K491" s="14" t="str">
        <f>IF(OR(COUNTA(J467:K471,M467:N471)&gt;0,OR(L466="X",L466="x")),IF(OR(L466="X",L466="x"),0,IF(OR(N466&lt;J466,AND(N466=J466,M466&lt;K466)),1,0)),0)+IF(OR(COUNTA(J475:K479,M475:N479)&gt;0,OR(L474="X",L474="x")),IF(OR(L474="X",L474="x"),0,IF(OR(N474&lt;J474,AND(N474=J474,M474&lt;K474)),1,0)),0)</f>
      </c>
      <c r="L491" s="14" t="str">
        <f>IF(OR(COUNTA(J467:K471,M467:N471)&gt;0,OR(L466="X",L466="x")),IF(OR(L466="X",L466="x"),1,0),0)+IF(OR(COUNTA(J475:K479,M475:N479)&gt;0,OR(L474="X",L474="x")),IF(OR(L474="X",L474="x"),1,0),0)</f>
      </c>
    </row>
    <row r="492">
      <c r="A492" t="str">
        <f>data!$B$37</f>
      </c>
      <c r="B492" s="14" t="str">
        <f>IF(OR(COUNTA(B467:C471,E467:F471)&gt;0,OR(D466="X",D466="x")),IF(OR(D466="X",D466="x"),0,IF(OR(B466&gt;F466,AND(B466=F466,C466&gt;E466)),1,0)),0)+IF(OR(COUNTA(B483:C487,E483:F487)&gt;0,OR(D482="X",D482="x")),IF(OR(D482="X",D482="x"),0,IF(OR(F482&gt;B482,AND(F482=B482,E482&gt;C482)),1,0)),0)</f>
      </c>
      <c r="C492" s="14" t="str">
        <f>IF(OR(COUNTA(B467:C471,E467:F471)&gt;0,OR(D466="X",D466="x")),IF(OR(D466="X",D466="x"),0,IF(OR(B466&lt;F466,AND(B466=F466,C466&lt;E466)),1,0)),0)+IF(OR(COUNTA(B483:C487,E483:F487)&gt;0,OR(D482="X",D482="x")),IF(OR(D482="X",D482="x"),0,IF(OR(F482&lt;B482,AND(F482=B482,E482&lt;C482)),1,0)),0)</f>
      </c>
      <c r="D492" s="14" t="str">
        <f>IF(OR(COUNTA(B467:C471,E467:F471)&gt;0,OR(D466="X",D466="x")),IF(OR(D466="X",D466="x"),1,0),0)+IF(OR(COUNTA(B483:C487,E483:F487)&gt;0,OR(D482="X",D482="x")),IF(OR(D482="X",D482="x"),1,0),0)</f>
      </c>
      <c r="I492" t="str">
        <f>data!$B$84</f>
      </c>
      <c r="J492" s="14" t="str">
        <f>IF(OR(COUNTA(J467:K471,M467:N471)&gt;0,OR(L466="X",L466="x")),IF(OR(L466="X",L466="x"),0,IF(OR(J466&gt;N466,AND(J466=N466,K466&gt;M466)),1,0)),0)+IF(OR(COUNTA(J483:K487,M483:N487)&gt;0,OR(L482="X",L482="x")),IF(OR(L482="X",L482="x"),0,IF(OR(N482&gt;J482,AND(N482=J482,M482&gt;K482)),1,0)),0)</f>
      </c>
      <c r="K492" s="14" t="str">
        <f>IF(OR(COUNTA(J467:K471,M467:N471)&gt;0,OR(L466="X",L466="x")),IF(OR(L466="X",L466="x"),0,IF(OR(J466&lt;N466,AND(J466=N466,K466&lt;M466)),1,0)),0)+IF(OR(COUNTA(J483:K487,M483:N487)&gt;0,OR(L482="X",L482="x")),IF(OR(L482="X",L482="x"),0,IF(OR(N482&lt;J482,AND(N482=J482,M482&lt;K482)),1,0)),0)</f>
      </c>
      <c r="L492" s="14" t="str">
        <f>IF(OR(COUNTA(J467:K471,M467:N471)&gt;0,OR(L466="X",L466="x")),IF(OR(L466="X",L466="x"),1,0),0)+IF(OR(COUNTA(J483:K487,M483:N487)&gt;0,OR(L482="X",L482="x")),IF(OR(L482="X",L482="x"),1,0),0)</f>
      </c>
    </row>
    <row r="493">
      <c r="A493" t="str">
        <f>data!$B$38</f>
      </c>
      <c r="B493" s="14" t="str">
        <f>IF(OR(COUNTA(B475:C479,E475:F479)&gt;0,OR(D474="X",D474="x")),IF(OR(D474="X",D474="x"),0,IF(OR(B474&gt;F474,AND(B474=F474,C474&gt;E474)),1,0)),0)+IF(OR(COUNTA(B483:C487,E483:F487)&gt;0,OR(D482="X",D482="x")),IF(OR(D482="X",D482="x"),0,IF(OR(B482&gt;F482,AND(B482=F482,C482&gt;E482)),1,0)),0)</f>
      </c>
      <c r="C493" s="14" t="str">
        <f>IF(OR(COUNTA(B475:C479,E475:F479)&gt;0,OR(D474="X",D474="x")),IF(OR(D474="X",D474="x"),0,IF(OR(B474&lt;F474,AND(B474=F474,C474&lt;E474)),1,0)),0)+IF(OR(COUNTA(B483:C487,E483:F487)&gt;0,OR(D482="X",D482="x")),IF(OR(D482="X",D482="x"),0,IF(OR(B482&lt;F482,AND(B482=F482,C482&lt;E482)),1,0)),0)</f>
      </c>
      <c r="D493" s="14" t="str">
        <f>IF(OR(COUNTA(B475:C479,E475:F479)&gt;0,OR(D474="X",D474="x")),IF(OR(D474="X",D474="x"),1,0),0)+IF(OR(COUNTA(B483:C487,E483:F487)&gt;0,OR(D482="X",D482="x")),IF(OR(D482="X",D482="x"),1,0),0)</f>
      </c>
      <c r="I493" t="str">
        <f>data!$B$85</f>
      </c>
      <c r="J493" s="14" t="str">
        <f>IF(OR(COUNTA(J475:K479,M475:N479)&gt;0,OR(L474="X",L474="x")),IF(OR(L474="X",L474="x"),0,IF(OR(J474&gt;N474,AND(J474=N474,K474&gt;M474)),1,0)),0)+IF(OR(COUNTA(J483:K487,M483:N487)&gt;0,OR(L482="X",L482="x")),IF(OR(L482="X",L482="x"),0,IF(OR(J482&gt;N482,AND(J482=N482,K482&gt;M482)),1,0)),0)</f>
      </c>
      <c r="K493" s="14" t="str">
        <f>IF(OR(COUNTA(J475:K479,M475:N479)&gt;0,OR(L474="X",L474="x")),IF(OR(L474="X",L474="x"),0,IF(OR(J474&lt;N474,AND(J474=N474,K474&lt;M474)),1,0)),0)+IF(OR(COUNTA(J483:K487,M483:N487)&gt;0,OR(L482="X",L482="x")),IF(OR(L482="X",L482="x"),0,IF(OR(J482&lt;N482,AND(J482=N482,K482&lt;M482)),1,0)),0)</f>
      </c>
      <c r="L493" s="14" t="str">
        <f>IF(OR(COUNTA(J475:K479,M475:N479)&gt;0,OR(L474="X",L474="x")),IF(OR(L474="X",L474="x"),1,0),0)+IF(OR(COUNTA(J483:K487,M483:N487)&gt;0,OR(L482="X",L482="x")),IF(OR(L482="X",L482="x"),1,0),0)</f>
      </c>
    </row>
    <row r="495">
      <c r="A495" s="13"/>
      <c r="B495" s="13" t="s">
        <v>245</v>
      </c>
      <c r="C495" s="13" t="s">
        <v>246</v>
      </c>
      <c r="D495" s="13" t="s">
        <v>247</v>
      </c>
      <c r="E495" s="13" t="s">
        <v>248</v>
      </c>
      <c r="F495" s="13" t="s">
        <v>249</v>
      </c>
      <c r="I495" s="13"/>
      <c r="J495" s="13" t="s">
        <v>245</v>
      </c>
      <c r="K495" s="13" t="s">
        <v>246</v>
      </c>
      <c r="L495" s="13" t="s">
        <v>247</v>
      </c>
      <c r="M495" s="13" t="s">
        <v>248</v>
      </c>
      <c r="N495" s="13" t="s">
        <v>249</v>
      </c>
    </row>
    <row r="496">
      <c r="A496" t="str">
        <f>data!$B$36</f>
      </c>
      <c r="B496" s="14" t="str">
        <f>IF(OR(COUNTA(B467:C471,E467:F471)&gt;0,OR(D466="X",D466="x")),F466,0)+IF(OR(COUNTA(B475:C479,E475:F479)&gt;0,OR(D474="X",D474="x")),F474,0)</f>
      </c>
      <c r="C496" s="14" t="str">
        <f>IF(OR(COUNTA(B467:C471,E467:F471)&gt;0,OR(D466="X",D466="x")),B466,0)+IF(OR(COUNTA(B475:C479,E475:F479)&gt;0,OR(D474="X",D474="x")),B474,0)</f>
      </c>
      <c r="D496" s="14" t="str">
        <f>IF(OR(COUNTA(B467:C471,E467:F471)&gt;0,OR(D466="X",D466="x")),(IF(OR(D467="X",D467="x"),1,0)+IF(OR(D468="X",D468="x"),1,0)+IF(OR(D469="X",D469="x"),1,0)+IF(OR(D470="X",D470="x"),1,0)+IF(OR(D471="X",D471="x"),1,0)),0)+IF(OR(COUNTA(B475:C479,E475:F479)&gt;0,OR(D474="X",D474="x")),(IF(OR(D475="X",D475="x"),1,0)+IF(OR(D476="X",D476="x"),1,0)+IF(OR(D477="X",D477="x"),1,0)+IF(OR(D478="X",D478="x"),1,0)+IF(OR(D479="X",D479="x"),1,0)),0)</f>
      </c>
      <c r="E496" s="14" t="str">
        <f>E466+E474</f>
      </c>
      <c r="F496" s="14" t="str">
        <f>C466+C474</f>
      </c>
      <c r="I496" t="str">
        <f>data!$B$83</f>
      </c>
      <c r="J496" s="14" t="str">
        <f>IF(OR(COUNTA(J467:K471,M467:N471)&gt;0,OR(L466="X",L466="x")),N466,0)+IF(OR(COUNTA(J475:K479,M475:N479)&gt;0,OR(L474="X",L474="x")),N474,0)</f>
      </c>
      <c r="K496" s="14" t="str">
        <f>IF(OR(COUNTA(J467:K471,M467:N471)&gt;0,OR(L466="X",L466="x")),J466,0)+IF(OR(COUNTA(J475:K479,M475:N479)&gt;0,OR(L474="X",L474="x")),J474,0)</f>
      </c>
      <c r="L496" s="14" t="str">
        <f>IF(OR(COUNTA(J467:K471,M467:N471)&gt;0,OR(L466="X",L466="x")),(IF(OR(L467="X",L467="x"),1,0)+IF(OR(L468="X",L468="x"),1,0)+IF(OR(L469="X",L469="x"),1,0)+IF(OR(L470="X",L470="x"),1,0)+IF(OR(L471="X",L471="x"),1,0)),0)+IF(OR(COUNTA(J475:K479,M475:N479)&gt;0,OR(L474="X",L474="x")),(IF(OR(L475="X",L475="x"),1,0)+IF(OR(L476="X",L476="x"),1,0)+IF(OR(L477="X",L477="x"),1,0)+IF(OR(L478="X",L478="x"),1,0)+IF(OR(L479="X",L479="x"),1,0)),0)</f>
      </c>
      <c r="M496" s="14" t="str">
        <f>M466+M474</f>
      </c>
      <c r="N496" s="14" t="str">
        <f>K466+K474</f>
      </c>
    </row>
    <row r="497">
      <c r="A497" t="str">
        <f>data!$B$37</f>
      </c>
      <c r="B497" s="14" t="str">
        <f>IF(OR(COUNTA(B467:C471,E467:F471)&gt;0,OR(D466="X",D466="x")),B466,0)+IF(OR(COUNTA(B483:C487,E483:F487)&gt;0,OR(D482="X",D482="x")),F482,0)</f>
      </c>
      <c r="C497" s="14" t="str">
        <f>IF(OR(COUNTA(B467:C471,E467:F471)&gt;0,OR(D466="X",D466="x")),F466,0)+IF(OR(COUNTA(B483:C487,E483:F487)&gt;0,OR(D482="X",D482="x")),B482,0)</f>
      </c>
      <c r="D497" s="14" t="str">
        <f>IF(OR(COUNTA(B467:C471,E467:F471)&gt;0,OR(D466="X",D466="x")),(IF(OR(D467="X",D467="x"),1,0)+IF(OR(D468="X",D468="x"),1,0)+IF(OR(D469="X",D469="x"),1,0)+IF(OR(D470="X",D470="x"),1,0)+IF(OR(D471="X",D471="x"),1,0)),0)+IF(OR(COUNTA(B483:C487,E483:F487)&gt;0,OR(D482="X",D482="x")),(IF(OR(D483="X",D483="x"),1,0)+IF(OR(D484="X",D484="x"),1,0)+IF(OR(D485="X",D485="x"),1,0)+IF(OR(D486="X",D486="x"),1,0)+IF(OR(D487="X",D487="x"),1,0)),0)</f>
      </c>
      <c r="E497" s="14" t="str">
        <f>C466+E482</f>
      </c>
      <c r="F497" s="14" t="str">
        <f>E466+C482</f>
      </c>
      <c r="I497" t="str">
        <f>data!$B$84</f>
      </c>
      <c r="J497" s="14" t="str">
        <f>IF(OR(COUNTA(J467:K471,M467:N471)&gt;0,OR(L466="X",L466="x")),J466,0)+IF(OR(COUNTA(J483:K487,M483:N487)&gt;0,OR(L482="X",L482="x")),N482,0)</f>
      </c>
      <c r="K497" s="14" t="str">
        <f>IF(OR(COUNTA(J467:K471,M467:N471)&gt;0,OR(L466="X",L466="x")),N466,0)+IF(OR(COUNTA(J483:K487,M483:N487)&gt;0,OR(L482="X",L482="x")),J482,0)</f>
      </c>
      <c r="L497" s="14" t="str">
        <f>IF(OR(COUNTA(J467:K471,M467:N471)&gt;0,OR(L466="X",L466="x")),(IF(OR(L467="X",L467="x"),1,0)+IF(OR(L468="X",L468="x"),1,0)+IF(OR(L469="X",L469="x"),1,0)+IF(OR(L470="X",L470="x"),1,0)+IF(OR(L471="X",L471="x"),1,0)),0)+IF(OR(COUNTA(J483:K487,M483:N487)&gt;0,OR(L482="X",L482="x")),(IF(OR(L483="X",L483="x"),1,0)+IF(OR(L484="X",L484="x"),1,0)+IF(OR(L485="X",L485="x"),1,0)+IF(OR(L486="X",L486="x"),1,0)+IF(OR(L487="X",L487="x"),1,0)),0)</f>
      </c>
      <c r="M497" s="14" t="str">
        <f>K466+M482</f>
      </c>
      <c r="N497" s="14" t="str">
        <f>M466+K482</f>
      </c>
    </row>
    <row r="498">
      <c r="A498" t="str">
        <f>data!$B$38</f>
      </c>
      <c r="B498" s="14" t="str">
        <f>IF(OR(COUNTA(B475:C479,E475:F479)&gt;0,OR(D474="X",D474="x")),B474,0)+IF(OR(COUNTA(B483:C487,E483:F487)&gt;0,OR(D482="X",D482="x")),B482,0)</f>
      </c>
      <c r="C498" s="14" t="str">
        <f>IF(OR(COUNTA(B475:C479,E475:F479)&gt;0,OR(D474="X",D474="x")),F474,0)+IF(OR(COUNTA(B483:C487,E483:F487)&gt;0,OR(D482="X",D482="x")),F482,0)</f>
      </c>
      <c r="D498" s="14" t="str">
        <f>IF(OR(COUNTA(B475:C479,E475:F479)&gt;0,OR(D474="X",D474="x")),(IF(OR(D475="X",D475="x"),1,0)+IF(OR(D476="X",D476="x"),1,0)+IF(OR(D477="X",D477="x"),1,0)+IF(OR(D478="X",D478="x"),1,0)+IF(OR(D479="X",D479="x"),1,0)),0)+IF(OR(COUNTA(B483:C487,E483:F487)&gt;0,OR(D482="X",D482="x")),(IF(OR(D483="X",D483="x"),1,0)+IF(OR(D484="X",D484="x"),1,0)+IF(OR(D485="X",D485="x"),1,0)+IF(OR(D486="X",D486="x"),1,0)+IF(OR(D487="X",D487="x"),1,0)),0)</f>
      </c>
      <c r="E498" s="14" t="str">
        <f>C474+C482</f>
      </c>
      <c r="F498" s="14" t="str">
        <f>E474+E482</f>
      </c>
      <c r="I498" t="str">
        <f>data!$B$85</f>
      </c>
      <c r="J498" s="14" t="str">
        <f>IF(OR(COUNTA(J475:K479,M475:N479)&gt;0,OR(L474="X",L474="x")),J474,0)+IF(OR(COUNTA(J483:K487,M483:N487)&gt;0,OR(L482="X",L482="x")),J482,0)</f>
      </c>
      <c r="K498" s="14" t="str">
        <f>IF(OR(COUNTA(J475:K479,M475:N479)&gt;0,OR(L474="X",L474="x")),N474,0)+IF(OR(COUNTA(J483:K487,M483:N487)&gt;0,OR(L482="X",L482="x")),N482,0)</f>
      </c>
      <c r="L498" s="14" t="str">
        <f>IF(OR(COUNTA(J475:K479,M475:N479)&gt;0,OR(L474="X",L474="x")),(IF(OR(L475="X",L475="x"),1,0)+IF(OR(L476="X",L476="x"),1,0)+IF(OR(L477="X",L477="x"),1,0)+IF(OR(L478="X",L478="x"),1,0)+IF(OR(L479="X",L479="x"),1,0)),0)+IF(OR(COUNTA(J483:K487,M483:N487)&gt;0,OR(L482="X",L482="x")),(IF(OR(L483="X",L483="x"),1,0)+IF(OR(L484="X",L484="x"),1,0)+IF(OR(L485="X",L485="x"),1,0)+IF(OR(L486="X",L486="x"),1,0)+IF(OR(L487="X",L487="x"),1,0)),0)</f>
      </c>
      <c r="M498" s="14" t="str">
        <f>K474+K482</f>
      </c>
      <c r="N498" s="14" t="str">
        <f>M474+M482</f>
      </c>
    </row>
    <row r="501">
      <c r="F501" s="13"/>
      <c r="G501" s="13" t="s">
        <v>250</v>
      </c>
      <c r="N501" s="13"/>
      <c r="O501" s="13" t="s">
        <v>250</v>
      </c>
    </row>
    <row r="502">
      <c r="F502" t="s">
        <v>251</v>
      </c>
      <c r="G502" s="19"/>
      <c r="N502" t="s">
        <v>251</v>
      </c>
      <c r="O502" s="19"/>
    </row>
    <row r="503">
      <c r="F503" t="s">
        <v>252</v>
      </c>
      <c r="G503" s="19"/>
      <c r="N503" t="s">
        <v>252</v>
      </c>
      <c r="O503" s="19"/>
    </row>
    <row r="504">
      <c r="F504" t="s">
        <v>253</v>
      </c>
      <c r="G504" s="19"/>
      <c r="N504" t="s">
        <v>253</v>
      </c>
      <c r="O504" s="19"/>
    </row>
    <row r="506">
      <c r="A506" s="13" t="str">
        <f>data!$A$41</f>
      </c>
      <c r="B506" s="13"/>
      <c r="C506" s="13"/>
      <c r="D506" s="13"/>
      <c r="E506" s="13"/>
      <c r="F506" s="13"/>
      <c r="G506" s="13"/>
      <c r="I506" s="13" t="str">
        <f>data!$A$88</f>
      </c>
      <c r="J506" s="13"/>
      <c r="K506" s="13"/>
      <c r="L506" s="13"/>
      <c r="M506" s="13"/>
      <c r="N506" s="13"/>
      <c r="O506" s="13"/>
    </row>
    <row r="507">
      <c r="A507" s="17" t="s">
        <v>239</v>
      </c>
      <c r="B507" s="14"/>
      <c r="C507" s="14"/>
      <c r="D507" s="14" t="s">
        <v>240</v>
      </c>
      <c r="E507" s="14"/>
      <c r="F507" s="14"/>
      <c r="G507" s="16" t="s">
        <v>241</v>
      </c>
      <c r="I507" s="17" t="s">
        <v>239</v>
      </c>
      <c r="J507" s="14"/>
      <c r="K507" s="14"/>
      <c r="L507" s="14" t="s">
        <v>240</v>
      </c>
      <c r="M507" s="14"/>
      <c r="N507" s="14"/>
      <c r="O507" s="16" t="s">
        <v>241</v>
      </c>
    </row>
    <row r="508">
      <c r="A508" s="14" t="str">
        <f>data!$B$40</f>
      </c>
      <c r="B508" s="18" t="str">
        <f>SUMPRODUCT((UPPER(D509:D513)&lt;&gt;"X")*((LEN(SUBSTITUTE(SUBSTITUTE(SUBSTITUTE(B509:B513," ",""),"0",""),"-",""))+LEN(SUBSTITUTE(SUBSTITUTE(SUBSTITUTE(C509:C513," ",""),"0",""),"-","")))&gt;(LEN(SUBSTITUTE(SUBSTITUTE(SUBSTITUTE(E509:E513," ",""),"0",""),"-",""))+LEN(SUBSTITUTE(SUBSTITUTE(SUBSTITUTE(F509:F513," ",""),"0",""),"-",""))))*1)</f>
      </c>
      <c r="C508" s="18" t="str">
        <f>SUMPRODUCT(LEN(SUBSTITUTE(SUBSTITUTE(SUBSTITUTE(B509:B513," ",""),"0",""),"-",""))+LEN(SUBSTITUTE(SUBSTITUTE(SUBSTITUTE(C509:C513," ",""),"0",""),"-","")))</f>
      </c>
      <c r="D508" s="18"/>
      <c r="E508" s="18" t="str">
        <f>SUMPRODUCT(LEN(SUBSTITUTE(SUBSTITUTE(SUBSTITUTE(E509:E513," ",""),"0",""),"-",""))+LEN(SUBSTITUTE(SUBSTITUTE(SUBSTITUTE(F509:F513," ",""),"0",""),"-","")))</f>
      </c>
      <c r="F508" s="18" t="str">
        <f>SUMPRODUCT((UPPER(D509:D513)&lt;&gt;"X")*((LEN(SUBSTITUTE(SUBSTITUTE(SUBSTITUTE(E509:E513," ",""),"0",""),"-",""))+LEN(SUBSTITUTE(SUBSTITUTE(SUBSTITUTE(F509:F513," ",""),"0",""),"-","")))&gt;(LEN(SUBSTITUTE(SUBSTITUTE(SUBSTITUTE(B509:B513," ",""),"0",""),"-",""))+LEN(SUBSTITUTE(SUBSTITUTE(SUBSTITUTE(C509:C513," ",""),"0",""),"-",""))))*1)</f>
      </c>
      <c r="G508" s="14" t="str">
        <f>data!$B$39</f>
      </c>
      <c r="I508" s="14" t="str">
        <f>data!$B$87</f>
      </c>
      <c r="J508" s="18" t="str">
        <f>SUMPRODUCT((UPPER(L509:L513)&lt;&gt;"X")*((LEN(SUBSTITUTE(SUBSTITUTE(SUBSTITUTE(J509:J513," ",""),"0",""),"-",""))+LEN(SUBSTITUTE(SUBSTITUTE(SUBSTITUTE(K509:K513," ",""),"0",""),"-","")))&gt;(LEN(SUBSTITUTE(SUBSTITUTE(SUBSTITUTE(M509:M513," ",""),"0",""),"-",""))+LEN(SUBSTITUTE(SUBSTITUTE(SUBSTITUTE(N509:N513," ",""),"0",""),"-",""))))*1)</f>
      </c>
      <c r="K508" s="18" t="str">
        <f>SUMPRODUCT(LEN(SUBSTITUTE(SUBSTITUTE(SUBSTITUTE(J509:J513," ",""),"0",""),"-",""))+LEN(SUBSTITUTE(SUBSTITUTE(SUBSTITUTE(K509:K513," ",""),"0",""),"-","")))</f>
      </c>
      <c r="L508" s="18"/>
      <c r="M508" s="18" t="str">
        <f>SUMPRODUCT(LEN(SUBSTITUTE(SUBSTITUTE(SUBSTITUTE(M509:M513," ",""),"0",""),"-",""))+LEN(SUBSTITUTE(SUBSTITUTE(SUBSTITUTE(N509:N513," ",""),"0",""),"-","")))</f>
      </c>
      <c r="N508" s="18" t="str">
        <f>SUMPRODUCT((UPPER(L509:L513)&lt;&gt;"X")*((LEN(SUBSTITUTE(SUBSTITUTE(SUBSTITUTE(M509:M513," ",""),"0",""),"-",""))+LEN(SUBSTITUTE(SUBSTITUTE(SUBSTITUTE(N509:N513," ",""),"0",""),"-","")))&gt;(LEN(SUBSTITUTE(SUBSTITUTE(SUBSTITUTE(J509:J513," ",""),"0",""),"-",""))+LEN(SUBSTITUTE(SUBSTITUTE(SUBSTITUTE(K509:K513," ",""),"0",""),"-",""))))*1)</f>
      </c>
      <c r="O508" s="14" t="str">
        <f>data!$B$86</f>
      </c>
    </row>
    <row r="509">
      <c r="A509" s="18">
        <v>1</v>
      </c>
      <c r="B509" s="18"/>
      <c r="C509" s="18"/>
      <c r="D509" s="18"/>
      <c r="E509" s="18"/>
      <c r="F509" s="18"/>
      <c r="G509" s="18">
        <v>1</v>
      </c>
      <c r="I509" s="18">
        <v>1</v>
      </c>
      <c r="J509" s="18"/>
      <c r="K509" s="18"/>
      <c r="L509" s="18"/>
      <c r="M509" s="18"/>
      <c r="N509" s="18"/>
      <c r="O509" s="18">
        <v>1</v>
      </c>
    </row>
    <row r="510">
      <c r="A510" s="18">
        <v>2</v>
      </c>
      <c r="B510" s="18"/>
      <c r="C510" s="18"/>
      <c r="D510" s="18"/>
      <c r="E510" s="18"/>
      <c r="F510" s="18"/>
      <c r="G510" s="18">
        <v>2</v>
      </c>
      <c r="I510" s="18">
        <v>2</v>
      </c>
      <c r="J510" s="18"/>
      <c r="K510" s="18"/>
      <c r="L510" s="18"/>
      <c r="M510" s="18"/>
      <c r="N510" s="18"/>
      <c r="O510" s="18">
        <v>2</v>
      </c>
    </row>
    <row r="511">
      <c r="A511" s="18">
        <v>3</v>
      </c>
      <c r="B511" s="18"/>
      <c r="C511" s="18"/>
      <c r="D511" s="18"/>
      <c r="E511" s="18"/>
      <c r="F511" s="18"/>
      <c r="G511" s="18">
        <v>3</v>
      </c>
      <c r="I511" s="18">
        <v>3</v>
      </c>
      <c r="J511" s="18"/>
      <c r="K511" s="18"/>
      <c r="L511" s="18"/>
      <c r="M511" s="18"/>
      <c r="N511" s="18"/>
      <c r="O511" s="18">
        <v>3</v>
      </c>
    </row>
    <row r="512">
      <c r="A512" s="18">
        <v>4</v>
      </c>
      <c r="B512" s="18"/>
      <c r="C512" s="18"/>
      <c r="D512" s="18"/>
      <c r="E512" s="18"/>
      <c r="F512" s="18"/>
      <c r="G512" s="18">
        <v>4</v>
      </c>
      <c r="I512" s="18">
        <v>4</v>
      </c>
      <c r="J512" s="18"/>
      <c r="K512" s="18"/>
      <c r="L512" s="18"/>
      <c r="M512" s="18"/>
      <c r="N512" s="18"/>
      <c r="O512" s="18">
        <v>4</v>
      </c>
    </row>
    <row r="513">
      <c r="A513" s="18">
        <v>5</v>
      </c>
      <c r="B513" s="18"/>
      <c r="C513" s="18"/>
      <c r="D513" s="18"/>
      <c r="E513" s="18"/>
      <c r="F513" s="18"/>
      <c r="G513" s="18">
        <v>5</v>
      </c>
      <c r="I513" s="18">
        <v>5</v>
      </c>
      <c r="J513" s="18"/>
      <c r="K513" s="18"/>
      <c r="L513" s="18"/>
      <c r="M513" s="18"/>
      <c r="N513" s="18"/>
      <c r="O513" s="18">
        <v>5</v>
      </c>
    </row>
    <row r="515">
      <c r="A515" s="17" t="s">
        <v>239</v>
      </c>
      <c r="B515" s="14"/>
      <c r="C515" s="14"/>
      <c r="D515" s="14" t="s">
        <v>240</v>
      </c>
      <c r="E515" s="14"/>
      <c r="F515" s="14"/>
      <c r="G515" s="16" t="s">
        <v>241</v>
      </c>
      <c r="I515" s="17" t="s">
        <v>239</v>
      </c>
      <c r="J515" s="14"/>
      <c r="K515" s="14"/>
      <c r="L515" s="14" t="s">
        <v>240</v>
      </c>
      <c r="M515" s="14"/>
      <c r="N515" s="14"/>
      <c r="O515" s="16" t="s">
        <v>241</v>
      </c>
    </row>
    <row r="516">
      <c r="A516" s="14" t="str">
        <f>data!$B$41</f>
      </c>
      <c r="B516" s="18" t="str">
        <f>SUMPRODUCT((UPPER(D517:D521)&lt;&gt;"X")*((LEN(SUBSTITUTE(SUBSTITUTE(SUBSTITUTE(B517:B521," ",""),"0",""),"-",""))+LEN(SUBSTITUTE(SUBSTITUTE(SUBSTITUTE(C517:C521," ",""),"0",""),"-","")))&gt;(LEN(SUBSTITUTE(SUBSTITUTE(SUBSTITUTE(E517:E521," ",""),"0",""),"-",""))+LEN(SUBSTITUTE(SUBSTITUTE(SUBSTITUTE(F517:F521," ",""),"0",""),"-",""))))*1)</f>
      </c>
      <c r="C516" s="18" t="str">
        <f>SUMPRODUCT(LEN(SUBSTITUTE(SUBSTITUTE(SUBSTITUTE(B517:B521," ",""),"0",""),"-",""))+LEN(SUBSTITUTE(SUBSTITUTE(SUBSTITUTE(C517:C521," ",""),"0",""),"-","")))</f>
      </c>
      <c r="D516" s="18"/>
      <c r="E516" s="18" t="str">
        <f>SUMPRODUCT(LEN(SUBSTITUTE(SUBSTITUTE(SUBSTITUTE(E517:E521," ",""),"0",""),"-",""))+LEN(SUBSTITUTE(SUBSTITUTE(SUBSTITUTE(F517:F521," ",""),"0",""),"-","")))</f>
      </c>
      <c r="F516" s="18" t="str">
        <f>SUMPRODUCT((UPPER(D517:D521)&lt;&gt;"X")*((LEN(SUBSTITUTE(SUBSTITUTE(SUBSTITUTE(E517:E521," ",""),"0",""),"-",""))+LEN(SUBSTITUTE(SUBSTITUTE(SUBSTITUTE(F517:F521," ",""),"0",""),"-","")))&gt;(LEN(SUBSTITUTE(SUBSTITUTE(SUBSTITUTE(B517:B521," ",""),"0",""),"-",""))+LEN(SUBSTITUTE(SUBSTITUTE(SUBSTITUTE(C517:C521," ",""),"0",""),"-",""))))*1)</f>
      </c>
      <c r="G516" s="14" t="str">
        <f>data!$B$39</f>
      </c>
      <c r="I516" s="14" t="str">
        <f>data!$B$88</f>
      </c>
      <c r="J516" s="18" t="str">
        <f>SUMPRODUCT((UPPER(L517:L521)&lt;&gt;"X")*((LEN(SUBSTITUTE(SUBSTITUTE(SUBSTITUTE(J517:J521," ",""),"0",""),"-",""))+LEN(SUBSTITUTE(SUBSTITUTE(SUBSTITUTE(K517:K521," ",""),"0",""),"-","")))&gt;(LEN(SUBSTITUTE(SUBSTITUTE(SUBSTITUTE(M517:M521," ",""),"0",""),"-",""))+LEN(SUBSTITUTE(SUBSTITUTE(SUBSTITUTE(N517:N521," ",""),"0",""),"-",""))))*1)</f>
      </c>
      <c r="K516" s="18" t="str">
        <f>SUMPRODUCT(LEN(SUBSTITUTE(SUBSTITUTE(SUBSTITUTE(J517:J521," ",""),"0",""),"-",""))+LEN(SUBSTITUTE(SUBSTITUTE(SUBSTITUTE(K517:K521," ",""),"0",""),"-","")))</f>
      </c>
      <c r="L516" s="18"/>
      <c r="M516" s="18" t="str">
        <f>SUMPRODUCT(LEN(SUBSTITUTE(SUBSTITUTE(SUBSTITUTE(M517:M521," ",""),"0",""),"-",""))+LEN(SUBSTITUTE(SUBSTITUTE(SUBSTITUTE(N517:N521," ",""),"0",""),"-","")))</f>
      </c>
      <c r="N516" s="18" t="str">
        <f>SUMPRODUCT((UPPER(L517:L521)&lt;&gt;"X")*((LEN(SUBSTITUTE(SUBSTITUTE(SUBSTITUTE(M517:M521," ",""),"0",""),"-",""))+LEN(SUBSTITUTE(SUBSTITUTE(SUBSTITUTE(N517:N521," ",""),"0",""),"-","")))&gt;(LEN(SUBSTITUTE(SUBSTITUTE(SUBSTITUTE(J517:J521," ",""),"0",""),"-",""))+LEN(SUBSTITUTE(SUBSTITUTE(SUBSTITUTE(K517:K521," ",""),"0",""),"-",""))))*1)</f>
      </c>
      <c r="O516" s="14" t="str">
        <f>data!$B$86</f>
      </c>
    </row>
    <row r="517">
      <c r="A517" s="18">
        <v>1</v>
      </c>
      <c r="B517" s="18"/>
      <c r="C517" s="18"/>
      <c r="D517" s="18"/>
      <c r="E517" s="18"/>
      <c r="F517" s="18"/>
      <c r="G517" s="18">
        <v>1</v>
      </c>
      <c r="I517" s="18">
        <v>1</v>
      </c>
      <c r="J517" s="18"/>
      <c r="K517" s="18"/>
      <c r="L517" s="18"/>
      <c r="M517" s="18"/>
      <c r="N517" s="18"/>
      <c r="O517" s="18">
        <v>1</v>
      </c>
    </row>
    <row r="518">
      <c r="A518" s="18">
        <v>2</v>
      </c>
      <c r="B518" s="18"/>
      <c r="C518" s="18"/>
      <c r="D518" s="18"/>
      <c r="E518" s="18"/>
      <c r="F518" s="18"/>
      <c r="G518" s="18">
        <v>2</v>
      </c>
      <c r="I518" s="18">
        <v>2</v>
      </c>
      <c r="J518" s="18"/>
      <c r="K518" s="18"/>
      <c r="L518" s="18"/>
      <c r="M518" s="18"/>
      <c r="N518" s="18"/>
      <c r="O518" s="18">
        <v>2</v>
      </c>
    </row>
    <row r="519">
      <c r="A519" s="18">
        <v>3</v>
      </c>
      <c r="B519" s="18"/>
      <c r="C519" s="18"/>
      <c r="D519" s="18"/>
      <c r="E519" s="18"/>
      <c r="F519" s="18"/>
      <c r="G519" s="18">
        <v>3</v>
      </c>
      <c r="I519" s="18">
        <v>3</v>
      </c>
      <c r="J519" s="18"/>
      <c r="K519" s="18"/>
      <c r="L519" s="18"/>
      <c r="M519" s="18"/>
      <c r="N519" s="18"/>
      <c r="O519" s="18">
        <v>3</v>
      </c>
    </row>
    <row r="520">
      <c r="A520" s="18">
        <v>4</v>
      </c>
      <c r="B520" s="18"/>
      <c r="C520" s="18"/>
      <c r="D520" s="18"/>
      <c r="E520" s="18"/>
      <c r="F520" s="18"/>
      <c r="G520" s="18">
        <v>4</v>
      </c>
      <c r="I520" s="18">
        <v>4</v>
      </c>
      <c r="J520" s="18"/>
      <c r="K520" s="18"/>
      <c r="L520" s="18"/>
      <c r="M520" s="18"/>
      <c r="N520" s="18"/>
      <c r="O520" s="18">
        <v>4</v>
      </c>
    </row>
    <row r="521">
      <c r="A521" s="18">
        <v>5</v>
      </c>
      <c r="B521" s="18"/>
      <c r="C521" s="18"/>
      <c r="D521" s="18"/>
      <c r="E521" s="18"/>
      <c r="F521" s="18"/>
      <c r="G521" s="18">
        <v>5</v>
      </c>
      <c r="I521" s="18">
        <v>5</v>
      </c>
      <c r="J521" s="18"/>
      <c r="K521" s="18"/>
      <c r="L521" s="18"/>
      <c r="M521" s="18"/>
      <c r="N521" s="18"/>
      <c r="O521" s="18">
        <v>5</v>
      </c>
    </row>
    <row r="523">
      <c r="A523" s="17" t="s">
        <v>239</v>
      </c>
      <c r="B523" s="14"/>
      <c r="C523" s="14"/>
      <c r="D523" s="14" t="s">
        <v>240</v>
      </c>
      <c r="E523" s="14"/>
      <c r="F523" s="14"/>
      <c r="G523" s="16" t="s">
        <v>241</v>
      </c>
      <c r="I523" s="17" t="s">
        <v>239</v>
      </c>
      <c r="J523" s="14"/>
      <c r="K523" s="14"/>
      <c r="L523" s="14" t="s">
        <v>240</v>
      </c>
      <c r="M523" s="14"/>
      <c r="N523" s="14"/>
      <c r="O523" s="16" t="s">
        <v>241</v>
      </c>
    </row>
    <row r="524">
      <c r="A524" s="14" t="str">
        <f>data!$B$41</f>
      </c>
      <c r="B524" s="18" t="str">
        <f>SUMPRODUCT((UPPER(D525:D529)&lt;&gt;"X")*((LEN(SUBSTITUTE(SUBSTITUTE(SUBSTITUTE(B525:B529," ",""),"0",""),"-",""))+LEN(SUBSTITUTE(SUBSTITUTE(SUBSTITUTE(C525:C529," ",""),"0",""),"-","")))&gt;(LEN(SUBSTITUTE(SUBSTITUTE(SUBSTITUTE(E525:E529," ",""),"0",""),"-",""))+LEN(SUBSTITUTE(SUBSTITUTE(SUBSTITUTE(F525:F529," ",""),"0",""),"-",""))))*1)</f>
      </c>
      <c r="C524" s="18" t="str">
        <f>SUMPRODUCT(LEN(SUBSTITUTE(SUBSTITUTE(SUBSTITUTE(B525:B529," ",""),"0",""),"-",""))+LEN(SUBSTITUTE(SUBSTITUTE(SUBSTITUTE(C525:C529," ",""),"0",""),"-","")))</f>
      </c>
      <c r="D524" s="18"/>
      <c r="E524" s="18" t="str">
        <f>SUMPRODUCT(LEN(SUBSTITUTE(SUBSTITUTE(SUBSTITUTE(E525:E529," ",""),"0",""),"-",""))+LEN(SUBSTITUTE(SUBSTITUTE(SUBSTITUTE(F525:F529," ",""),"0",""),"-","")))</f>
      </c>
      <c r="F524" s="18" t="str">
        <f>SUMPRODUCT((UPPER(D525:D529)&lt;&gt;"X")*((LEN(SUBSTITUTE(SUBSTITUTE(SUBSTITUTE(E525:E529," ",""),"0",""),"-",""))+LEN(SUBSTITUTE(SUBSTITUTE(SUBSTITUTE(F525:F529," ",""),"0",""),"-","")))&gt;(LEN(SUBSTITUTE(SUBSTITUTE(SUBSTITUTE(B525:B529," ",""),"0",""),"-",""))+LEN(SUBSTITUTE(SUBSTITUTE(SUBSTITUTE(C525:C529," ",""),"0",""),"-",""))))*1)</f>
      </c>
      <c r="G524" s="14" t="str">
        <f>data!$B$40</f>
      </c>
      <c r="I524" s="14" t="str">
        <f>data!$B$88</f>
      </c>
      <c r="J524" s="18" t="str">
        <f>SUMPRODUCT((UPPER(L525:L529)&lt;&gt;"X")*((LEN(SUBSTITUTE(SUBSTITUTE(SUBSTITUTE(J525:J529," ",""),"0",""),"-",""))+LEN(SUBSTITUTE(SUBSTITUTE(SUBSTITUTE(K525:K529," ",""),"0",""),"-","")))&gt;(LEN(SUBSTITUTE(SUBSTITUTE(SUBSTITUTE(M525:M529," ",""),"0",""),"-",""))+LEN(SUBSTITUTE(SUBSTITUTE(SUBSTITUTE(N525:N529," ",""),"0",""),"-",""))))*1)</f>
      </c>
      <c r="K524" s="18" t="str">
        <f>SUMPRODUCT(LEN(SUBSTITUTE(SUBSTITUTE(SUBSTITUTE(J525:J529," ",""),"0",""),"-",""))+LEN(SUBSTITUTE(SUBSTITUTE(SUBSTITUTE(K525:K529," ",""),"0",""),"-","")))</f>
      </c>
      <c r="L524" s="18"/>
      <c r="M524" s="18" t="str">
        <f>SUMPRODUCT(LEN(SUBSTITUTE(SUBSTITUTE(SUBSTITUTE(M525:M529," ",""),"0",""),"-",""))+LEN(SUBSTITUTE(SUBSTITUTE(SUBSTITUTE(N525:N529," ",""),"0",""),"-","")))</f>
      </c>
      <c r="N524" s="18" t="str">
        <f>SUMPRODUCT((UPPER(L525:L529)&lt;&gt;"X")*((LEN(SUBSTITUTE(SUBSTITUTE(SUBSTITUTE(M525:M529," ",""),"0",""),"-",""))+LEN(SUBSTITUTE(SUBSTITUTE(SUBSTITUTE(N525:N529," ",""),"0",""),"-","")))&gt;(LEN(SUBSTITUTE(SUBSTITUTE(SUBSTITUTE(J525:J529," ",""),"0",""),"-",""))+LEN(SUBSTITUTE(SUBSTITUTE(SUBSTITUTE(K525:K529," ",""),"0",""),"-",""))))*1)</f>
      </c>
      <c r="O524" s="14" t="str">
        <f>data!$B$87</f>
      </c>
    </row>
    <row r="525">
      <c r="A525" s="18">
        <v>1</v>
      </c>
      <c r="B525" s="18"/>
      <c r="C525" s="18"/>
      <c r="D525" s="18"/>
      <c r="E525" s="18"/>
      <c r="F525" s="18"/>
      <c r="G525" s="18">
        <v>1</v>
      </c>
      <c r="I525" s="18">
        <v>1</v>
      </c>
      <c r="J525" s="18"/>
      <c r="K525" s="18"/>
      <c r="L525" s="18"/>
      <c r="M525" s="18"/>
      <c r="N525" s="18"/>
      <c r="O525" s="18">
        <v>1</v>
      </c>
    </row>
    <row r="526">
      <c r="A526" s="18">
        <v>2</v>
      </c>
      <c r="B526" s="18"/>
      <c r="C526" s="18"/>
      <c r="D526" s="18"/>
      <c r="E526" s="18"/>
      <c r="F526" s="18"/>
      <c r="G526" s="18">
        <v>2</v>
      </c>
      <c r="I526" s="18">
        <v>2</v>
      </c>
      <c r="J526" s="18"/>
      <c r="K526" s="18"/>
      <c r="L526" s="18"/>
      <c r="M526" s="18"/>
      <c r="N526" s="18"/>
      <c r="O526" s="18">
        <v>2</v>
      </c>
    </row>
    <row r="527">
      <c r="A527" s="18">
        <v>3</v>
      </c>
      <c r="B527" s="18"/>
      <c r="C527" s="18"/>
      <c r="D527" s="18"/>
      <c r="E527" s="18"/>
      <c r="F527" s="18"/>
      <c r="G527" s="18">
        <v>3</v>
      </c>
      <c r="I527" s="18">
        <v>3</v>
      </c>
      <c r="J527" s="18"/>
      <c r="K527" s="18"/>
      <c r="L527" s="18"/>
      <c r="M527" s="18"/>
      <c r="N527" s="18"/>
      <c r="O527" s="18">
        <v>3</v>
      </c>
    </row>
    <row r="528">
      <c r="A528" s="18">
        <v>4</v>
      </c>
      <c r="B528" s="18"/>
      <c r="C528" s="18"/>
      <c r="D528" s="18"/>
      <c r="E528" s="18"/>
      <c r="F528" s="18"/>
      <c r="G528" s="18">
        <v>4</v>
      </c>
      <c r="I528" s="18">
        <v>4</v>
      </c>
      <c r="J528" s="18"/>
      <c r="K528" s="18"/>
      <c r="L528" s="18"/>
      <c r="M528" s="18"/>
      <c r="N528" s="18"/>
      <c r="O528" s="18">
        <v>4</v>
      </c>
    </row>
    <row r="529">
      <c r="A529" s="18">
        <v>5</v>
      </c>
      <c r="B529" s="18"/>
      <c r="C529" s="18"/>
      <c r="D529" s="18"/>
      <c r="E529" s="18"/>
      <c r="F529" s="18"/>
      <c r="G529" s="18">
        <v>5</v>
      </c>
      <c r="I529" s="18">
        <v>5</v>
      </c>
      <c r="J529" s="18"/>
      <c r="K529" s="18"/>
      <c r="L529" s="18"/>
      <c r="M529" s="18"/>
      <c r="N529" s="18"/>
      <c r="O529" s="18">
        <v>5</v>
      </c>
    </row>
    <row r="532">
      <c r="A532" s="13"/>
      <c r="B532" s="13" t="s">
        <v>242</v>
      </c>
      <c r="C532" s="13" t="s">
        <v>243</v>
      </c>
      <c r="D532" s="13" t="s">
        <v>244</v>
      </c>
      <c r="I532" s="13"/>
      <c r="J532" s="13" t="s">
        <v>242</v>
      </c>
      <c r="K532" s="13" t="s">
        <v>243</v>
      </c>
      <c r="L532" s="13" t="s">
        <v>244</v>
      </c>
    </row>
    <row r="533">
      <c r="A533" t="str">
        <f>data!$B$39</f>
      </c>
      <c r="B533" s="14" t="str">
        <f>IF(OR(COUNTA(B509:C513,E509:F513)&gt;0,OR(D508="X",D508="x")),IF(OR(D508="X",D508="x"),0,IF(OR(F508&gt;B508,AND(F508=B508,E508&gt;C508)),1,0)),0)+IF(OR(COUNTA(B517:C521,E517:F521)&gt;0,OR(D516="X",D516="x")),IF(OR(D516="X",D516="x"),0,IF(OR(F516&gt;B516,AND(F516=B516,E516&gt;C516)),1,0)),0)</f>
      </c>
      <c r="C533" s="14" t="str">
        <f>IF(OR(COUNTA(B509:C513,E509:F513)&gt;0,OR(D508="X",D508="x")),IF(OR(D508="X",D508="x"),0,IF(OR(F508&lt;B508,AND(F508=B508,E508&lt;C508)),1,0)),0)+IF(OR(COUNTA(B517:C521,E517:F521)&gt;0,OR(D516="X",D516="x")),IF(OR(D516="X",D516="x"),0,IF(OR(F516&lt;B516,AND(F516=B516,E516&lt;C516)),1,0)),0)</f>
      </c>
      <c r="D533" s="14" t="str">
        <f>IF(OR(COUNTA(B509:C513,E509:F513)&gt;0,OR(D508="X",D508="x")),IF(OR(D508="X",D508="x"),1,0),0)+IF(OR(COUNTA(B517:C521,E517:F521)&gt;0,OR(D516="X",D516="x")),IF(OR(D516="X",D516="x"),1,0),0)</f>
      </c>
      <c r="I533" t="str">
        <f>data!$B$86</f>
      </c>
      <c r="J533" s="14" t="str">
        <f>IF(OR(COUNTA(J509:K513,M509:N513)&gt;0,OR(L508="X",L508="x")),IF(OR(L508="X",L508="x"),0,IF(OR(N508&gt;J508,AND(N508=J508,M508&gt;K508)),1,0)),0)+IF(OR(COUNTA(J517:K521,M517:N521)&gt;0,OR(L516="X",L516="x")),IF(OR(L516="X",L516="x"),0,IF(OR(N516&gt;J516,AND(N516=J516,M516&gt;K516)),1,0)),0)</f>
      </c>
      <c r="K533" s="14" t="str">
        <f>IF(OR(COUNTA(J509:K513,M509:N513)&gt;0,OR(L508="X",L508="x")),IF(OR(L508="X",L508="x"),0,IF(OR(N508&lt;J508,AND(N508=J508,M508&lt;K508)),1,0)),0)+IF(OR(COUNTA(J517:K521,M517:N521)&gt;0,OR(L516="X",L516="x")),IF(OR(L516="X",L516="x"),0,IF(OR(N516&lt;J516,AND(N516=J516,M516&lt;K516)),1,0)),0)</f>
      </c>
      <c r="L533" s="14" t="str">
        <f>IF(OR(COUNTA(J509:K513,M509:N513)&gt;0,OR(L508="X",L508="x")),IF(OR(L508="X",L508="x"),1,0),0)+IF(OR(COUNTA(J517:K521,M517:N521)&gt;0,OR(L516="X",L516="x")),IF(OR(L516="X",L516="x"),1,0),0)</f>
      </c>
    </row>
    <row r="534">
      <c r="A534" t="str">
        <f>data!$B$40</f>
      </c>
      <c r="B534" s="14" t="str">
        <f>IF(OR(COUNTA(B509:C513,E509:F513)&gt;0,OR(D508="X",D508="x")),IF(OR(D508="X",D508="x"),0,IF(OR(B508&gt;F508,AND(B508=F508,C508&gt;E508)),1,0)),0)+IF(OR(COUNTA(B525:C529,E525:F529)&gt;0,OR(D524="X",D524="x")),IF(OR(D524="X",D524="x"),0,IF(OR(F524&gt;B524,AND(F524=B524,E524&gt;C524)),1,0)),0)</f>
      </c>
      <c r="C534" s="14" t="str">
        <f>IF(OR(COUNTA(B509:C513,E509:F513)&gt;0,OR(D508="X",D508="x")),IF(OR(D508="X",D508="x"),0,IF(OR(B508&lt;F508,AND(B508=F508,C508&lt;E508)),1,0)),0)+IF(OR(COUNTA(B525:C529,E525:F529)&gt;0,OR(D524="X",D524="x")),IF(OR(D524="X",D524="x"),0,IF(OR(F524&lt;B524,AND(F524=B524,E524&lt;C524)),1,0)),0)</f>
      </c>
      <c r="D534" s="14" t="str">
        <f>IF(OR(COUNTA(B509:C513,E509:F513)&gt;0,OR(D508="X",D508="x")),IF(OR(D508="X",D508="x"),1,0),0)+IF(OR(COUNTA(B525:C529,E525:F529)&gt;0,OR(D524="X",D524="x")),IF(OR(D524="X",D524="x"),1,0),0)</f>
      </c>
      <c r="I534" t="str">
        <f>data!$B$87</f>
      </c>
      <c r="J534" s="14" t="str">
        <f>IF(OR(COUNTA(J509:K513,M509:N513)&gt;0,OR(L508="X",L508="x")),IF(OR(L508="X",L508="x"),0,IF(OR(J508&gt;N508,AND(J508=N508,K508&gt;M508)),1,0)),0)+IF(OR(COUNTA(J525:K529,M525:N529)&gt;0,OR(L524="X",L524="x")),IF(OR(L524="X",L524="x"),0,IF(OR(N524&gt;J524,AND(N524=J524,M524&gt;K524)),1,0)),0)</f>
      </c>
      <c r="K534" s="14" t="str">
        <f>IF(OR(COUNTA(J509:K513,M509:N513)&gt;0,OR(L508="X",L508="x")),IF(OR(L508="X",L508="x"),0,IF(OR(J508&lt;N508,AND(J508=N508,K508&lt;M508)),1,0)),0)+IF(OR(COUNTA(J525:K529,M525:N529)&gt;0,OR(L524="X",L524="x")),IF(OR(L524="X",L524="x"),0,IF(OR(N524&lt;J524,AND(N524=J524,M524&lt;K524)),1,0)),0)</f>
      </c>
      <c r="L534" s="14" t="str">
        <f>IF(OR(COUNTA(J509:K513,M509:N513)&gt;0,OR(L508="X",L508="x")),IF(OR(L508="X",L508="x"),1,0),0)+IF(OR(COUNTA(J525:K529,M525:N529)&gt;0,OR(L524="X",L524="x")),IF(OR(L524="X",L524="x"),1,0),0)</f>
      </c>
    </row>
    <row r="535">
      <c r="A535" t="str">
        <f>data!$B$41</f>
      </c>
      <c r="B535" s="14" t="str">
        <f>IF(OR(COUNTA(B517:C521,E517:F521)&gt;0,OR(D516="X",D516="x")),IF(OR(D516="X",D516="x"),0,IF(OR(B516&gt;F516,AND(B516=F516,C516&gt;E516)),1,0)),0)+IF(OR(COUNTA(B525:C529,E525:F529)&gt;0,OR(D524="X",D524="x")),IF(OR(D524="X",D524="x"),0,IF(OR(B524&gt;F524,AND(B524=F524,C524&gt;E524)),1,0)),0)</f>
      </c>
      <c r="C535" s="14" t="str">
        <f>IF(OR(COUNTA(B517:C521,E517:F521)&gt;0,OR(D516="X",D516="x")),IF(OR(D516="X",D516="x"),0,IF(OR(B516&lt;F516,AND(B516=F516,C516&lt;E516)),1,0)),0)+IF(OR(COUNTA(B525:C529,E525:F529)&gt;0,OR(D524="X",D524="x")),IF(OR(D524="X",D524="x"),0,IF(OR(B524&lt;F524,AND(B524=F524,C524&lt;E524)),1,0)),0)</f>
      </c>
      <c r="D535" s="14" t="str">
        <f>IF(OR(COUNTA(B517:C521,E517:F521)&gt;0,OR(D516="X",D516="x")),IF(OR(D516="X",D516="x"),1,0),0)+IF(OR(COUNTA(B525:C529,E525:F529)&gt;0,OR(D524="X",D524="x")),IF(OR(D524="X",D524="x"),1,0),0)</f>
      </c>
      <c r="I535" t="str">
        <f>data!$B$88</f>
      </c>
      <c r="J535" s="14" t="str">
        <f>IF(OR(COUNTA(J517:K521,M517:N521)&gt;0,OR(L516="X",L516="x")),IF(OR(L516="X",L516="x"),0,IF(OR(J516&gt;N516,AND(J516=N516,K516&gt;M516)),1,0)),0)+IF(OR(COUNTA(J525:K529,M525:N529)&gt;0,OR(L524="X",L524="x")),IF(OR(L524="X",L524="x"),0,IF(OR(J524&gt;N524,AND(J524=N524,K524&gt;M524)),1,0)),0)</f>
      </c>
      <c r="K535" s="14" t="str">
        <f>IF(OR(COUNTA(J517:K521,M517:N521)&gt;0,OR(L516="X",L516="x")),IF(OR(L516="X",L516="x"),0,IF(OR(J516&lt;N516,AND(J516=N516,K516&lt;M516)),1,0)),0)+IF(OR(COUNTA(J525:K529,M525:N529)&gt;0,OR(L524="X",L524="x")),IF(OR(L524="X",L524="x"),0,IF(OR(J524&lt;N524,AND(J524=N524,K524&lt;M524)),1,0)),0)</f>
      </c>
      <c r="L535" s="14" t="str">
        <f>IF(OR(COUNTA(J517:K521,M517:N521)&gt;0,OR(L516="X",L516="x")),IF(OR(L516="X",L516="x"),1,0),0)+IF(OR(COUNTA(J525:K529,M525:N529)&gt;0,OR(L524="X",L524="x")),IF(OR(L524="X",L524="x"),1,0),0)</f>
      </c>
    </row>
    <row r="537">
      <c r="A537" s="13"/>
      <c r="B537" s="13" t="s">
        <v>245</v>
      </c>
      <c r="C537" s="13" t="s">
        <v>246</v>
      </c>
      <c r="D537" s="13" t="s">
        <v>247</v>
      </c>
      <c r="E537" s="13" t="s">
        <v>248</v>
      </c>
      <c r="F537" s="13" t="s">
        <v>249</v>
      </c>
      <c r="I537" s="13"/>
      <c r="J537" s="13" t="s">
        <v>245</v>
      </c>
      <c r="K537" s="13" t="s">
        <v>246</v>
      </c>
      <c r="L537" s="13" t="s">
        <v>247</v>
      </c>
      <c r="M537" s="13" t="s">
        <v>248</v>
      </c>
      <c r="N537" s="13" t="s">
        <v>249</v>
      </c>
    </row>
    <row r="538">
      <c r="A538" t="str">
        <f>data!$B$39</f>
      </c>
      <c r="B538" s="14" t="str">
        <f>IF(OR(COUNTA(B509:C513,E509:F513)&gt;0,OR(D508="X",D508="x")),F508,0)+IF(OR(COUNTA(B517:C521,E517:F521)&gt;0,OR(D516="X",D516="x")),F516,0)</f>
      </c>
      <c r="C538" s="14" t="str">
        <f>IF(OR(COUNTA(B509:C513,E509:F513)&gt;0,OR(D508="X",D508="x")),B508,0)+IF(OR(COUNTA(B517:C521,E517:F521)&gt;0,OR(D516="X",D516="x")),B516,0)</f>
      </c>
      <c r="D538" s="14" t="str">
        <f>IF(OR(COUNTA(B509:C513,E509:F513)&gt;0,OR(D508="X",D508="x")),(IF(OR(D509="X",D509="x"),1,0)+IF(OR(D510="X",D510="x"),1,0)+IF(OR(D511="X",D511="x"),1,0)+IF(OR(D512="X",D512="x"),1,0)+IF(OR(D513="X",D513="x"),1,0)),0)+IF(OR(COUNTA(B517:C521,E517:F521)&gt;0,OR(D516="X",D516="x")),(IF(OR(D517="X",D517="x"),1,0)+IF(OR(D518="X",D518="x"),1,0)+IF(OR(D519="X",D519="x"),1,0)+IF(OR(D520="X",D520="x"),1,0)+IF(OR(D521="X",D521="x"),1,0)),0)</f>
      </c>
      <c r="E538" s="14" t="str">
        <f>E508+E516</f>
      </c>
      <c r="F538" s="14" t="str">
        <f>C508+C516</f>
      </c>
      <c r="I538" t="str">
        <f>data!$B$86</f>
      </c>
      <c r="J538" s="14" t="str">
        <f>IF(OR(COUNTA(J509:K513,M509:N513)&gt;0,OR(L508="X",L508="x")),N508,0)+IF(OR(COUNTA(J517:K521,M517:N521)&gt;0,OR(L516="X",L516="x")),N516,0)</f>
      </c>
      <c r="K538" s="14" t="str">
        <f>IF(OR(COUNTA(J509:K513,M509:N513)&gt;0,OR(L508="X",L508="x")),J508,0)+IF(OR(COUNTA(J517:K521,M517:N521)&gt;0,OR(L516="X",L516="x")),J516,0)</f>
      </c>
      <c r="L538" s="14" t="str">
        <f>IF(OR(COUNTA(J509:K513,M509:N513)&gt;0,OR(L508="X",L508="x")),(IF(OR(L509="X",L509="x"),1,0)+IF(OR(L510="X",L510="x"),1,0)+IF(OR(L511="X",L511="x"),1,0)+IF(OR(L512="X",L512="x"),1,0)+IF(OR(L513="X",L513="x"),1,0)),0)+IF(OR(COUNTA(J517:K521,M517:N521)&gt;0,OR(L516="X",L516="x")),(IF(OR(L517="X",L517="x"),1,0)+IF(OR(L518="X",L518="x"),1,0)+IF(OR(L519="X",L519="x"),1,0)+IF(OR(L520="X",L520="x"),1,0)+IF(OR(L521="X",L521="x"),1,0)),0)</f>
      </c>
      <c r="M538" s="14" t="str">
        <f>M508+M516</f>
      </c>
      <c r="N538" s="14" t="str">
        <f>K508+K516</f>
      </c>
    </row>
    <row r="539">
      <c r="A539" t="str">
        <f>data!$B$40</f>
      </c>
      <c r="B539" s="14" t="str">
        <f>IF(OR(COUNTA(B509:C513,E509:F513)&gt;0,OR(D508="X",D508="x")),B508,0)+IF(OR(COUNTA(B525:C529,E525:F529)&gt;0,OR(D524="X",D524="x")),F524,0)</f>
      </c>
      <c r="C539" s="14" t="str">
        <f>IF(OR(COUNTA(B509:C513,E509:F513)&gt;0,OR(D508="X",D508="x")),F508,0)+IF(OR(COUNTA(B525:C529,E525:F529)&gt;0,OR(D524="X",D524="x")),B524,0)</f>
      </c>
      <c r="D539" s="14" t="str">
        <f>IF(OR(COUNTA(B509:C513,E509:F513)&gt;0,OR(D508="X",D508="x")),(IF(OR(D509="X",D509="x"),1,0)+IF(OR(D510="X",D510="x"),1,0)+IF(OR(D511="X",D511="x"),1,0)+IF(OR(D512="X",D512="x"),1,0)+IF(OR(D513="X",D513="x"),1,0)),0)+IF(OR(COUNTA(B525:C529,E525:F529)&gt;0,OR(D524="X",D524="x")),(IF(OR(D525="X",D525="x"),1,0)+IF(OR(D526="X",D526="x"),1,0)+IF(OR(D527="X",D527="x"),1,0)+IF(OR(D528="X",D528="x"),1,0)+IF(OR(D529="X",D529="x"),1,0)),0)</f>
      </c>
      <c r="E539" s="14" t="str">
        <f>C508+E524</f>
      </c>
      <c r="F539" s="14" t="str">
        <f>E508+C524</f>
      </c>
      <c r="I539" t="str">
        <f>data!$B$87</f>
      </c>
      <c r="J539" s="14" t="str">
        <f>IF(OR(COUNTA(J509:K513,M509:N513)&gt;0,OR(L508="X",L508="x")),J508,0)+IF(OR(COUNTA(J525:K529,M525:N529)&gt;0,OR(L524="X",L524="x")),N524,0)</f>
      </c>
      <c r="K539" s="14" t="str">
        <f>IF(OR(COUNTA(J509:K513,M509:N513)&gt;0,OR(L508="X",L508="x")),N508,0)+IF(OR(COUNTA(J525:K529,M525:N529)&gt;0,OR(L524="X",L524="x")),J524,0)</f>
      </c>
      <c r="L539" s="14" t="str">
        <f>IF(OR(COUNTA(J509:K513,M509:N513)&gt;0,OR(L508="X",L508="x")),(IF(OR(L509="X",L509="x"),1,0)+IF(OR(L510="X",L510="x"),1,0)+IF(OR(L511="X",L511="x"),1,0)+IF(OR(L512="X",L512="x"),1,0)+IF(OR(L513="X",L513="x"),1,0)),0)+IF(OR(COUNTA(J525:K529,M525:N529)&gt;0,OR(L524="X",L524="x")),(IF(OR(L525="X",L525="x"),1,0)+IF(OR(L526="X",L526="x"),1,0)+IF(OR(L527="X",L527="x"),1,0)+IF(OR(L528="X",L528="x"),1,0)+IF(OR(L529="X",L529="x"),1,0)),0)</f>
      </c>
      <c r="M539" s="14" t="str">
        <f>K508+M524</f>
      </c>
      <c r="N539" s="14" t="str">
        <f>M508+K524</f>
      </c>
    </row>
    <row r="540">
      <c r="A540" t="str">
        <f>data!$B$41</f>
      </c>
      <c r="B540" s="14" t="str">
        <f>IF(OR(COUNTA(B517:C521,E517:F521)&gt;0,OR(D516="X",D516="x")),B516,0)+IF(OR(COUNTA(B525:C529,E525:F529)&gt;0,OR(D524="X",D524="x")),B524,0)</f>
      </c>
      <c r="C540" s="14" t="str">
        <f>IF(OR(COUNTA(B517:C521,E517:F521)&gt;0,OR(D516="X",D516="x")),F516,0)+IF(OR(COUNTA(B525:C529,E525:F529)&gt;0,OR(D524="X",D524="x")),F524,0)</f>
      </c>
      <c r="D540" s="14" t="str">
        <f>IF(OR(COUNTA(B517:C521,E517:F521)&gt;0,OR(D516="X",D516="x")),(IF(OR(D517="X",D517="x"),1,0)+IF(OR(D518="X",D518="x"),1,0)+IF(OR(D519="X",D519="x"),1,0)+IF(OR(D520="X",D520="x"),1,0)+IF(OR(D521="X",D521="x"),1,0)),0)+IF(OR(COUNTA(B525:C529,E525:F529)&gt;0,OR(D524="X",D524="x")),(IF(OR(D525="X",D525="x"),1,0)+IF(OR(D526="X",D526="x"),1,0)+IF(OR(D527="X",D527="x"),1,0)+IF(OR(D528="X",D528="x"),1,0)+IF(OR(D529="X",D529="x"),1,0)),0)</f>
      </c>
      <c r="E540" s="14" t="str">
        <f>C516+C524</f>
      </c>
      <c r="F540" s="14" t="str">
        <f>E516+E524</f>
      </c>
      <c r="I540" t="str">
        <f>data!$B$88</f>
      </c>
      <c r="J540" s="14" t="str">
        <f>IF(OR(COUNTA(J517:K521,M517:N521)&gt;0,OR(L516="X",L516="x")),J516,0)+IF(OR(COUNTA(J525:K529,M525:N529)&gt;0,OR(L524="X",L524="x")),J524,0)</f>
      </c>
      <c r="K540" s="14" t="str">
        <f>IF(OR(COUNTA(J517:K521,M517:N521)&gt;0,OR(L516="X",L516="x")),N516,0)+IF(OR(COUNTA(J525:K529,M525:N529)&gt;0,OR(L524="X",L524="x")),N524,0)</f>
      </c>
      <c r="L540" s="14" t="str">
        <f>IF(OR(COUNTA(J517:K521,M517:N521)&gt;0,OR(L516="X",L516="x")),(IF(OR(L517="X",L517="x"),1,0)+IF(OR(L518="X",L518="x"),1,0)+IF(OR(L519="X",L519="x"),1,0)+IF(OR(L520="X",L520="x"),1,0)+IF(OR(L521="X",L521="x"),1,0)),0)+IF(OR(COUNTA(J525:K529,M525:N529)&gt;0,OR(L524="X",L524="x")),(IF(OR(L525="X",L525="x"),1,0)+IF(OR(L526="X",L526="x"),1,0)+IF(OR(L527="X",L527="x"),1,0)+IF(OR(L528="X",L528="x"),1,0)+IF(OR(L529="X",L529="x"),1,0)),0)</f>
      </c>
      <c r="M540" s="14" t="str">
        <f>K516+K524</f>
      </c>
      <c r="N540" s="14" t="str">
        <f>M516+M524</f>
      </c>
    </row>
    <row r="543">
      <c r="F543" s="13"/>
      <c r="G543" s="13" t="s">
        <v>250</v>
      </c>
      <c r="N543" s="13"/>
      <c r="O543" s="13" t="s">
        <v>250</v>
      </c>
    </row>
    <row r="544">
      <c r="F544" t="s">
        <v>251</v>
      </c>
      <c r="G544" s="19"/>
      <c r="N544" t="s">
        <v>251</v>
      </c>
      <c r="O544" s="19"/>
    </row>
    <row r="545">
      <c r="F545" t="s">
        <v>252</v>
      </c>
      <c r="G545" s="19"/>
      <c r="N545" t="s">
        <v>252</v>
      </c>
      <c r="O545" s="19"/>
    </row>
    <row r="546">
      <c r="F546" t="s">
        <v>253</v>
      </c>
      <c r="G546" s="19"/>
      <c r="N546" t="s">
        <v>253</v>
      </c>
      <c r="O546" s="19"/>
    </row>
    <row r="548">
      <c r="A548" s="13" t="str">
        <f>data!$A$44</f>
      </c>
      <c r="B548" s="13"/>
      <c r="C548" s="13"/>
      <c r="D548" s="13"/>
      <c r="E548" s="13"/>
      <c r="F548" s="13"/>
      <c r="G548" s="13"/>
      <c r="I548" s="13" t="str">
        <f>data!$A$91</f>
      </c>
      <c r="J548" s="13"/>
      <c r="K548" s="13"/>
      <c r="L548" s="13"/>
      <c r="M548" s="13"/>
      <c r="N548" s="13"/>
      <c r="O548" s="13"/>
    </row>
    <row r="549">
      <c r="A549" s="17" t="s">
        <v>239</v>
      </c>
      <c r="B549" s="14"/>
      <c r="C549" s="14"/>
      <c r="D549" s="14" t="s">
        <v>240</v>
      </c>
      <c r="E549" s="14"/>
      <c r="F549" s="14"/>
      <c r="G549" s="16" t="s">
        <v>241</v>
      </c>
      <c r="I549" s="17" t="s">
        <v>239</v>
      </c>
      <c r="J549" s="14"/>
      <c r="K549" s="14"/>
      <c r="L549" s="14" t="s">
        <v>240</v>
      </c>
      <c r="M549" s="14"/>
      <c r="N549" s="14"/>
      <c r="O549" s="16" t="s">
        <v>241</v>
      </c>
    </row>
    <row r="550">
      <c r="A550" s="14" t="str">
        <f>data!$B$43</f>
      </c>
      <c r="B550" s="18" t="str">
        <f>SUMPRODUCT((UPPER(D551:D555)&lt;&gt;"X")*((LEN(SUBSTITUTE(SUBSTITUTE(SUBSTITUTE(B551:B555," ",""),"0",""),"-",""))+LEN(SUBSTITUTE(SUBSTITUTE(SUBSTITUTE(C551:C555," ",""),"0",""),"-","")))&gt;(LEN(SUBSTITUTE(SUBSTITUTE(SUBSTITUTE(E551:E555," ",""),"0",""),"-",""))+LEN(SUBSTITUTE(SUBSTITUTE(SUBSTITUTE(F551:F555," ",""),"0",""),"-",""))))*1)</f>
      </c>
      <c r="C550" s="18" t="str">
        <f>SUMPRODUCT(LEN(SUBSTITUTE(SUBSTITUTE(SUBSTITUTE(B551:B555," ",""),"0",""),"-",""))+LEN(SUBSTITUTE(SUBSTITUTE(SUBSTITUTE(C551:C555," ",""),"0",""),"-","")))</f>
      </c>
      <c r="D550" s="18"/>
      <c r="E550" s="18" t="str">
        <f>SUMPRODUCT(LEN(SUBSTITUTE(SUBSTITUTE(SUBSTITUTE(E551:E555," ",""),"0",""),"-",""))+LEN(SUBSTITUTE(SUBSTITUTE(SUBSTITUTE(F551:F555," ",""),"0",""),"-","")))</f>
      </c>
      <c r="F550" s="18" t="str">
        <f>SUMPRODUCT((UPPER(D551:D555)&lt;&gt;"X")*((LEN(SUBSTITUTE(SUBSTITUTE(SUBSTITUTE(E551:E555," ",""),"0",""),"-",""))+LEN(SUBSTITUTE(SUBSTITUTE(SUBSTITUTE(F551:F555," ",""),"0",""),"-","")))&gt;(LEN(SUBSTITUTE(SUBSTITUTE(SUBSTITUTE(B551:B555," ",""),"0",""),"-",""))+LEN(SUBSTITUTE(SUBSTITUTE(SUBSTITUTE(C551:C555," ",""),"0",""),"-",""))))*1)</f>
      </c>
      <c r="G550" s="14" t="str">
        <f>data!$B$42</f>
      </c>
      <c r="I550" s="14" t="str">
        <f>data!$B$90</f>
      </c>
      <c r="J550" s="18" t="str">
        <f>SUMPRODUCT((UPPER(L551:L555)&lt;&gt;"X")*((LEN(SUBSTITUTE(SUBSTITUTE(SUBSTITUTE(J551:J555," ",""),"0",""),"-",""))+LEN(SUBSTITUTE(SUBSTITUTE(SUBSTITUTE(K551:K555," ",""),"0",""),"-","")))&gt;(LEN(SUBSTITUTE(SUBSTITUTE(SUBSTITUTE(M551:M555," ",""),"0",""),"-",""))+LEN(SUBSTITUTE(SUBSTITUTE(SUBSTITUTE(N551:N555," ",""),"0",""),"-",""))))*1)</f>
      </c>
      <c r="K550" s="18" t="str">
        <f>SUMPRODUCT(LEN(SUBSTITUTE(SUBSTITUTE(SUBSTITUTE(J551:J555," ",""),"0",""),"-",""))+LEN(SUBSTITUTE(SUBSTITUTE(SUBSTITUTE(K551:K555," ",""),"0",""),"-","")))</f>
      </c>
      <c r="L550" s="18"/>
      <c r="M550" s="18" t="str">
        <f>SUMPRODUCT(LEN(SUBSTITUTE(SUBSTITUTE(SUBSTITUTE(M551:M555," ",""),"0",""),"-",""))+LEN(SUBSTITUTE(SUBSTITUTE(SUBSTITUTE(N551:N555," ",""),"0",""),"-","")))</f>
      </c>
      <c r="N550" s="18" t="str">
        <f>SUMPRODUCT((UPPER(L551:L555)&lt;&gt;"X")*((LEN(SUBSTITUTE(SUBSTITUTE(SUBSTITUTE(M551:M555," ",""),"0",""),"-",""))+LEN(SUBSTITUTE(SUBSTITUTE(SUBSTITUTE(N551:N555," ",""),"0",""),"-","")))&gt;(LEN(SUBSTITUTE(SUBSTITUTE(SUBSTITUTE(J551:J555," ",""),"0",""),"-",""))+LEN(SUBSTITUTE(SUBSTITUTE(SUBSTITUTE(K551:K555," ",""),"0",""),"-",""))))*1)</f>
      </c>
      <c r="O550" s="14" t="str">
        <f>data!$B$89</f>
      </c>
    </row>
    <row r="551">
      <c r="A551" s="18">
        <v>1</v>
      </c>
      <c r="B551" s="18"/>
      <c r="C551" s="18"/>
      <c r="D551" s="18"/>
      <c r="E551" s="18"/>
      <c r="F551" s="18"/>
      <c r="G551" s="18">
        <v>1</v>
      </c>
      <c r="I551" s="18">
        <v>1</v>
      </c>
      <c r="J551" s="18"/>
      <c r="K551" s="18"/>
      <c r="L551" s="18"/>
      <c r="M551" s="18"/>
      <c r="N551" s="18"/>
      <c r="O551" s="18">
        <v>1</v>
      </c>
    </row>
    <row r="552">
      <c r="A552" s="18">
        <v>2</v>
      </c>
      <c r="B552" s="18"/>
      <c r="C552" s="18"/>
      <c r="D552" s="18"/>
      <c r="E552" s="18"/>
      <c r="F552" s="18"/>
      <c r="G552" s="18">
        <v>2</v>
      </c>
      <c r="I552" s="18">
        <v>2</v>
      </c>
      <c r="J552" s="18"/>
      <c r="K552" s="18"/>
      <c r="L552" s="18"/>
      <c r="M552" s="18"/>
      <c r="N552" s="18"/>
      <c r="O552" s="18">
        <v>2</v>
      </c>
    </row>
    <row r="553">
      <c r="A553" s="18">
        <v>3</v>
      </c>
      <c r="B553" s="18"/>
      <c r="C553" s="18"/>
      <c r="D553" s="18"/>
      <c r="E553" s="18"/>
      <c r="F553" s="18"/>
      <c r="G553" s="18">
        <v>3</v>
      </c>
      <c r="I553" s="18">
        <v>3</v>
      </c>
      <c r="J553" s="18"/>
      <c r="K553" s="18"/>
      <c r="L553" s="18"/>
      <c r="M553" s="18"/>
      <c r="N553" s="18"/>
      <c r="O553" s="18">
        <v>3</v>
      </c>
    </row>
    <row r="554">
      <c r="A554" s="18">
        <v>4</v>
      </c>
      <c r="B554" s="18"/>
      <c r="C554" s="18"/>
      <c r="D554" s="18"/>
      <c r="E554" s="18"/>
      <c r="F554" s="18"/>
      <c r="G554" s="18">
        <v>4</v>
      </c>
      <c r="I554" s="18">
        <v>4</v>
      </c>
      <c r="J554" s="18"/>
      <c r="K554" s="18"/>
      <c r="L554" s="18"/>
      <c r="M554" s="18"/>
      <c r="N554" s="18"/>
      <c r="O554" s="18">
        <v>4</v>
      </c>
    </row>
    <row r="555">
      <c r="A555" s="18">
        <v>5</v>
      </c>
      <c r="B555" s="18"/>
      <c r="C555" s="18"/>
      <c r="D555" s="18"/>
      <c r="E555" s="18"/>
      <c r="F555" s="18"/>
      <c r="G555" s="18">
        <v>5</v>
      </c>
      <c r="I555" s="18">
        <v>5</v>
      </c>
      <c r="J555" s="18"/>
      <c r="K555" s="18"/>
      <c r="L555" s="18"/>
      <c r="M555" s="18"/>
      <c r="N555" s="18"/>
      <c r="O555" s="18">
        <v>5</v>
      </c>
    </row>
    <row r="557">
      <c r="A557" s="17" t="s">
        <v>239</v>
      </c>
      <c r="B557" s="14"/>
      <c r="C557" s="14"/>
      <c r="D557" s="14" t="s">
        <v>240</v>
      </c>
      <c r="E557" s="14"/>
      <c r="F557" s="14"/>
      <c r="G557" s="16" t="s">
        <v>241</v>
      </c>
      <c r="I557" s="17" t="s">
        <v>239</v>
      </c>
      <c r="J557" s="14"/>
      <c r="K557" s="14"/>
      <c r="L557" s="14" t="s">
        <v>240</v>
      </c>
      <c r="M557" s="14"/>
      <c r="N557" s="14"/>
      <c r="O557" s="16" t="s">
        <v>241</v>
      </c>
    </row>
    <row r="558">
      <c r="A558" s="14" t="str">
        <f>data!$B$44</f>
      </c>
      <c r="B558" s="18" t="str">
        <f>SUMPRODUCT((UPPER(D559:D563)&lt;&gt;"X")*((LEN(SUBSTITUTE(SUBSTITUTE(SUBSTITUTE(B559:B563," ",""),"0",""),"-",""))+LEN(SUBSTITUTE(SUBSTITUTE(SUBSTITUTE(C559:C563," ",""),"0",""),"-","")))&gt;(LEN(SUBSTITUTE(SUBSTITUTE(SUBSTITUTE(E559:E563," ",""),"0",""),"-",""))+LEN(SUBSTITUTE(SUBSTITUTE(SUBSTITUTE(F559:F563," ",""),"0",""),"-",""))))*1)</f>
      </c>
      <c r="C558" s="18" t="str">
        <f>SUMPRODUCT(LEN(SUBSTITUTE(SUBSTITUTE(SUBSTITUTE(B559:B563," ",""),"0",""),"-",""))+LEN(SUBSTITUTE(SUBSTITUTE(SUBSTITUTE(C559:C563," ",""),"0",""),"-","")))</f>
      </c>
      <c r="D558" s="18"/>
      <c r="E558" s="18" t="str">
        <f>SUMPRODUCT(LEN(SUBSTITUTE(SUBSTITUTE(SUBSTITUTE(E559:E563," ",""),"0",""),"-",""))+LEN(SUBSTITUTE(SUBSTITUTE(SUBSTITUTE(F559:F563," ",""),"0",""),"-","")))</f>
      </c>
      <c r="F558" s="18" t="str">
        <f>SUMPRODUCT((UPPER(D559:D563)&lt;&gt;"X")*((LEN(SUBSTITUTE(SUBSTITUTE(SUBSTITUTE(E559:E563," ",""),"0",""),"-",""))+LEN(SUBSTITUTE(SUBSTITUTE(SUBSTITUTE(F559:F563," ",""),"0",""),"-","")))&gt;(LEN(SUBSTITUTE(SUBSTITUTE(SUBSTITUTE(B559:B563," ",""),"0",""),"-",""))+LEN(SUBSTITUTE(SUBSTITUTE(SUBSTITUTE(C559:C563," ",""),"0",""),"-",""))))*1)</f>
      </c>
      <c r="G558" s="14" t="str">
        <f>data!$B$42</f>
      </c>
      <c r="I558" s="14" t="str">
        <f>data!$B$91</f>
      </c>
      <c r="J558" s="18" t="str">
        <f>SUMPRODUCT((UPPER(L559:L563)&lt;&gt;"X")*((LEN(SUBSTITUTE(SUBSTITUTE(SUBSTITUTE(J559:J563," ",""),"0",""),"-",""))+LEN(SUBSTITUTE(SUBSTITUTE(SUBSTITUTE(K559:K563," ",""),"0",""),"-","")))&gt;(LEN(SUBSTITUTE(SUBSTITUTE(SUBSTITUTE(M559:M563," ",""),"0",""),"-",""))+LEN(SUBSTITUTE(SUBSTITUTE(SUBSTITUTE(N559:N563," ",""),"0",""),"-",""))))*1)</f>
      </c>
      <c r="K558" s="18" t="str">
        <f>SUMPRODUCT(LEN(SUBSTITUTE(SUBSTITUTE(SUBSTITUTE(J559:J563," ",""),"0",""),"-",""))+LEN(SUBSTITUTE(SUBSTITUTE(SUBSTITUTE(K559:K563," ",""),"0",""),"-","")))</f>
      </c>
      <c r="L558" s="18"/>
      <c r="M558" s="18" t="str">
        <f>SUMPRODUCT(LEN(SUBSTITUTE(SUBSTITUTE(SUBSTITUTE(M559:M563," ",""),"0",""),"-",""))+LEN(SUBSTITUTE(SUBSTITUTE(SUBSTITUTE(N559:N563," ",""),"0",""),"-","")))</f>
      </c>
      <c r="N558" s="18" t="str">
        <f>SUMPRODUCT((UPPER(L559:L563)&lt;&gt;"X")*((LEN(SUBSTITUTE(SUBSTITUTE(SUBSTITUTE(M559:M563," ",""),"0",""),"-",""))+LEN(SUBSTITUTE(SUBSTITUTE(SUBSTITUTE(N559:N563," ",""),"0",""),"-","")))&gt;(LEN(SUBSTITUTE(SUBSTITUTE(SUBSTITUTE(J559:J563," ",""),"0",""),"-",""))+LEN(SUBSTITUTE(SUBSTITUTE(SUBSTITUTE(K559:K563," ",""),"0",""),"-",""))))*1)</f>
      </c>
      <c r="O558" s="14" t="str">
        <f>data!$B$89</f>
      </c>
    </row>
    <row r="559">
      <c r="A559" s="18">
        <v>1</v>
      </c>
      <c r="B559" s="18"/>
      <c r="C559" s="18"/>
      <c r="D559" s="18"/>
      <c r="E559" s="18"/>
      <c r="F559" s="18"/>
      <c r="G559" s="18">
        <v>1</v>
      </c>
      <c r="I559" s="18">
        <v>1</v>
      </c>
      <c r="J559" s="18"/>
      <c r="K559" s="18"/>
      <c r="L559" s="18"/>
      <c r="M559" s="18"/>
      <c r="N559" s="18"/>
      <c r="O559" s="18">
        <v>1</v>
      </c>
    </row>
    <row r="560">
      <c r="A560" s="18">
        <v>2</v>
      </c>
      <c r="B560" s="18"/>
      <c r="C560" s="18"/>
      <c r="D560" s="18"/>
      <c r="E560" s="18"/>
      <c r="F560" s="18"/>
      <c r="G560" s="18">
        <v>2</v>
      </c>
      <c r="I560" s="18">
        <v>2</v>
      </c>
      <c r="J560" s="18"/>
      <c r="K560" s="18"/>
      <c r="L560" s="18"/>
      <c r="M560" s="18"/>
      <c r="N560" s="18"/>
      <c r="O560" s="18">
        <v>2</v>
      </c>
    </row>
    <row r="561">
      <c r="A561" s="18">
        <v>3</v>
      </c>
      <c r="B561" s="18"/>
      <c r="C561" s="18"/>
      <c r="D561" s="18"/>
      <c r="E561" s="18"/>
      <c r="F561" s="18"/>
      <c r="G561" s="18">
        <v>3</v>
      </c>
      <c r="I561" s="18">
        <v>3</v>
      </c>
      <c r="J561" s="18"/>
      <c r="K561" s="18"/>
      <c r="L561" s="18"/>
      <c r="M561" s="18"/>
      <c r="N561" s="18"/>
      <c r="O561" s="18">
        <v>3</v>
      </c>
    </row>
    <row r="562">
      <c r="A562" s="18">
        <v>4</v>
      </c>
      <c r="B562" s="18"/>
      <c r="C562" s="18"/>
      <c r="D562" s="18"/>
      <c r="E562" s="18"/>
      <c r="F562" s="18"/>
      <c r="G562" s="18">
        <v>4</v>
      </c>
      <c r="I562" s="18">
        <v>4</v>
      </c>
      <c r="J562" s="18"/>
      <c r="K562" s="18"/>
      <c r="L562" s="18"/>
      <c r="M562" s="18"/>
      <c r="N562" s="18"/>
      <c r="O562" s="18">
        <v>4</v>
      </c>
    </row>
    <row r="563">
      <c r="A563" s="18">
        <v>5</v>
      </c>
      <c r="B563" s="18"/>
      <c r="C563" s="18"/>
      <c r="D563" s="18"/>
      <c r="E563" s="18"/>
      <c r="F563" s="18"/>
      <c r="G563" s="18">
        <v>5</v>
      </c>
      <c r="I563" s="18">
        <v>5</v>
      </c>
      <c r="J563" s="18"/>
      <c r="K563" s="18"/>
      <c r="L563" s="18"/>
      <c r="M563" s="18"/>
      <c r="N563" s="18"/>
      <c r="O563" s="18">
        <v>5</v>
      </c>
    </row>
    <row r="565">
      <c r="A565" s="17" t="s">
        <v>239</v>
      </c>
      <c r="B565" s="14"/>
      <c r="C565" s="14"/>
      <c r="D565" s="14" t="s">
        <v>240</v>
      </c>
      <c r="E565" s="14"/>
      <c r="F565" s="14"/>
      <c r="G565" s="16" t="s">
        <v>241</v>
      </c>
      <c r="I565" s="17" t="s">
        <v>239</v>
      </c>
      <c r="J565" s="14"/>
      <c r="K565" s="14"/>
      <c r="L565" s="14" t="s">
        <v>240</v>
      </c>
      <c r="M565" s="14"/>
      <c r="N565" s="14"/>
      <c r="O565" s="16" t="s">
        <v>241</v>
      </c>
    </row>
    <row r="566">
      <c r="A566" s="14" t="str">
        <f>data!$B$44</f>
      </c>
      <c r="B566" s="18" t="str">
        <f>SUMPRODUCT((UPPER(D567:D571)&lt;&gt;"X")*((LEN(SUBSTITUTE(SUBSTITUTE(SUBSTITUTE(B567:B571," ",""),"0",""),"-",""))+LEN(SUBSTITUTE(SUBSTITUTE(SUBSTITUTE(C567:C571," ",""),"0",""),"-","")))&gt;(LEN(SUBSTITUTE(SUBSTITUTE(SUBSTITUTE(E567:E571," ",""),"0",""),"-",""))+LEN(SUBSTITUTE(SUBSTITUTE(SUBSTITUTE(F567:F571," ",""),"0",""),"-",""))))*1)</f>
      </c>
      <c r="C566" s="18" t="str">
        <f>SUMPRODUCT(LEN(SUBSTITUTE(SUBSTITUTE(SUBSTITUTE(B567:B571," ",""),"0",""),"-",""))+LEN(SUBSTITUTE(SUBSTITUTE(SUBSTITUTE(C567:C571," ",""),"0",""),"-","")))</f>
      </c>
      <c r="D566" s="18"/>
      <c r="E566" s="18" t="str">
        <f>SUMPRODUCT(LEN(SUBSTITUTE(SUBSTITUTE(SUBSTITUTE(E567:E571," ",""),"0",""),"-",""))+LEN(SUBSTITUTE(SUBSTITUTE(SUBSTITUTE(F567:F571," ",""),"0",""),"-","")))</f>
      </c>
      <c r="F566" s="18" t="str">
        <f>SUMPRODUCT((UPPER(D567:D571)&lt;&gt;"X")*((LEN(SUBSTITUTE(SUBSTITUTE(SUBSTITUTE(E567:E571," ",""),"0",""),"-",""))+LEN(SUBSTITUTE(SUBSTITUTE(SUBSTITUTE(F567:F571," ",""),"0",""),"-","")))&gt;(LEN(SUBSTITUTE(SUBSTITUTE(SUBSTITUTE(B567:B571," ",""),"0",""),"-",""))+LEN(SUBSTITUTE(SUBSTITUTE(SUBSTITUTE(C567:C571," ",""),"0",""),"-",""))))*1)</f>
      </c>
      <c r="G566" s="14" t="str">
        <f>data!$B$43</f>
      </c>
      <c r="I566" s="14" t="str">
        <f>data!$B$91</f>
      </c>
      <c r="J566" s="18" t="str">
        <f>SUMPRODUCT((UPPER(L567:L571)&lt;&gt;"X")*((LEN(SUBSTITUTE(SUBSTITUTE(SUBSTITUTE(J567:J571," ",""),"0",""),"-",""))+LEN(SUBSTITUTE(SUBSTITUTE(SUBSTITUTE(K567:K571," ",""),"0",""),"-","")))&gt;(LEN(SUBSTITUTE(SUBSTITUTE(SUBSTITUTE(M567:M571," ",""),"0",""),"-",""))+LEN(SUBSTITUTE(SUBSTITUTE(SUBSTITUTE(N567:N571," ",""),"0",""),"-",""))))*1)</f>
      </c>
      <c r="K566" s="18" t="str">
        <f>SUMPRODUCT(LEN(SUBSTITUTE(SUBSTITUTE(SUBSTITUTE(J567:J571," ",""),"0",""),"-",""))+LEN(SUBSTITUTE(SUBSTITUTE(SUBSTITUTE(K567:K571," ",""),"0",""),"-","")))</f>
      </c>
      <c r="L566" s="18"/>
      <c r="M566" s="18" t="str">
        <f>SUMPRODUCT(LEN(SUBSTITUTE(SUBSTITUTE(SUBSTITUTE(M567:M571," ",""),"0",""),"-",""))+LEN(SUBSTITUTE(SUBSTITUTE(SUBSTITUTE(N567:N571," ",""),"0",""),"-","")))</f>
      </c>
      <c r="N566" s="18" t="str">
        <f>SUMPRODUCT((UPPER(L567:L571)&lt;&gt;"X")*((LEN(SUBSTITUTE(SUBSTITUTE(SUBSTITUTE(M567:M571," ",""),"0",""),"-",""))+LEN(SUBSTITUTE(SUBSTITUTE(SUBSTITUTE(N567:N571," ",""),"0",""),"-","")))&gt;(LEN(SUBSTITUTE(SUBSTITUTE(SUBSTITUTE(J567:J571," ",""),"0",""),"-",""))+LEN(SUBSTITUTE(SUBSTITUTE(SUBSTITUTE(K567:K571," ",""),"0",""),"-",""))))*1)</f>
      </c>
      <c r="O566" s="14" t="str">
        <f>data!$B$90</f>
      </c>
    </row>
    <row r="567">
      <c r="A567" s="18">
        <v>1</v>
      </c>
      <c r="B567" s="18"/>
      <c r="C567" s="18"/>
      <c r="D567" s="18"/>
      <c r="E567" s="18"/>
      <c r="F567" s="18"/>
      <c r="G567" s="18">
        <v>1</v>
      </c>
      <c r="I567" s="18">
        <v>1</v>
      </c>
      <c r="J567" s="18"/>
      <c r="K567" s="18"/>
      <c r="L567" s="18"/>
      <c r="M567" s="18"/>
      <c r="N567" s="18"/>
      <c r="O567" s="18">
        <v>1</v>
      </c>
    </row>
    <row r="568">
      <c r="A568" s="18">
        <v>2</v>
      </c>
      <c r="B568" s="18"/>
      <c r="C568" s="18"/>
      <c r="D568" s="18"/>
      <c r="E568" s="18"/>
      <c r="F568" s="18"/>
      <c r="G568" s="18">
        <v>2</v>
      </c>
      <c r="I568" s="18">
        <v>2</v>
      </c>
      <c r="J568" s="18"/>
      <c r="K568" s="18"/>
      <c r="L568" s="18"/>
      <c r="M568" s="18"/>
      <c r="N568" s="18"/>
      <c r="O568" s="18">
        <v>2</v>
      </c>
    </row>
    <row r="569">
      <c r="A569" s="18">
        <v>3</v>
      </c>
      <c r="B569" s="18"/>
      <c r="C569" s="18"/>
      <c r="D569" s="18"/>
      <c r="E569" s="18"/>
      <c r="F569" s="18"/>
      <c r="G569" s="18">
        <v>3</v>
      </c>
      <c r="I569" s="18">
        <v>3</v>
      </c>
      <c r="J569" s="18"/>
      <c r="K569" s="18"/>
      <c r="L569" s="18"/>
      <c r="M569" s="18"/>
      <c r="N569" s="18"/>
      <c r="O569" s="18">
        <v>3</v>
      </c>
    </row>
    <row r="570">
      <c r="A570" s="18">
        <v>4</v>
      </c>
      <c r="B570" s="18"/>
      <c r="C570" s="18"/>
      <c r="D570" s="18"/>
      <c r="E570" s="18"/>
      <c r="F570" s="18"/>
      <c r="G570" s="18">
        <v>4</v>
      </c>
      <c r="I570" s="18">
        <v>4</v>
      </c>
      <c r="J570" s="18"/>
      <c r="K570" s="18"/>
      <c r="L570" s="18"/>
      <c r="M570" s="18"/>
      <c r="N570" s="18"/>
      <c r="O570" s="18">
        <v>4</v>
      </c>
    </row>
    <row r="571">
      <c r="A571" s="18">
        <v>5</v>
      </c>
      <c r="B571" s="18"/>
      <c r="C571" s="18"/>
      <c r="D571" s="18"/>
      <c r="E571" s="18"/>
      <c r="F571" s="18"/>
      <c r="G571" s="18">
        <v>5</v>
      </c>
      <c r="I571" s="18">
        <v>5</v>
      </c>
      <c r="J571" s="18"/>
      <c r="K571" s="18"/>
      <c r="L571" s="18"/>
      <c r="M571" s="18"/>
      <c r="N571" s="18"/>
      <c r="O571" s="18">
        <v>5</v>
      </c>
    </row>
    <row r="574">
      <c r="A574" s="13"/>
      <c r="B574" s="13" t="s">
        <v>242</v>
      </c>
      <c r="C574" s="13" t="s">
        <v>243</v>
      </c>
      <c r="D574" s="13" t="s">
        <v>244</v>
      </c>
      <c r="I574" s="13"/>
      <c r="J574" s="13" t="s">
        <v>242</v>
      </c>
      <c r="K574" s="13" t="s">
        <v>243</v>
      </c>
      <c r="L574" s="13" t="s">
        <v>244</v>
      </c>
    </row>
    <row r="575">
      <c r="A575" t="str">
        <f>data!$B$42</f>
      </c>
      <c r="B575" s="14" t="str">
        <f>IF(OR(COUNTA(B551:C555,E551:F555)&gt;0,OR(D550="X",D550="x")),IF(OR(D550="X",D550="x"),0,IF(OR(F550&gt;B550,AND(F550=B550,E550&gt;C550)),1,0)),0)+IF(OR(COUNTA(B559:C563,E559:F563)&gt;0,OR(D558="X",D558="x")),IF(OR(D558="X",D558="x"),0,IF(OR(F558&gt;B558,AND(F558=B558,E558&gt;C558)),1,0)),0)</f>
      </c>
      <c r="C575" s="14" t="str">
        <f>IF(OR(COUNTA(B551:C555,E551:F555)&gt;0,OR(D550="X",D550="x")),IF(OR(D550="X",D550="x"),0,IF(OR(F550&lt;B550,AND(F550=B550,E550&lt;C550)),1,0)),0)+IF(OR(COUNTA(B559:C563,E559:F563)&gt;0,OR(D558="X",D558="x")),IF(OR(D558="X",D558="x"),0,IF(OR(F558&lt;B558,AND(F558=B558,E558&lt;C558)),1,0)),0)</f>
      </c>
      <c r="D575" s="14" t="str">
        <f>IF(OR(COUNTA(B551:C555,E551:F555)&gt;0,OR(D550="X",D550="x")),IF(OR(D550="X",D550="x"),1,0),0)+IF(OR(COUNTA(B559:C563,E559:F563)&gt;0,OR(D558="X",D558="x")),IF(OR(D558="X",D558="x"),1,0),0)</f>
      </c>
      <c r="I575" t="str">
        <f>data!$B$89</f>
      </c>
      <c r="J575" s="14" t="str">
        <f>IF(OR(COUNTA(J551:K555,M551:N555)&gt;0,OR(L550="X",L550="x")),IF(OR(L550="X",L550="x"),0,IF(OR(N550&gt;J550,AND(N550=J550,M550&gt;K550)),1,0)),0)+IF(OR(COUNTA(J559:K563,M559:N563)&gt;0,OR(L558="X",L558="x")),IF(OR(L558="X",L558="x"),0,IF(OR(N558&gt;J558,AND(N558=J558,M558&gt;K558)),1,0)),0)</f>
      </c>
      <c r="K575" s="14" t="str">
        <f>IF(OR(COUNTA(J551:K555,M551:N555)&gt;0,OR(L550="X",L550="x")),IF(OR(L550="X",L550="x"),0,IF(OR(N550&lt;J550,AND(N550=J550,M550&lt;K550)),1,0)),0)+IF(OR(COUNTA(J559:K563,M559:N563)&gt;0,OR(L558="X",L558="x")),IF(OR(L558="X",L558="x"),0,IF(OR(N558&lt;J558,AND(N558=J558,M558&lt;K558)),1,0)),0)</f>
      </c>
      <c r="L575" s="14" t="str">
        <f>IF(OR(COUNTA(J551:K555,M551:N555)&gt;0,OR(L550="X",L550="x")),IF(OR(L550="X",L550="x"),1,0),0)+IF(OR(COUNTA(J559:K563,M559:N563)&gt;0,OR(L558="X",L558="x")),IF(OR(L558="X",L558="x"),1,0),0)</f>
      </c>
    </row>
    <row r="576">
      <c r="A576" t="str">
        <f>data!$B$43</f>
      </c>
      <c r="B576" s="14" t="str">
        <f>IF(OR(COUNTA(B551:C555,E551:F555)&gt;0,OR(D550="X",D550="x")),IF(OR(D550="X",D550="x"),0,IF(OR(B550&gt;F550,AND(B550=F550,C550&gt;E550)),1,0)),0)+IF(OR(COUNTA(B567:C571,E567:F571)&gt;0,OR(D566="X",D566="x")),IF(OR(D566="X",D566="x"),0,IF(OR(F566&gt;B566,AND(F566=B566,E566&gt;C566)),1,0)),0)</f>
      </c>
      <c r="C576" s="14" t="str">
        <f>IF(OR(COUNTA(B551:C555,E551:F555)&gt;0,OR(D550="X",D550="x")),IF(OR(D550="X",D550="x"),0,IF(OR(B550&lt;F550,AND(B550=F550,C550&lt;E550)),1,0)),0)+IF(OR(COUNTA(B567:C571,E567:F571)&gt;0,OR(D566="X",D566="x")),IF(OR(D566="X",D566="x"),0,IF(OR(F566&lt;B566,AND(F566=B566,E566&lt;C566)),1,0)),0)</f>
      </c>
      <c r="D576" s="14" t="str">
        <f>IF(OR(COUNTA(B551:C555,E551:F555)&gt;0,OR(D550="X",D550="x")),IF(OR(D550="X",D550="x"),1,0),0)+IF(OR(COUNTA(B567:C571,E567:F571)&gt;0,OR(D566="X",D566="x")),IF(OR(D566="X",D566="x"),1,0),0)</f>
      </c>
      <c r="I576" t="str">
        <f>data!$B$90</f>
      </c>
      <c r="J576" s="14" t="str">
        <f>IF(OR(COUNTA(J551:K555,M551:N555)&gt;0,OR(L550="X",L550="x")),IF(OR(L550="X",L550="x"),0,IF(OR(J550&gt;N550,AND(J550=N550,K550&gt;M550)),1,0)),0)+IF(OR(COUNTA(J567:K571,M567:N571)&gt;0,OR(L566="X",L566="x")),IF(OR(L566="X",L566="x"),0,IF(OR(N566&gt;J566,AND(N566=J566,M566&gt;K566)),1,0)),0)</f>
      </c>
      <c r="K576" s="14" t="str">
        <f>IF(OR(COUNTA(J551:K555,M551:N555)&gt;0,OR(L550="X",L550="x")),IF(OR(L550="X",L550="x"),0,IF(OR(J550&lt;N550,AND(J550=N550,K550&lt;M550)),1,0)),0)+IF(OR(COUNTA(J567:K571,M567:N571)&gt;0,OR(L566="X",L566="x")),IF(OR(L566="X",L566="x"),0,IF(OR(N566&lt;J566,AND(N566=J566,M566&lt;K566)),1,0)),0)</f>
      </c>
      <c r="L576" s="14" t="str">
        <f>IF(OR(COUNTA(J551:K555,M551:N555)&gt;0,OR(L550="X",L550="x")),IF(OR(L550="X",L550="x"),1,0),0)+IF(OR(COUNTA(J567:K571,M567:N571)&gt;0,OR(L566="X",L566="x")),IF(OR(L566="X",L566="x"),1,0),0)</f>
      </c>
    </row>
    <row r="577">
      <c r="A577" t="str">
        <f>data!$B$44</f>
      </c>
      <c r="B577" s="14" t="str">
        <f>IF(OR(COUNTA(B559:C563,E559:F563)&gt;0,OR(D558="X",D558="x")),IF(OR(D558="X",D558="x"),0,IF(OR(B558&gt;F558,AND(B558=F558,C558&gt;E558)),1,0)),0)+IF(OR(COUNTA(B567:C571,E567:F571)&gt;0,OR(D566="X",D566="x")),IF(OR(D566="X",D566="x"),0,IF(OR(B566&gt;F566,AND(B566=F566,C566&gt;E566)),1,0)),0)</f>
      </c>
      <c r="C577" s="14" t="str">
        <f>IF(OR(COUNTA(B559:C563,E559:F563)&gt;0,OR(D558="X",D558="x")),IF(OR(D558="X",D558="x"),0,IF(OR(B558&lt;F558,AND(B558=F558,C558&lt;E558)),1,0)),0)+IF(OR(COUNTA(B567:C571,E567:F571)&gt;0,OR(D566="X",D566="x")),IF(OR(D566="X",D566="x"),0,IF(OR(B566&lt;F566,AND(B566=F566,C566&lt;E566)),1,0)),0)</f>
      </c>
      <c r="D577" s="14" t="str">
        <f>IF(OR(COUNTA(B559:C563,E559:F563)&gt;0,OR(D558="X",D558="x")),IF(OR(D558="X",D558="x"),1,0),0)+IF(OR(COUNTA(B567:C571,E567:F571)&gt;0,OR(D566="X",D566="x")),IF(OR(D566="X",D566="x"),1,0),0)</f>
      </c>
      <c r="I577" t="str">
        <f>data!$B$91</f>
      </c>
      <c r="J577" s="14" t="str">
        <f>IF(OR(COUNTA(J559:K563,M559:N563)&gt;0,OR(L558="X",L558="x")),IF(OR(L558="X",L558="x"),0,IF(OR(J558&gt;N558,AND(J558=N558,K558&gt;M558)),1,0)),0)+IF(OR(COUNTA(J567:K571,M567:N571)&gt;0,OR(L566="X",L566="x")),IF(OR(L566="X",L566="x"),0,IF(OR(J566&gt;N566,AND(J566=N566,K566&gt;M566)),1,0)),0)</f>
      </c>
      <c r="K577" s="14" t="str">
        <f>IF(OR(COUNTA(J559:K563,M559:N563)&gt;0,OR(L558="X",L558="x")),IF(OR(L558="X",L558="x"),0,IF(OR(J558&lt;N558,AND(J558=N558,K558&lt;M558)),1,0)),0)+IF(OR(COUNTA(J567:K571,M567:N571)&gt;0,OR(L566="X",L566="x")),IF(OR(L566="X",L566="x"),0,IF(OR(J566&lt;N566,AND(J566=N566,K566&lt;M566)),1,0)),0)</f>
      </c>
      <c r="L577" s="14" t="str">
        <f>IF(OR(COUNTA(J559:K563,M559:N563)&gt;0,OR(L558="X",L558="x")),IF(OR(L558="X",L558="x"),1,0),0)+IF(OR(COUNTA(J567:K571,M567:N571)&gt;0,OR(L566="X",L566="x")),IF(OR(L566="X",L566="x"),1,0),0)</f>
      </c>
    </row>
    <row r="579">
      <c r="A579" s="13"/>
      <c r="B579" s="13" t="s">
        <v>245</v>
      </c>
      <c r="C579" s="13" t="s">
        <v>246</v>
      </c>
      <c r="D579" s="13" t="s">
        <v>247</v>
      </c>
      <c r="E579" s="13" t="s">
        <v>248</v>
      </c>
      <c r="F579" s="13" t="s">
        <v>249</v>
      </c>
      <c r="I579" s="13"/>
      <c r="J579" s="13" t="s">
        <v>245</v>
      </c>
      <c r="K579" s="13" t="s">
        <v>246</v>
      </c>
      <c r="L579" s="13" t="s">
        <v>247</v>
      </c>
      <c r="M579" s="13" t="s">
        <v>248</v>
      </c>
      <c r="N579" s="13" t="s">
        <v>249</v>
      </c>
    </row>
    <row r="580">
      <c r="A580" t="str">
        <f>data!$B$42</f>
      </c>
      <c r="B580" s="14" t="str">
        <f>IF(OR(COUNTA(B551:C555,E551:F555)&gt;0,OR(D550="X",D550="x")),F550,0)+IF(OR(COUNTA(B559:C563,E559:F563)&gt;0,OR(D558="X",D558="x")),F558,0)</f>
      </c>
      <c r="C580" s="14" t="str">
        <f>IF(OR(COUNTA(B551:C555,E551:F555)&gt;0,OR(D550="X",D550="x")),B550,0)+IF(OR(COUNTA(B559:C563,E559:F563)&gt;0,OR(D558="X",D558="x")),B558,0)</f>
      </c>
      <c r="D580" s="14" t="str">
        <f>IF(OR(COUNTA(B551:C555,E551:F555)&gt;0,OR(D550="X",D550="x")),(IF(OR(D551="X",D551="x"),1,0)+IF(OR(D552="X",D552="x"),1,0)+IF(OR(D553="X",D553="x"),1,0)+IF(OR(D554="X",D554="x"),1,0)+IF(OR(D555="X",D555="x"),1,0)),0)+IF(OR(COUNTA(B559:C563,E559:F563)&gt;0,OR(D558="X",D558="x")),(IF(OR(D559="X",D559="x"),1,0)+IF(OR(D560="X",D560="x"),1,0)+IF(OR(D561="X",D561="x"),1,0)+IF(OR(D562="X",D562="x"),1,0)+IF(OR(D563="X",D563="x"),1,0)),0)</f>
      </c>
      <c r="E580" s="14" t="str">
        <f>E550+E558</f>
      </c>
      <c r="F580" s="14" t="str">
        <f>C550+C558</f>
      </c>
      <c r="I580" t="str">
        <f>data!$B$89</f>
      </c>
      <c r="J580" s="14" t="str">
        <f>IF(OR(COUNTA(J551:K555,M551:N555)&gt;0,OR(L550="X",L550="x")),N550,0)+IF(OR(COUNTA(J559:K563,M559:N563)&gt;0,OR(L558="X",L558="x")),N558,0)</f>
      </c>
      <c r="K580" s="14" t="str">
        <f>IF(OR(COUNTA(J551:K555,M551:N555)&gt;0,OR(L550="X",L550="x")),J550,0)+IF(OR(COUNTA(J559:K563,M559:N563)&gt;0,OR(L558="X",L558="x")),J558,0)</f>
      </c>
      <c r="L580" s="14" t="str">
        <f>IF(OR(COUNTA(J551:K555,M551:N555)&gt;0,OR(L550="X",L550="x")),(IF(OR(L551="X",L551="x"),1,0)+IF(OR(L552="X",L552="x"),1,0)+IF(OR(L553="X",L553="x"),1,0)+IF(OR(L554="X",L554="x"),1,0)+IF(OR(L555="X",L555="x"),1,0)),0)+IF(OR(COUNTA(J559:K563,M559:N563)&gt;0,OR(L558="X",L558="x")),(IF(OR(L559="X",L559="x"),1,0)+IF(OR(L560="X",L560="x"),1,0)+IF(OR(L561="X",L561="x"),1,0)+IF(OR(L562="X",L562="x"),1,0)+IF(OR(L563="X",L563="x"),1,0)),0)</f>
      </c>
      <c r="M580" s="14" t="str">
        <f>M550+M558</f>
      </c>
      <c r="N580" s="14" t="str">
        <f>K550+K558</f>
      </c>
    </row>
    <row r="581">
      <c r="A581" t="str">
        <f>data!$B$43</f>
      </c>
      <c r="B581" s="14" t="str">
        <f>IF(OR(COUNTA(B551:C555,E551:F555)&gt;0,OR(D550="X",D550="x")),B550,0)+IF(OR(COUNTA(B567:C571,E567:F571)&gt;0,OR(D566="X",D566="x")),F566,0)</f>
      </c>
      <c r="C581" s="14" t="str">
        <f>IF(OR(COUNTA(B551:C555,E551:F555)&gt;0,OR(D550="X",D550="x")),F550,0)+IF(OR(COUNTA(B567:C571,E567:F571)&gt;0,OR(D566="X",D566="x")),B566,0)</f>
      </c>
      <c r="D581" s="14" t="str">
        <f>IF(OR(COUNTA(B551:C555,E551:F555)&gt;0,OR(D550="X",D550="x")),(IF(OR(D551="X",D551="x"),1,0)+IF(OR(D552="X",D552="x"),1,0)+IF(OR(D553="X",D553="x"),1,0)+IF(OR(D554="X",D554="x"),1,0)+IF(OR(D555="X",D555="x"),1,0)),0)+IF(OR(COUNTA(B567:C571,E567:F571)&gt;0,OR(D566="X",D566="x")),(IF(OR(D567="X",D567="x"),1,0)+IF(OR(D568="X",D568="x"),1,0)+IF(OR(D569="X",D569="x"),1,0)+IF(OR(D570="X",D570="x"),1,0)+IF(OR(D571="X",D571="x"),1,0)),0)</f>
      </c>
      <c r="E581" s="14" t="str">
        <f>C550+E566</f>
      </c>
      <c r="F581" s="14" t="str">
        <f>E550+C566</f>
      </c>
      <c r="I581" t="str">
        <f>data!$B$90</f>
      </c>
      <c r="J581" s="14" t="str">
        <f>IF(OR(COUNTA(J551:K555,M551:N555)&gt;0,OR(L550="X",L550="x")),J550,0)+IF(OR(COUNTA(J567:K571,M567:N571)&gt;0,OR(L566="X",L566="x")),N566,0)</f>
      </c>
      <c r="K581" s="14" t="str">
        <f>IF(OR(COUNTA(J551:K555,M551:N555)&gt;0,OR(L550="X",L550="x")),N550,0)+IF(OR(COUNTA(J567:K571,M567:N571)&gt;0,OR(L566="X",L566="x")),J566,0)</f>
      </c>
      <c r="L581" s="14" t="str">
        <f>IF(OR(COUNTA(J551:K555,M551:N555)&gt;0,OR(L550="X",L550="x")),(IF(OR(L551="X",L551="x"),1,0)+IF(OR(L552="X",L552="x"),1,0)+IF(OR(L553="X",L553="x"),1,0)+IF(OR(L554="X",L554="x"),1,0)+IF(OR(L555="X",L555="x"),1,0)),0)+IF(OR(COUNTA(J567:K571,M567:N571)&gt;0,OR(L566="X",L566="x")),(IF(OR(L567="X",L567="x"),1,0)+IF(OR(L568="X",L568="x"),1,0)+IF(OR(L569="X",L569="x"),1,0)+IF(OR(L570="X",L570="x"),1,0)+IF(OR(L571="X",L571="x"),1,0)),0)</f>
      </c>
      <c r="M581" s="14" t="str">
        <f>K550+M566</f>
      </c>
      <c r="N581" s="14" t="str">
        <f>M550+K566</f>
      </c>
    </row>
    <row r="582">
      <c r="A582" t="str">
        <f>data!$B$44</f>
      </c>
      <c r="B582" s="14" t="str">
        <f>IF(OR(COUNTA(B559:C563,E559:F563)&gt;0,OR(D558="X",D558="x")),B558,0)+IF(OR(COUNTA(B567:C571,E567:F571)&gt;0,OR(D566="X",D566="x")),B566,0)</f>
      </c>
      <c r="C582" s="14" t="str">
        <f>IF(OR(COUNTA(B559:C563,E559:F563)&gt;0,OR(D558="X",D558="x")),F558,0)+IF(OR(COUNTA(B567:C571,E567:F571)&gt;0,OR(D566="X",D566="x")),F566,0)</f>
      </c>
      <c r="D582" s="14" t="str">
        <f>IF(OR(COUNTA(B559:C563,E559:F563)&gt;0,OR(D558="X",D558="x")),(IF(OR(D559="X",D559="x"),1,0)+IF(OR(D560="X",D560="x"),1,0)+IF(OR(D561="X",D561="x"),1,0)+IF(OR(D562="X",D562="x"),1,0)+IF(OR(D563="X",D563="x"),1,0)),0)+IF(OR(COUNTA(B567:C571,E567:F571)&gt;0,OR(D566="X",D566="x")),(IF(OR(D567="X",D567="x"),1,0)+IF(OR(D568="X",D568="x"),1,0)+IF(OR(D569="X",D569="x"),1,0)+IF(OR(D570="X",D570="x"),1,0)+IF(OR(D571="X",D571="x"),1,0)),0)</f>
      </c>
      <c r="E582" s="14" t="str">
        <f>C558+C566</f>
      </c>
      <c r="F582" s="14" t="str">
        <f>E558+E566</f>
      </c>
      <c r="I582" t="str">
        <f>data!$B$91</f>
      </c>
      <c r="J582" s="14" t="str">
        <f>IF(OR(COUNTA(J559:K563,M559:N563)&gt;0,OR(L558="X",L558="x")),J558,0)+IF(OR(COUNTA(J567:K571,M567:N571)&gt;0,OR(L566="X",L566="x")),J566,0)</f>
      </c>
      <c r="K582" s="14" t="str">
        <f>IF(OR(COUNTA(J559:K563,M559:N563)&gt;0,OR(L558="X",L558="x")),N558,0)+IF(OR(COUNTA(J567:K571,M567:N571)&gt;0,OR(L566="X",L566="x")),N566,0)</f>
      </c>
      <c r="L582" s="14" t="str">
        <f>IF(OR(COUNTA(J559:K563,M559:N563)&gt;0,OR(L558="X",L558="x")),(IF(OR(L559="X",L559="x"),1,0)+IF(OR(L560="X",L560="x"),1,0)+IF(OR(L561="X",L561="x"),1,0)+IF(OR(L562="X",L562="x"),1,0)+IF(OR(L563="X",L563="x"),1,0)),0)+IF(OR(COUNTA(J567:K571,M567:N571)&gt;0,OR(L566="X",L566="x")),(IF(OR(L567="X",L567="x"),1,0)+IF(OR(L568="X",L568="x"),1,0)+IF(OR(L569="X",L569="x"),1,0)+IF(OR(L570="X",L570="x"),1,0)+IF(OR(L571="X",L571="x"),1,0)),0)</f>
      </c>
      <c r="M582" s="14" t="str">
        <f>K558+K566</f>
      </c>
      <c r="N582" s="14" t="str">
        <f>M558+M566</f>
      </c>
    </row>
    <row r="585">
      <c r="F585" s="13"/>
      <c r="G585" s="13" t="s">
        <v>250</v>
      </c>
      <c r="N585" s="13"/>
      <c r="O585" s="13" t="s">
        <v>250</v>
      </c>
    </row>
    <row r="586">
      <c r="F586" t="s">
        <v>251</v>
      </c>
      <c r="G586" s="19"/>
      <c r="N586" t="s">
        <v>251</v>
      </c>
      <c r="O586" s="19"/>
    </row>
    <row r="587">
      <c r="F587" t="s">
        <v>252</v>
      </c>
      <c r="G587" s="19"/>
      <c r="N587" t="s">
        <v>252</v>
      </c>
      <c r="O587" s="19"/>
    </row>
    <row r="588">
      <c r="F588" t="s">
        <v>253</v>
      </c>
      <c r="G588" s="19"/>
      <c r="N588" t="s">
        <v>253</v>
      </c>
      <c r="O588" s="19"/>
    </row>
    <row r="590">
      <c r="A590" s="13" t="str">
        <f>data!$A$47</f>
      </c>
      <c r="B590" s="13"/>
      <c r="C590" s="13"/>
      <c r="D590" s="13"/>
      <c r="E590" s="13"/>
      <c r="F590" s="13"/>
      <c r="G590" s="13"/>
      <c r="I590" s="13" t="str">
        <f>data!$A$93</f>
      </c>
      <c r="J590" s="13"/>
      <c r="K590" s="13"/>
      <c r="L590" s="13"/>
      <c r="M590" s="13"/>
      <c r="N590" s="13"/>
      <c r="O590" s="13"/>
    </row>
    <row r="591">
      <c r="A591" s="17" t="s">
        <v>239</v>
      </c>
      <c r="B591" s="14"/>
      <c r="C591" s="14"/>
      <c r="D591" s="14" t="s">
        <v>240</v>
      </c>
      <c r="E591" s="14"/>
      <c r="F591" s="14"/>
      <c r="G591" s="16" t="s">
        <v>241</v>
      </c>
      <c r="I591" s="17" t="s">
        <v>239</v>
      </c>
      <c r="J591" s="14"/>
      <c r="K591" s="14"/>
      <c r="L591" s="14" t="s">
        <v>240</v>
      </c>
      <c r="M591" s="14"/>
      <c r="N591" s="14"/>
      <c r="O591" s="16" t="s">
        <v>241</v>
      </c>
    </row>
    <row r="592">
      <c r="A592" s="14" t="str">
        <f>data!$B$46</f>
      </c>
      <c r="B592" s="18" t="str">
        <f>SUMPRODUCT((UPPER(D593:D597)&lt;&gt;"X")*((LEN(SUBSTITUTE(SUBSTITUTE(SUBSTITUTE(B593:B597," ",""),"0",""),"-",""))+LEN(SUBSTITUTE(SUBSTITUTE(SUBSTITUTE(C593:C597," ",""),"0",""),"-","")))&gt;(LEN(SUBSTITUTE(SUBSTITUTE(SUBSTITUTE(E593:E597," ",""),"0",""),"-",""))+LEN(SUBSTITUTE(SUBSTITUTE(SUBSTITUTE(F593:F597," ",""),"0",""),"-",""))))*1)</f>
      </c>
      <c r="C592" s="18" t="str">
        <f>SUMPRODUCT(LEN(SUBSTITUTE(SUBSTITUTE(SUBSTITUTE(B593:B597," ",""),"0",""),"-",""))+LEN(SUBSTITUTE(SUBSTITUTE(SUBSTITUTE(C593:C597," ",""),"0",""),"-","")))</f>
      </c>
      <c r="D592" s="18"/>
      <c r="E592" s="18" t="str">
        <f>SUMPRODUCT(LEN(SUBSTITUTE(SUBSTITUTE(SUBSTITUTE(E593:E597," ",""),"0",""),"-",""))+LEN(SUBSTITUTE(SUBSTITUTE(SUBSTITUTE(F593:F597," ",""),"0",""),"-","")))</f>
      </c>
      <c r="F592" s="18" t="str">
        <f>SUMPRODUCT((UPPER(D593:D597)&lt;&gt;"X")*((LEN(SUBSTITUTE(SUBSTITUTE(SUBSTITUTE(E593:E597," ",""),"0",""),"-",""))+LEN(SUBSTITUTE(SUBSTITUTE(SUBSTITUTE(F593:F597," ",""),"0",""),"-","")))&gt;(LEN(SUBSTITUTE(SUBSTITUTE(SUBSTITUTE(B593:B597," ",""),"0",""),"-",""))+LEN(SUBSTITUTE(SUBSTITUTE(SUBSTITUTE(C593:C597," ",""),"0",""),"-",""))))*1)</f>
      </c>
      <c r="G592" s="14" t="str">
        <f>data!$B$45</f>
      </c>
      <c r="I592" s="14" t="str">
        <f>data!$B$93</f>
      </c>
      <c r="J592" s="18" t="str">
        <f>SUMPRODUCT((UPPER(L593:L597)&lt;&gt;"X")*((LEN(SUBSTITUTE(SUBSTITUTE(SUBSTITUTE(J593:J597," ",""),"0",""),"-",""))+LEN(SUBSTITUTE(SUBSTITUTE(SUBSTITUTE(K593:K597," ",""),"0",""),"-","")))&gt;(LEN(SUBSTITUTE(SUBSTITUTE(SUBSTITUTE(M593:M597," ",""),"0",""),"-",""))+LEN(SUBSTITUTE(SUBSTITUTE(SUBSTITUTE(N593:N597," ",""),"0",""),"-",""))))*1)</f>
      </c>
      <c r="K592" s="18" t="str">
        <f>SUMPRODUCT(LEN(SUBSTITUTE(SUBSTITUTE(SUBSTITUTE(J593:J597," ",""),"0",""),"-",""))+LEN(SUBSTITUTE(SUBSTITUTE(SUBSTITUTE(K593:K597," ",""),"0",""),"-","")))</f>
      </c>
      <c r="L592" s="18"/>
      <c r="M592" s="18" t="str">
        <f>SUMPRODUCT(LEN(SUBSTITUTE(SUBSTITUTE(SUBSTITUTE(M593:M597," ",""),"0",""),"-",""))+LEN(SUBSTITUTE(SUBSTITUTE(SUBSTITUTE(N593:N597," ",""),"0",""),"-","")))</f>
      </c>
      <c r="N592" s="18" t="str">
        <f>SUMPRODUCT((UPPER(L593:L597)&lt;&gt;"X")*((LEN(SUBSTITUTE(SUBSTITUTE(SUBSTITUTE(M593:M597," ",""),"0",""),"-",""))+LEN(SUBSTITUTE(SUBSTITUTE(SUBSTITUTE(N593:N597," ",""),"0",""),"-","")))&gt;(LEN(SUBSTITUTE(SUBSTITUTE(SUBSTITUTE(J593:J597," ",""),"0",""),"-",""))+LEN(SUBSTITUTE(SUBSTITUTE(SUBSTITUTE(K593:K597," ",""),"0",""),"-",""))))*1)</f>
      </c>
      <c r="O592" s="14" t="str">
        <f>data!$B$92</f>
      </c>
    </row>
    <row r="593">
      <c r="A593" s="18">
        <v>1</v>
      </c>
      <c r="B593" s="18"/>
      <c r="C593" s="18"/>
      <c r="D593" s="18"/>
      <c r="E593" s="18"/>
      <c r="F593" s="18"/>
      <c r="G593" s="18">
        <v>1</v>
      </c>
      <c r="I593" s="18">
        <v>1</v>
      </c>
      <c r="J593" s="18"/>
      <c r="K593" s="18"/>
      <c r="L593" s="18"/>
      <c r="M593" s="18"/>
      <c r="N593" s="18"/>
      <c r="O593" s="18">
        <v>1</v>
      </c>
    </row>
    <row r="594">
      <c r="A594" s="18">
        <v>2</v>
      </c>
      <c r="B594" s="18"/>
      <c r="C594" s="18"/>
      <c r="D594" s="18"/>
      <c r="E594" s="18"/>
      <c r="F594" s="18"/>
      <c r="G594" s="18">
        <v>2</v>
      </c>
      <c r="I594" s="18">
        <v>2</v>
      </c>
      <c r="J594" s="18"/>
      <c r="K594" s="18"/>
      <c r="L594" s="18"/>
      <c r="M594" s="18"/>
      <c r="N594" s="18"/>
      <c r="O594" s="18">
        <v>2</v>
      </c>
    </row>
    <row r="595">
      <c r="A595" s="18">
        <v>3</v>
      </c>
      <c r="B595" s="18"/>
      <c r="C595" s="18"/>
      <c r="D595" s="18"/>
      <c r="E595" s="18"/>
      <c r="F595" s="18"/>
      <c r="G595" s="18">
        <v>3</v>
      </c>
      <c r="I595" s="18">
        <v>3</v>
      </c>
      <c r="J595" s="18"/>
      <c r="K595" s="18"/>
      <c r="L595" s="18"/>
      <c r="M595" s="18"/>
      <c r="N595" s="18"/>
      <c r="O595" s="18">
        <v>3</v>
      </c>
    </row>
    <row r="596">
      <c r="A596" s="18">
        <v>4</v>
      </c>
      <c r="B596" s="18"/>
      <c r="C596" s="18"/>
      <c r="D596" s="18"/>
      <c r="E596" s="18"/>
      <c r="F596" s="18"/>
      <c r="G596" s="18">
        <v>4</v>
      </c>
      <c r="I596" s="18">
        <v>4</v>
      </c>
      <c r="J596" s="18"/>
      <c r="K596" s="18"/>
      <c r="L596" s="18"/>
      <c r="M596" s="18"/>
      <c r="N596" s="18"/>
      <c r="O596" s="18">
        <v>4</v>
      </c>
    </row>
    <row r="597">
      <c r="A597" s="18">
        <v>5</v>
      </c>
      <c r="B597" s="18"/>
      <c r="C597" s="18"/>
      <c r="D597" s="18"/>
      <c r="E597" s="18"/>
      <c r="F597" s="18"/>
      <c r="G597" s="18">
        <v>5</v>
      </c>
      <c r="I597" s="18">
        <v>5</v>
      </c>
      <c r="J597" s="18"/>
      <c r="K597" s="18"/>
      <c r="L597" s="18"/>
      <c r="M597" s="18"/>
      <c r="N597" s="18"/>
      <c r="O597" s="18">
        <v>5</v>
      </c>
    </row>
    <row r="599">
      <c r="A599" s="17" t="s">
        <v>239</v>
      </c>
      <c r="B599" s="14"/>
      <c r="C599" s="14"/>
      <c r="D599" s="14" t="s">
        <v>240</v>
      </c>
      <c r="E599" s="14"/>
      <c r="F599" s="14"/>
      <c r="G599" s="16" t="s">
        <v>241</v>
      </c>
    </row>
    <row r="600">
      <c r="A600" s="14" t="str">
        <f>data!$B$47</f>
      </c>
      <c r="B600" s="18" t="str">
        <f>SUMPRODUCT((UPPER(D601:D605)&lt;&gt;"X")*((LEN(SUBSTITUTE(SUBSTITUTE(SUBSTITUTE(B601:B605," ",""),"0",""),"-",""))+LEN(SUBSTITUTE(SUBSTITUTE(SUBSTITUTE(C601:C605," ",""),"0",""),"-","")))&gt;(LEN(SUBSTITUTE(SUBSTITUTE(SUBSTITUTE(E601:E605," ",""),"0",""),"-",""))+LEN(SUBSTITUTE(SUBSTITUTE(SUBSTITUTE(F601:F605," ",""),"0",""),"-",""))))*1)</f>
      </c>
      <c r="C600" s="18" t="str">
        <f>SUMPRODUCT(LEN(SUBSTITUTE(SUBSTITUTE(SUBSTITUTE(B601:B605," ",""),"0",""),"-",""))+LEN(SUBSTITUTE(SUBSTITUTE(SUBSTITUTE(C601:C605," ",""),"0",""),"-","")))</f>
      </c>
      <c r="D600" s="18"/>
      <c r="E600" s="18" t="str">
        <f>SUMPRODUCT(LEN(SUBSTITUTE(SUBSTITUTE(SUBSTITUTE(E601:E605," ",""),"0",""),"-",""))+LEN(SUBSTITUTE(SUBSTITUTE(SUBSTITUTE(F601:F605," ",""),"0",""),"-","")))</f>
      </c>
      <c r="F600" s="18" t="str">
        <f>SUMPRODUCT((UPPER(D601:D605)&lt;&gt;"X")*((LEN(SUBSTITUTE(SUBSTITUTE(SUBSTITUTE(E601:E605," ",""),"0",""),"-",""))+LEN(SUBSTITUTE(SUBSTITUTE(SUBSTITUTE(F601:F605," ",""),"0",""),"-","")))&gt;(LEN(SUBSTITUTE(SUBSTITUTE(SUBSTITUTE(B601:B605," ",""),"0",""),"-",""))+LEN(SUBSTITUTE(SUBSTITUTE(SUBSTITUTE(C601:C605," ",""),"0",""),"-",""))))*1)</f>
      </c>
      <c r="G600" s="14" t="str">
        <f>data!$B$45</f>
      </c>
    </row>
    <row r="601">
      <c r="A601" s="18">
        <v>1</v>
      </c>
      <c r="B601" s="18"/>
      <c r="C601" s="18"/>
      <c r="D601" s="18"/>
      <c r="E601" s="18"/>
      <c r="F601" s="18"/>
      <c r="G601" s="18">
        <v>1</v>
      </c>
    </row>
    <row r="602">
      <c r="A602" s="18">
        <v>2</v>
      </c>
      <c r="B602" s="18"/>
      <c r="C602" s="18"/>
      <c r="D602" s="18"/>
      <c r="E602" s="18"/>
      <c r="F602" s="18"/>
      <c r="G602" s="18">
        <v>2</v>
      </c>
    </row>
    <row r="603">
      <c r="A603" s="18">
        <v>3</v>
      </c>
      <c r="B603" s="18"/>
      <c r="C603" s="18"/>
      <c r="D603" s="18"/>
      <c r="E603" s="18"/>
      <c r="F603" s="18"/>
      <c r="G603" s="18">
        <v>3</v>
      </c>
    </row>
    <row r="604">
      <c r="A604" s="18">
        <v>4</v>
      </c>
      <c r="B604" s="18"/>
      <c r="C604" s="18"/>
      <c r="D604" s="18"/>
      <c r="E604" s="18"/>
      <c r="F604" s="18"/>
      <c r="G604" s="18">
        <v>4</v>
      </c>
    </row>
    <row r="605">
      <c r="A605" s="18">
        <v>5</v>
      </c>
      <c r="B605" s="18"/>
      <c r="C605" s="18"/>
      <c r="D605" s="18"/>
      <c r="E605" s="18"/>
      <c r="F605" s="18"/>
      <c r="G605" s="18">
        <v>5</v>
      </c>
    </row>
    <row r="607">
      <c r="A607" s="17" t="s">
        <v>239</v>
      </c>
      <c r="B607" s="14"/>
      <c r="C607" s="14"/>
      <c r="D607" s="14" t="s">
        <v>240</v>
      </c>
      <c r="E607" s="14"/>
      <c r="F607" s="14"/>
      <c r="G607" s="16" t="s">
        <v>241</v>
      </c>
    </row>
    <row r="608">
      <c r="A608" s="14" t="str">
        <f>data!$B$47</f>
      </c>
      <c r="B608" s="18" t="str">
        <f>SUMPRODUCT((UPPER(D609:D613)&lt;&gt;"X")*((LEN(SUBSTITUTE(SUBSTITUTE(SUBSTITUTE(B609:B613," ",""),"0",""),"-",""))+LEN(SUBSTITUTE(SUBSTITUTE(SUBSTITUTE(C609:C613," ",""),"0",""),"-","")))&gt;(LEN(SUBSTITUTE(SUBSTITUTE(SUBSTITUTE(E609:E613," ",""),"0",""),"-",""))+LEN(SUBSTITUTE(SUBSTITUTE(SUBSTITUTE(F609:F613," ",""),"0",""),"-",""))))*1)</f>
      </c>
      <c r="C608" s="18" t="str">
        <f>SUMPRODUCT(LEN(SUBSTITUTE(SUBSTITUTE(SUBSTITUTE(B609:B613," ",""),"0",""),"-",""))+LEN(SUBSTITUTE(SUBSTITUTE(SUBSTITUTE(C609:C613," ",""),"0",""),"-","")))</f>
      </c>
      <c r="D608" s="18"/>
      <c r="E608" s="18" t="str">
        <f>SUMPRODUCT(LEN(SUBSTITUTE(SUBSTITUTE(SUBSTITUTE(E609:E613," ",""),"0",""),"-",""))+LEN(SUBSTITUTE(SUBSTITUTE(SUBSTITUTE(F609:F613," ",""),"0",""),"-","")))</f>
      </c>
      <c r="F608" s="18" t="str">
        <f>SUMPRODUCT((UPPER(D609:D613)&lt;&gt;"X")*((LEN(SUBSTITUTE(SUBSTITUTE(SUBSTITUTE(E609:E613," ",""),"0",""),"-",""))+LEN(SUBSTITUTE(SUBSTITUTE(SUBSTITUTE(F609:F613," ",""),"0",""),"-","")))&gt;(LEN(SUBSTITUTE(SUBSTITUTE(SUBSTITUTE(B609:B613," ",""),"0",""),"-",""))+LEN(SUBSTITUTE(SUBSTITUTE(SUBSTITUTE(C609:C613," ",""),"0",""),"-",""))))*1)</f>
      </c>
      <c r="G608" s="14" t="str">
        <f>data!$B$46</f>
      </c>
    </row>
    <row r="609">
      <c r="A609" s="18">
        <v>1</v>
      </c>
      <c r="B609" s="18"/>
      <c r="C609" s="18"/>
      <c r="D609" s="18"/>
      <c r="E609" s="18"/>
      <c r="F609" s="18"/>
      <c r="G609" s="18">
        <v>1</v>
      </c>
    </row>
    <row r="610">
      <c r="A610" s="18">
        <v>2</v>
      </c>
      <c r="B610" s="18"/>
      <c r="C610" s="18"/>
      <c r="D610" s="18"/>
      <c r="E610" s="18"/>
      <c r="F610" s="18"/>
      <c r="G610" s="18">
        <v>2</v>
      </c>
    </row>
    <row r="611">
      <c r="A611" s="18">
        <v>3</v>
      </c>
      <c r="B611" s="18"/>
      <c r="C611" s="18"/>
      <c r="D611" s="18"/>
      <c r="E611" s="18"/>
      <c r="F611" s="18"/>
      <c r="G611" s="18">
        <v>3</v>
      </c>
    </row>
    <row r="612">
      <c r="A612" s="18">
        <v>4</v>
      </c>
      <c r="B612" s="18"/>
      <c r="C612" s="18"/>
      <c r="D612" s="18"/>
      <c r="E612" s="18"/>
      <c r="F612" s="18"/>
      <c r="G612" s="18">
        <v>4</v>
      </c>
    </row>
    <row r="613">
      <c r="A613" s="18">
        <v>5</v>
      </c>
      <c r="B613" s="18"/>
      <c r="C613" s="18"/>
      <c r="D613" s="18"/>
      <c r="E613" s="18"/>
      <c r="F613" s="18"/>
      <c r="G613" s="18">
        <v>5</v>
      </c>
    </row>
    <row r="616">
      <c r="A616" s="13"/>
      <c r="B616" s="13" t="s">
        <v>242</v>
      </c>
      <c r="C616" s="13" t="s">
        <v>243</v>
      </c>
      <c r="D616" s="13" t="s">
        <v>244</v>
      </c>
      <c r="I616" s="13"/>
      <c r="J616" s="13" t="s">
        <v>242</v>
      </c>
      <c r="K616" s="13" t="s">
        <v>243</v>
      </c>
      <c r="L616" s="13" t="s">
        <v>244</v>
      </c>
    </row>
    <row r="617">
      <c r="A617" t="str">
        <f>data!$B$45</f>
      </c>
      <c r="B617" s="14" t="str">
        <f>IF(OR(COUNTA(B593:C597,E593:F597)&gt;0,OR(D592="X",D592="x")),IF(OR(D592="X",D592="x"),0,IF(OR(F592&gt;B592,AND(F592=B592,E592&gt;C592)),1,0)),0)+IF(OR(COUNTA(B601:C605,E601:F605)&gt;0,OR(D600="X",D600="x")),IF(OR(D600="X",D600="x"),0,IF(OR(F600&gt;B600,AND(F600=B600,E600&gt;C600)),1,0)),0)</f>
      </c>
      <c r="C617" s="14" t="str">
        <f>IF(OR(COUNTA(B593:C597,E593:F597)&gt;0,OR(D592="X",D592="x")),IF(OR(D592="X",D592="x"),0,IF(OR(F592&lt;B592,AND(F592=B592,E592&lt;C592)),1,0)),0)+IF(OR(COUNTA(B601:C605,E601:F605)&gt;0,OR(D600="X",D600="x")),IF(OR(D600="X",D600="x"),0,IF(OR(F600&lt;B600,AND(F600=B600,E600&lt;C600)),1,0)),0)</f>
      </c>
      <c r="D617" s="14" t="str">
        <f>IF(OR(COUNTA(B593:C597,E593:F597)&gt;0,OR(D592="X",D592="x")),IF(OR(D592="X",D592="x"),1,0),0)+IF(OR(COUNTA(B601:C605,E601:F605)&gt;0,OR(D600="X",D600="x")),IF(OR(D600="X",D600="x"),1,0),0)</f>
      </c>
      <c r="I617" t="str">
        <f>data!$B$92</f>
      </c>
      <c r="J617" s="14" t="str">
        <f>IF(OR(COUNTA(J593:K597,M593:N597)&gt;0,OR(L592="X",L592="x")),IF(OR(L592="X",L592="x"),0,IF(OR(N592&gt;J592,AND(N592=J592,M592&gt;K592)),1,0)),0)</f>
      </c>
      <c r="K617" s="14" t="str">
        <f>IF(OR(COUNTA(J593:K597,M593:N597)&gt;0,OR(L592="X",L592="x")),IF(OR(L592="X",L592="x"),0,IF(OR(N592&lt;J592,AND(N592=J592,M592&lt;K592)),1,0)),0)</f>
      </c>
      <c r="L617" s="14" t="str">
        <f>IF(OR(COUNTA(J593:K597,M593:N597)&gt;0,OR(L592="X",L592="x")),IF(OR(L592="X",L592="x"),1,0),0)</f>
      </c>
    </row>
    <row r="618">
      <c r="A618" t="str">
        <f>data!$B$46</f>
      </c>
      <c r="B618" s="14" t="str">
        <f>IF(OR(COUNTA(B593:C597,E593:F597)&gt;0,OR(D592="X",D592="x")),IF(OR(D592="X",D592="x"),0,IF(OR(B592&gt;F592,AND(B592=F592,C592&gt;E592)),1,0)),0)+IF(OR(COUNTA(B609:C613,E609:F613)&gt;0,OR(D608="X",D608="x")),IF(OR(D608="X",D608="x"),0,IF(OR(F608&gt;B608,AND(F608=B608,E608&gt;C608)),1,0)),0)</f>
      </c>
      <c r="C618" s="14" t="str">
        <f>IF(OR(COUNTA(B593:C597,E593:F597)&gt;0,OR(D592="X",D592="x")),IF(OR(D592="X",D592="x"),0,IF(OR(B592&lt;F592,AND(B592=F592,C592&lt;E592)),1,0)),0)+IF(OR(COUNTA(B609:C613,E609:F613)&gt;0,OR(D608="X",D608="x")),IF(OR(D608="X",D608="x"),0,IF(OR(F608&lt;B608,AND(F608=B608,E608&lt;C608)),1,0)),0)</f>
      </c>
      <c r="D618" s="14" t="str">
        <f>IF(OR(COUNTA(B593:C597,E593:F597)&gt;0,OR(D592="X",D592="x")),IF(OR(D592="X",D592="x"),1,0),0)+IF(OR(COUNTA(B609:C613,E609:F613)&gt;0,OR(D608="X",D608="x")),IF(OR(D608="X",D608="x"),1,0),0)</f>
      </c>
      <c r="I618" t="str">
        <f>data!$B$93</f>
      </c>
      <c r="J618" s="14" t="str">
        <f>IF(OR(COUNTA(J593:K597,M593:N597)&gt;0,OR(L592="X",L592="x")),IF(OR(L592="X",L592="x"),0,IF(OR(J592&gt;N592,AND(J592=N592,K592&gt;M592)),1,0)),0)</f>
      </c>
      <c r="K618" s="14" t="str">
        <f>IF(OR(COUNTA(J593:K597,M593:N597)&gt;0,OR(L592="X",L592="x")),IF(OR(L592="X",L592="x"),0,IF(OR(J592&lt;N592,AND(J592=N592,K592&lt;M592)),1,0)),0)</f>
      </c>
      <c r="L618" s="14" t="str">
        <f>IF(OR(COUNTA(J593:K597,M593:N597)&gt;0,OR(L592="X",L592="x")),IF(OR(L592="X",L592="x"),1,0),0)</f>
      </c>
    </row>
    <row r="619">
      <c r="A619" t="str">
        <f>data!$B$47</f>
      </c>
      <c r="B619" s="14" t="str">
        <f>IF(OR(COUNTA(B601:C605,E601:F605)&gt;0,OR(D600="X",D600="x")),IF(OR(D600="X",D600="x"),0,IF(OR(B600&gt;F600,AND(B600=F600,C600&gt;E600)),1,0)),0)+IF(OR(COUNTA(B609:C613,E609:F613)&gt;0,OR(D608="X",D608="x")),IF(OR(D608="X",D608="x"),0,IF(OR(B608&gt;F608,AND(B608=F608,C608&gt;E608)),1,0)),0)</f>
      </c>
      <c r="C619" s="14" t="str">
        <f>IF(OR(COUNTA(B601:C605,E601:F605)&gt;0,OR(D600="X",D600="x")),IF(OR(D600="X",D600="x"),0,IF(OR(B600&lt;F600,AND(B600=F600,C600&lt;E600)),1,0)),0)+IF(OR(COUNTA(B609:C613,E609:F613)&gt;0,OR(D608="X",D608="x")),IF(OR(D608="X",D608="x"),0,IF(OR(B608&lt;F608,AND(B608=F608,C608&lt;E608)),1,0)),0)</f>
      </c>
      <c r="D619" s="14" t="str">
        <f>IF(OR(COUNTA(B601:C605,E601:F605)&gt;0,OR(D600="X",D600="x")),IF(OR(D600="X",D600="x"),1,0),0)+IF(OR(COUNTA(B609:C613,E609:F613)&gt;0,OR(D608="X",D608="x")),IF(OR(D608="X",D608="x"),1,0),0)</f>
      </c>
    </row>
    <row r="620">
      <c r="I620" s="13"/>
      <c r="J620" s="13" t="s">
        <v>245</v>
      </c>
      <c r="K620" s="13" t="s">
        <v>246</v>
      </c>
      <c r="L620" s="13" t="s">
        <v>247</v>
      </c>
      <c r="M620" s="13" t="s">
        <v>248</v>
      </c>
      <c r="N620" s="13" t="s">
        <v>249</v>
      </c>
    </row>
    <row r="621">
      <c r="A621" s="13"/>
      <c r="B621" s="13" t="s">
        <v>245</v>
      </c>
      <c r="C621" s="13" t="s">
        <v>246</v>
      </c>
      <c r="D621" s="13" t="s">
        <v>247</v>
      </c>
      <c r="E621" s="13" t="s">
        <v>248</v>
      </c>
      <c r="F621" s="13" t="s">
        <v>249</v>
      </c>
      <c r="I621" t="str">
        <f>data!$B$92</f>
      </c>
      <c r="J621" s="14" t="str">
        <f>IF(OR(COUNTA(J593:K597,M593:N597)&gt;0,OR(L592="X",L592="x")),N592,0)</f>
      </c>
      <c r="K621" s="14" t="str">
        <f>IF(OR(COUNTA(J593:K597,M593:N597)&gt;0,OR(L592="X",L592="x")),J592,0)</f>
      </c>
      <c r="L621" s="14" t="str">
        <f>IF(OR(COUNTA(J593:K597,M593:N597)&gt;0,OR(L592="X",L592="x")),(IF(OR(L593="X",L593="x"),1,0)+IF(OR(L594="X",L594="x"),1,0)+IF(OR(L595="X",L595="x"),1,0)+IF(OR(L596="X",L596="x"),1,0)+IF(OR(L597="X",L597="x"),1,0)),0)</f>
      </c>
      <c r="M621" s="14" t="str">
        <f>M592</f>
      </c>
      <c r="N621" s="14" t="str">
        <f>K592</f>
      </c>
    </row>
    <row r="622">
      <c r="A622" t="str">
        <f>data!$B$45</f>
      </c>
      <c r="B622" s="14" t="str">
        <f>IF(OR(COUNTA(B593:C597,E593:F597)&gt;0,OR(D592="X",D592="x")),F592,0)+IF(OR(COUNTA(B601:C605,E601:F605)&gt;0,OR(D600="X",D600="x")),F600,0)</f>
      </c>
      <c r="C622" s="14" t="str">
        <f>IF(OR(COUNTA(B593:C597,E593:F597)&gt;0,OR(D592="X",D592="x")),B592,0)+IF(OR(COUNTA(B601:C605,E601:F605)&gt;0,OR(D600="X",D600="x")),B600,0)</f>
      </c>
      <c r="D622" s="14" t="str">
        <f>IF(OR(COUNTA(B593:C597,E593:F597)&gt;0,OR(D592="X",D592="x")),(IF(OR(D593="X",D593="x"),1,0)+IF(OR(D594="X",D594="x"),1,0)+IF(OR(D595="X",D595="x"),1,0)+IF(OR(D596="X",D596="x"),1,0)+IF(OR(D597="X",D597="x"),1,0)),0)+IF(OR(COUNTA(B601:C605,E601:F605)&gt;0,OR(D600="X",D600="x")),(IF(OR(D601="X",D601="x"),1,0)+IF(OR(D602="X",D602="x"),1,0)+IF(OR(D603="X",D603="x"),1,0)+IF(OR(D604="X",D604="x"),1,0)+IF(OR(D605="X",D605="x"),1,0)),0)</f>
      </c>
      <c r="E622" s="14" t="str">
        <f>E592+E600</f>
      </c>
      <c r="F622" s="14" t="str">
        <f>C592+C600</f>
      </c>
      <c r="I622" t="str">
        <f>data!$B$93</f>
      </c>
      <c r="J622" s="14" t="str">
        <f>IF(OR(COUNTA(J593:K597,M593:N597)&gt;0,OR(L592="X",L592="x")),J592,0)</f>
      </c>
      <c r="K622" s="14" t="str">
        <f>IF(OR(COUNTA(J593:K597,M593:N597)&gt;0,OR(L592="X",L592="x")),N592,0)</f>
      </c>
      <c r="L622" s="14" t="str">
        <f>IF(OR(COUNTA(J593:K597,M593:N597)&gt;0,OR(L592="X",L592="x")),(IF(OR(L593="X",L593="x"),1,0)+IF(OR(L594="X",L594="x"),1,0)+IF(OR(L595="X",L595="x"),1,0)+IF(OR(L596="X",L596="x"),1,0)+IF(OR(L597="X",L597="x"),1,0)),0)</f>
      </c>
      <c r="M622" s="14" t="str">
        <f>K592</f>
      </c>
      <c r="N622" s="14" t="str">
        <f>M592</f>
      </c>
    </row>
    <row r="623">
      <c r="A623" t="str">
        <f>data!$B$46</f>
      </c>
      <c r="B623" s="14" t="str">
        <f>IF(OR(COUNTA(B593:C597,E593:F597)&gt;0,OR(D592="X",D592="x")),B592,0)+IF(OR(COUNTA(B609:C613,E609:F613)&gt;0,OR(D608="X",D608="x")),F608,0)</f>
      </c>
      <c r="C623" s="14" t="str">
        <f>IF(OR(COUNTA(B593:C597,E593:F597)&gt;0,OR(D592="X",D592="x")),F592,0)+IF(OR(COUNTA(B609:C613,E609:F613)&gt;0,OR(D608="X",D608="x")),B608,0)</f>
      </c>
      <c r="D623" s="14" t="str">
        <f>IF(OR(COUNTA(B593:C597,E593:F597)&gt;0,OR(D592="X",D592="x")),(IF(OR(D593="X",D593="x"),1,0)+IF(OR(D594="X",D594="x"),1,0)+IF(OR(D595="X",D595="x"),1,0)+IF(OR(D596="X",D596="x"),1,0)+IF(OR(D597="X",D597="x"),1,0)),0)+IF(OR(COUNTA(B609:C613,E609:F613)&gt;0,OR(D608="X",D608="x")),(IF(OR(D609="X",D609="x"),1,0)+IF(OR(D610="X",D610="x"),1,0)+IF(OR(D611="X",D611="x"),1,0)+IF(OR(D612="X",D612="x"),1,0)+IF(OR(D613="X",D613="x"),1,0)),0)</f>
      </c>
      <c r="E623" s="14" t="str">
        <f>C592+E608</f>
      </c>
      <c r="F623" s="14" t="str">
        <f>E592+C608</f>
      </c>
    </row>
    <row r="624">
      <c r="A624" t="str">
        <f>data!$B$47</f>
      </c>
      <c r="B624" s="14" t="str">
        <f>IF(OR(COUNTA(B601:C605,E601:F605)&gt;0,OR(D600="X",D600="x")),B600,0)+IF(OR(COUNTA(B609:C613,E609:F613)&gt;0,OR(D608="X",D608="x")),B608,0)</f>
      </c>
      <c r="C624" s="14" t="str">
        <f>IF(OR(COUNTA(B601:C605,E601:F605)&gt;0,OR(D600="X",D600="x")),F600,0)+IF(OR(COUNTA(B609:C613,E609:F613)&gt;0,OR(D608="X",D608="x")),F608,0)</f>
      </c>
      <c r="D624" s="14" t="str">
        <f>IF(OR(COUNTA(B601:C605,E601:F605)&gt;0,OR(D600="X",D600="x")),(IF(OR(D601="X",D601="x"),1,0)+IF(OR(D602="X",D602="x"),1,0)+IF(OR(D603="X",D603="x"),1,0)+IF(OR(D604="X",D604="x"),1,0)+IF(OR(D605="X",D605="x"),1,0)),0)+IF(OR(COUNTA(B609:C613,E609:F613)&gt;0,OR(D608="X",D608="x")),(IF(OR(D609="X",D609="x"),1,0)+IF(OR(D610="X",D610="x"),1,0)+IF(OR(D611="X",D611="x"),1,0)+IF(OR(D612="X",D612="x"),1,0)+IF(OR(D613="X",D613="x"),1,0)),0)</f>
      </c>
      <c r="E624" s="14" t="str">
        <f>C600+C608</f>
      </c>
      <c r="F624" s="14" t="str">
        <f>E600+E608</f>
      </c>
    </row>
    <row r="625">
      <c r="N625" s="13"/>
      <c r="O625" s="13" t="s">
        <v>250</v>
      </c>
    </row>
    <row r="626">
      <c r="N626" t="s">
        <v>251</v>
      </c>
      <c r="O626" s="19"/>
    </row>
    <row r="627">
      <c r="F627" s="13"/>
      <c r="G627" s="13" t="s">
        <v>250</v>
      </c>
      <c r="N627" t="s">
        <v>252</v>
      </c>
      <c r="O627" s="19"/>
    </row>
    <row r="628">
      <c r="F628" t="s">
        <v>251</v>
      </c>
      <c r="G628" s="19"/>
    </row>
    <row r="629">
      <c r="F629" t="s">
        <v>252</v>
      </c>
      <c r="G629" s="19"/>
    </row>
    <row r="630">
      <c r="F630" t="s">
        <v>253</v>
      </c>
      <c r="G630" s="19"/>
    </row>
    <row r="632">
      <c r="A632" s="13" t="str">
        <f>data!$A$49</f>
      </c>
      <c r="B632" s="13"/>
      <c r="C632" s="13"/>
      <c r="D632" s="13"/>
      <c r="E632" s="13"/>
      <c r="F632" s="13"/>
      <c r="G632" s="13"/>
    </row>
    <row r="633">
      <c r="A633" s="17" t="s">
        <v>239</v>
      </c>
      <c r="B633" s="14"/>
      <c r="C633" s="14"/>
      <c r="D633" s="14" t="s">
        <v>240</v>
      </c>
      <c r="E633" s="14"/>
      <c r="F633" s="14"/>
      <c r="G633" s="16" t="s">
        <v>241</v>
      </c>
    </row>
    <row r="634">
      <c r="A634" s="14" t="str">
        <f>data!$B$49</f>
      </c>
      <c r="B634" s="18" t="str">
        <f>SUMPRODUCT((UPPER(D635:D639)&lt;&gt;"X")*((LEN(SUBSTITUTE(SUBSTITUTE(SUBSTITUTE(B635:B639," ",""),"0",""),"-",""))+LEN(SUBSTITUTE(SUBSTITUTE(SUBSTITUTE(C635:C639," ",""),"0",""),"-","")))&gt;(LEN(SUBSTITUTE(SUBSTITUTE(SUBSTITUTE(E635:E639," ",""),"0",""),"-",""))+LEN(SUBSTITUTE(SUBSTITUTE(SUBSTITUTE(F635:F639," ",""),"0",""),"-",""))))*1)</f>
      </c>
      <c r="C634" s="18" t="str">
        <f>SUMPRODUCT(LEN(SUBSTITUTE(SUBSTITUTE(SUBSTITUTE(B635:B639," ",""),"0",""),"-",""))+LEN(SUBSTITUTE(SUBSTITUTE(SUBSTITUTE(C635:C639," ",""),"0",""),"-","")))</f>
      </c>
      <c r="D634" s="18"/>
      <c r="E634" s="18" t="str">
        <f>SUMPRODUCT(LEN(SUBSTITUTE(SUBSTITUTE(SUBSTITUTE(E635:E639," ",""),"0",""),"-",""))+LEN(SUBSTITUTE(SUBSTITUTE(SUBSTITUTE(F635:F639," ",""),"0",""),"-","")))</f>
      </c>
      <c r="F634" s="18" t="str">
        <f>SUMPRODUCT((UPPER(D635:D639)&lt;&gt;"X")*((LEN(SUBSTITUTE(SUBSTITUTE(SUBSTITUTE(E635:E639," ",""),"0",""),"-",""))+LEN(SUBSTITUTE(SUBSTITUTE(SUBSTITUTE(F635:F639," ",""),"0",""),"-","")))&gt;(LEN(SUBSTITUTE(SUBSTITUTE(SUBSTITUTE(B635:B639," ",""),"0",""),"-",""))+LEN(SUBSTITUTE(SUBSTITUTE(SUBSTITUTE(C635:C639," ",""),"0",""),"-",""))))*1)</f>
      </c>
      <c r="G634" s="14" t="str">
        <f>data!$B$48</f>
      </c>
    </row>
    <row r="635">
      <c r="A635" s="18">
        <v>1</v>
      </c>
      <c r="B635" s="18"/>
      <c r="C635" s="18"/>
      <c r="D635" s="18"/>
      <c r="E635" s="18"/>
      <c r="F635" s="18"/>
      <c r="G635" s="18">
        <v>1</v>
      </c>
    </row>
    <row r="636">
      <c r="A636" s="18">
        <v>2</v>
      </c>
      <c r="B636" s="18"/>
      <c r="C636" s="18"/>
      <c r="D636" s="18"/>
      <c r="E636" s="18"/>
      <c r="F636" s="18"/>
      <c r="G636" s="18">
        <v>2</v>
      </c>
    </row>
    <row r="637">
      <c r="A637" s="18">
        <v>3</v>
      </c>
      <c r="B637" s="18"/>
      <c r="C637" s="18"/>
      <c r="D637" s="18"/>
      <c r="E637" s="18"/>
      <c r="F637" s="18"/>
      <c r="G637" s="18">
        <v>3</v>
      </c>
    </row>
    <row r="638">
      <c r="A638" s="18">
        <v>4</v>
      </c>
      <c r="B638" s="18"/>
      <c r="C638" s="18"/>
      <c r="D638" s="18"/>
      <c r="E638" s="18"/>
      <c r="F638" s="18"/>
      <c r="G638" s="18">
        <v>4</v>
      </c>
    </row>
    <row r="639">
      <c r="A639" s="18">
        <v>5</v>
      </c>
      <c r="B639" s="18"/>
      <c r="C639" s="18"/>
      <c r="D639" s="18"/>
      <c r="E639" s="18"/>
      <c r="F639" s="18"/>
      <c r="G639" s="18">
        <v>5</v>
      </c>
    </row>
    <row r="642">
      <c r="A642" s="13"/>
      <c r="B642" s="13" t="s">
        <v>242</v>
      </c>
      <c r="C642" s="13" t="s">
        <v>243</v>
      </c>
      <c r="D642" s="13" t="s">
        <v>244</v>
      </c>
    </row>
    <row r="643">
      <c r="A643" t="str">
        <f>data!$B$48</f>
      </c>
      <c r="B643" s="14" t="str">
        <f>IF(OR(COUNTA(B635:C639,E635:F639)&gt;0,OR(D634="X",D634="x")),IF(OR(D634="X",D634="x"),0,IF(OR(F634&gt;B634,AND(F634=B634,E634&gt;C634)),1,0)),0)</f>
      </c>
      <c r="C643" s="14" t="str">
        <f>IF(OR(COUNTA(B635:C639,E635:F639)&gt;0,OR(D634="X",D634="x")),IF(OR(D634="X",D634="x"),0,IF(OR(F634&lt;B634,AND(F634=B634,E634&lt;C634)),1,0)),0)</f>
      </c>
      <c r="D643" s="14" t="str">
        <f>IF(OR(COUNTA(B635:C639,E635:F639)&gt;0,OR(D634="X",D634="x")),IF(OR(D634="X",D634="x"),1,0),0)</f>
      </c>
    </row>
    <row r="644">
      <c r="A644" t="str">
        <f>data!$B$49</f>
      </c>
      <c r="B644" s="14" t="str">
        <f>IF(OR(COUNTA(B635:C639,E635:F639)&gt;0,OR(D634="X",D634="x")),IF(OR(D634="X",D634="x"),0,IF(OR(B634&gt;F634,AND(B634=F634,C634&gt;E634)),1,0)),0)</f>
      </c>
      <c r="C644" s="14" t="str">
        <f>IF(OR(COUNTA(B635:C639,E635:F639)&gt;0,OR(D634="X",D634="x")),IF(OR(D634="X",D634="x"),0,IF(OR(B634&lt;F634,AND(B634=F634,C634&lt;E634)),1,0)),0)</f>
      </c>
      <c r="D644" s="14" t="str">
        <f>IF(OR(COUNTA(B635:C639,E635:F639)&gt;0,OR(D634="X",D634="x")),IF(OR(D634="X",D634="x"),1,0),0)</f>
      </c>
    </row>
    <row r="646">
      <c r="A646" s="13"/>
      <c r="B646" s="13" t="s">
        <v>245</v>
      </c>
      <c r="C646" s="13" t="s">
        <v>246</v>
      </c>
      <c r="D646" s="13" t="s">
        <v>247</v>
      </c>
      <c r="E646" s="13" t="s">
        <v>248</v>
      </c>
      <c r="F646" s="13" t="s">
        <v>249</v>
      </c>
    </row>
    <row r="647">
      <c r="A647" t="str">
        <f>data!$B$48</f>
      </c>
      <c r="B647" s="14" t="str">
        <f>IF(OR(COUNTA(B635:C639,E635:F639)&gt;0,OR(D634="X",D634="x")),F634,0)</f>
      </c>
      <c r="C647" s="14" t="str">
        <f>IF(OR(COUNTA(B635:C639,E635:F639)&gt;0,OR(D634="X",D634="x")),B634,0)</f>
      </c>
      <c r="D647" s="14" t="str">
        <f>IF(OR(COUNTA(B635:C639,E635:F639)&gt;0,OR(D634="X",D634="x")),(IF(OR(D635="X",D635="x"),1,0)+IF(OR(D636="X",D636="x"),1,0)+IF(OR(D637="X",D637="x"),1,0)+IF(OR(D638="X",D638="x"),1,0)+IF(OR(D639="X",D639="x"),1,0)),0)</f>
      </c>
      <c r="E647" s="14" t="str">
        <f>E634</f>
      </c>
      <c r="F647" s="14" t="str">
        <f>C634</f>
      </c>
    </row>
    <row r="648">
      <c r="A648" t="str">
        <f>data!$B$49</f>
      </c>
      <c r="B648" s="14" t="str">
        <f>IF(OR(COUNTA(B635:C639,E635:F639)&gt;0,OR(D634="X",D634="x")),B634,0)</f>
      </c>
      <c r="C648" s="14" t="str">
        <f>IF(OR(COUNTA(B635:C639,E635:F639)&gt;0,OR(D634="X",D634="x")),F634,0)</f>
      </c>
      <c r="D648" s="14" t="str">
        <f>IF(OR(COUNTA(B635:C639,E635:F639)&gt;0,OR(D634="X",D634="x")),(IF(OR(D635="X",D635="x"),1,0)+IF(OR(D636="X",D636="x"),1,0)+IF(OR(D637="X",D637="x"),1,0)+IF(OR(D638="X",D638="x"),1,0)+IF(OR(D639="X",D639="x"),1,0)),0)</f>
      </c>
      <c r="E648" s="14" t="str">
        <f>C634</f>
      </c>
      <c r="F648" s="14" t="str">
        <f>E634</f>
      </c>
    </row>
    <row r="651">
      <c r="F651" s="13"/>
      <c r="G651" s="13" t="s">
        <v>250</v>
      </c>
    </row>
    <row r="652">
      <c r="F652" t="s">
        <v>251</v>
      </c>
      <c r="G652" s="19"/>
    </row>
    <row r="653">
      <c r="F653" t="s">
        <v>252</v>
      </c>
      <c r="G65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4:G44"/>
    <mergeCell ref="I44:O44"/>
    <mergeCell ref="A86:G86"/>
    <mergeCell ref="I86:O86"/>
    <mergeCell ref="A128:G128"/>
    <mergeCell ref="I128:O128"/>
    <mergeCell ref="A170:G170"/>
    <mergeCell ref="I170:O170"/>
    <mergeCell ref="A212:G212"/>
    <mergeCell ref="I212:O212"/>
    <mergeCell ref="A254:G254"/>
    <mergeCell ref="I254:O254"/>
    <mergeCell ref="A296:G296"/>
    <mergeCell ref="I296:O296"/>
    <mergeCell ref="A338:G338"/>
    <mergeCell ref="I338:O338"/>
    <mergeCell ref="A380:G380"/>
    <mergeCell ref="I380:O380"/>
    <mergeCell ref="A422:G422"/>
    <mergeCell ref="I422:O422"/>
    <mergeCell ref="A464:G464"/>
    <mergeCell ref="I464:O464"/>
    <mergeCell ref="A506:G506"/>
    <mergeCell ref="I506:O506"/>
    <mergeCell ref="A548:G548"/>
    <mergeCell ref="I548:O548"/>
    <mergeCell ref="A590:G590"/>
    <mergeCell ref="I590:O590"/>
    <mergeCell ref="A632:G632"/>
  </mergeCells>
  <printOptions horizontalCentered="true" verticalCentered="true"/>
  <pageSetup fitToHeight="0" fitToWidth="2" orientation="portrait" pageOrder="downThenOver" paperSize="9"/>
  <rowBreaks count="15" manualBreakCount="15">
    <brk id="43" max="16383" man="true"/>
    <brk id="85" max="16383" man="true"/>
    <brk id="127" max="16383" man="true"/>
    <brk id="169" max="16383" man="true"/>
    <brk id="211" max="16383" man="true"/>
    <brk id="253" max="16383" man="true"/>
    <brk id="295" max="16383" man="true"/>
    <brk id="337" max="16383" man="true"/>
    <brk id="379" max="16383" man="true"/>
    <brk id="421" max="16383" man="true"/>
    <brk id="463" max="16383" man="true"/>
    <brk id="505" max="16383" man="true"/>
    <brk id="547" max="16383" man="true"/>
    <brk id="589" max="16383" man="true"/>
    <brk id="63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237</v>
      </c>
      <c r="B1" s="13"/>
      <c r="C1" s="13"/>
      <c r="D1" s="13"/>
      <c r="E1" s="13"/>
      <c r="F1" s="13"/>
      <c r="G1" s="13"/>
      <c r="I1" s="13" t="s">
        <v>238</v>
      </c>
      <c r="J1" s="13"/>
      <c r="K1" s="13"/>
      <c r="L1" s="13"/>
      <c r="M1" s="13"/>
      <c r="N1" s="13"/>
      <c r="O1" s="13"/>
    </row>
    <row r="2">
      <c r="A2" s="13" t="s">
        <v>345</v>
      </c>
      <c r="B2" s="13"/>
      <c r="C2" s="13"/>
      <c r="D2" s="13"/>
      <c r="E2" s="13"/>
      <c r="F2" s="13"/>
      <c r="G2" s="13"/>
      <c r="M2" s="13" t="s">
        <v>349</v>
      </c>
      <c r="N2" s="13"/>
      <c r="O2" s="13"/>
      <c r="P2" s="13"/>
      <c r="Q2" s="13"/>
      <c r="R2" s="13"/>
      <c r="S2" s="13"/>
    </row>
    <row r="3">
      <c r="A3" s="17" t="s">
        <v>239</v>
      </c>
      <c r="D3" s="14" t="s">
        <v>240</v>
      </c>
      <c r="G3" s="16" t="s">
        <v>241</v>
      </c>
      <c r="M3" s="17" t="s">
        <v>239</v>
      </c>
      <c r="P3" s="14" t="s">
        <v>240</v>
      </c>
      <c r="S3" s="16" t="s">
        <v>241</v>
      </c>
    </row>
    <row r="4">
      <c r="A4" s="14" t="str">
        <f>CONCATENATE("Pool B-2nd ",'Pool Matches'!G83)</f>
      </c>
      <c r="B4" s="18"/>
      <c r="C4" s="18"/>
      <c r="D4" s="18"/>
      <c r="E4" s="18"/>
      <c r="F4" s="18"/>
      <c r="G4" s="14" t="str">
        <f>CONCATENATE("Pool C-1st ",'Pool Matches'!G124)</f>
      </c>
      <c r="M4" s="14" t="str">
        <f>CONCATENATE("Pool C-2nd ",'Pool Matches'!G125)</f>
      </c>
      <c r="N4" s="18"/>
      <c r="O4" s="18"/>
      <c r="P4" s="18"/>
      <c r="Q4" s="18"/>
      <c r="R4" s="18"/>
      <c r="S4" s="14" t="str">
        <f>CONCATENATE("Pool A-2nd ",'Pool Matches'!G41)</f>
      </c>
    </row>
    <row r="5">
      <c r="A5" s="14">
        <v>1</v>
      </c>
      <c r="B5" s="18"/>
      <c r="C5" s="18"/>
      <c r="D5" s="18"/>
      <c r="E5" s="18"/>
      <c r="F5" s="18"/>
      <c r="G5" s="14">
        <v>1</v>
      </c>
      <c r="M5" s="14">
        <v>1</v>
      </c>
      <c r="N5" s="18"/>
      <c r="O5" s="18"/>
      <c r="P5" s="18"/>
      <c r="Q5" s="18"/>
      <c r="R5" s="18"/>
      <c r="S5" s="14">
        <v>1</v>
      </c>
    </row>
    <row r="6">
      <c r="A6" s="14">
        <v>2</v>
      </c>
      <c r="B6" s="18"/>
      <c r="C6" s="18"/>
      <c r="D6" s="18"/>
      <c r="E6" s="18"/>
      <c r="F6" s="18"/>
      <c r="G6" s="14">
        <v>2</v>
      </c>
      <c r="M6" s="14">
        <v>2</v>
      </c>
      <c r="N6" s="18"/>
      <c r="O6" s="18"/>
      <c r="P6" s="18"/>
      <c r="Q6" s="18"/>
      <c r="R6" s="18"/>
      <c r="S6" s="14">
        <v>2</v>
      </c>
    </row>
    <row r="7">
      <c r="A7" s="14">
        <v>3</v>
      </c>
      <c r="B7" s="18"/>
      <c r="C7" s="18"/>
      <c r="D7" s="18"/>
      <c r="E7" s="18"/>
      <c r="F7" s="18"/>
      <c r="G7" s="14">
        <v>3</v>
      </c>
      <c r="M7" s="14">
        <v>3</v>
      </c>
      <c r="N7" s="18"/>
      <c r="O7" s="18"/>
      <c r="P7" s="18"/>
      <c r="Q7" s="18"/>
      <c r="R7" s="18"/>
      <c r="S7" s="14">
        <v>3</v>
      </c>
    </row>
    <row r="8">
      <c r="A8" s="14">
        <v>4</v>
      </c>
      <c r="B8" s="18"/>
      <c r="C8" s="18"/>
      <c r="D8" s="18"/>
      <c r="E8" s="18"/>
      <c r="F8" s="18"/>
      <c r="G8" s="14">
        <v>4</v>
      </c>
      <c r="M8" s="14">
        <v>4</v>
      </c>
      <c r="N8" s="18"/>
      <c r="O8" s="18"/>
      <c r="P8" s="18"/>
      <c r="Q8" s="18"/>
      <c r="R8" s="18"/>
      <c r="S8" s="14">
        <v>4</v>
      </c>
    </row>
    <row r="9">
      <c r="A9" s="14">
        <v>5</v>
      </c>
      <c r="B9" s="18"/>
      <c r="C9" s="18"/>
      <c r="D9" s="18"/>
      <c r="E9" s="18"/>
      <c r="F9" s="18"/>
      <c r="G9" s="14">
        <v>5</v>
      </c>
      <c r="M9" s="14">
        <v>5</v>
      </c>
      <c r="N9" s="18"/>
      <c r="O9" s="18"/>
      <c r="P9" s="18"/>
      <c r="Q9" s="18"/>
      <c r="R9" s="18"/>
      <c r="S9" s="14">
        <v>5</v>
      </c>
    </row>
    <row r="11">
      <c r="A11" s="14" t="str">
        <f>CONCATENATE("Pool B-2nd ",'Pool Matches'!G83)</f>
      </c>
      <c r="B11" s="18" t="str">
        <f>SUMPRODUCT((UPPER(D5:D9)&lt;&gt;"X")*((LEN(SUBSTITUTE(SUBSTITUTE(SUBSTITUTE(B5:B9," ",""),"0",""),"-",""))+LEN(SUBSTITUTE(SUBSTITUTE(SUBSTITUTE(C5:C9," ",""),"0",""),"-","")))&gt;(LEN(SUBSTITUTE(SUBSTITUTE(SUBSTITUTE(E5:E9," ",""),"0",""),"-",""))+LEN(SUBSTITUTE(SUBSTITUTE(SUBSTITUTE(F5:F9," ",""),"0",""),"-",""))))*1)</f>
      </c>
      <c r="C11" s="18" t="str">
        <f>SUMPRODUCT(LEN(SUBSTITUTE(SUBSTITUTE(SUBSTITUTE(B5:B9," ",""),"0",""),"-",""))+LEN(SUBSTITUTE(SUBSTITUTE(SUBSTITUTE(C5:C9," ",""),"0",""),"-","")))</f>
      </c>
      <c r="D11" s="14"/>
      <c r="E11" s="18" t="str">
        <f>SUMPRODUCT(LEN(SUBSTITUTE(SUBSTITUTE(SUBSTITUTE(E5:E9," ",""),"0",""),"-",""))+LEN(SUBSTITUTE(SUBSTITUTE(SUBSTITUTE(F5:F9," ",""),"0",""),"-","")))</f>
      </c>
      <c r="F11" s="18" t="str">
        <f>SUMPRODUCT((UPPER(D5:D9)&lt;&gt;"X")*((LEN(SUBSTITUTE(SUBSTITUTE(SUBSTITUTE(E5:E9," ",""),"0",""),"-",""))+LEN(SUBSTITUTE(SUBSTITUTE(SUBSTITUTE(F5:F9," ",""),"0",""),"-","")))&gt;(LEN(SUBSTITUTE(SUBSTITUTE(SUBSTITUTE(B5:B9," ",""),"0",""),"-",""))+LEN(SUBSTITUTE(SUBSTITUTE(SUBSTITUTE(C5:C9," ",""),"0",""),"-",""))))*1)</f>
      </c>
      <c r="G11" s="14" t="str">
        <f>CONCATENATE("Pool C-1st ",'Pool Matches'!G124)</f>
      </c>
      <c r="M11" s="14" t="str">
        <f>CONCATENATE("Pool C-2nd ",'Pool Matches'!G125)</f>
      </c>
      <c r="N11" s="18" t="str">
        <f>SUMPRODUCT((UPPER(P5:P9)&lt;&gt;"X")*((LEN(SUBSTITUTE(SUBSTITUTE(SUBSTITUTE(N5:N9," ",""),"0",""),"-",""))+LEN(SUBSTITUTE(SUBSTITUTE(SUBSTITUTE(O5:O9," ",""),"0",""),"-","")))&gt;(LEN(SUBSTITUTE(SUBSTITUTE(SUBSTITUTE(Q5:Q9," ",""),"0",""),"-",""))+LEN(SUBSTITUTE(SUBSTITUTE(SUBSTITUTE(R5:R9," ",""),"0",""),"-",""))))*1)</f>
      </c>
      <c r="O11" s="18" t="str">
        <f>SUMPRODUCT(LEN(SUBSTITUTE(SUBSTITUTE(SUBSTITUTE(N5:N9," ",""),"0",""),"-",""))+LEN(SUBSTITUTE(SUBSTITUTE(SUBSTITUTE(O5:O9," ",""),"0",""),"-","")))</f>
      </c>
      <c r="P11" s="14"/>
      <c r="Q11" s="18" t="str">
        <f>SUMPRODUCT(LEN(SUBSTITUTE(SUBSTITUTE(SUBSTITUTE(Q5:Q9," ",""),"0",""),"-",""))+LEN(SUBSTITUTE(SUBSTITUTE(SUBSTITUTE(R5:R9," ",""),"0",""),"-","")))</f>
      </c>
      <c r="R11" s="18" t="str">
        <f>SUMPRODUCT((UPPER(P5:P9)&lt;&gt;"X")*((LEN(SUBSTITUTE(SUBSTITUTE(SUBSTITUTE(Q5:Q9," ",""),"0",""),"-",""))+LEN(SUBSTITUTE(SUBSTITUTE(SUBSTITUTE(R5:R9," ",""),"0",""),"-","")))&gt;(LEN(SUBSTITUTE(SUBSTITUTE(SUBSTITUTE(N5:N9," ",""),"0",""),"-",""))+LEN(SUBSTITUTE(SUBSTITUTE(SUBSTITUTE(O5:O9," ",""),"0",""),"-",""))))*1)</f>
      </c>
      <c r="S11" s="14" t="str">
        <f>CONCATENATE("Pool A-2nd ",'Pool Matches'!G41)</f>
      </c>
    </row>
    <row r="12">
      <c r="A12" s="14" t="s">
        <v>346</v>
      </c>
      <c r="B12" s="14"/>
      <c r="C12" s="14"/>
      <c r="D12" s="14"/>
      <c r="E12" s="14"/>
      <c r="F12" s="14"/>
      <c r="G12" s="14" t="s">
        <v>346</v>
      </c>
      <c r="M12" s="14" t="s">
        <v>346</v>
      </c>
      <c r="N12" s="14"/>
      <c r="O12" s="14"/>
      <c r="P12" s="14"/>
      <c r="Q12" s="14"/>
      <c r="R12" s="14"/>
      <c r="S12" s="14" t="s">
        <v>346</v>
      </c>
    </row>
    <row r="15">
      <c r="F15" t="s">
        <v>347</v>
      </c>
      <c r="G15" s="19"/>
      <c r="R15" t="s">
        <v>347</v>
      </c>
      <c r="S15" s="19"/>
    </row>
    <row r="16">
      <c r="F16" t="s">
        <v>348</v>
      </c>
      <c r="G16" s="19"/>
      <c r="R16" t="s">
        <v>348</v>
      </c>
      <c r="S16" s="19"/>
    </row>
    <row r="18">
      <c r="A18" s="13" t="s">
        <v>350</v>
      </c>
      <c r="B18" s="13"/>
      <c r="C18" s="13"/>
      <c r="D18" s="13"/>
      <c r="E18" s="13"/>
      <c r="F18" s="13"/>
      <c r="G18" s="13"/>
      <c r="M18" s="13" t="s">
        <v>351</v>
      </c>
      <c r="N18" s="13"/>
      <c r="O18" s="13"/>
      <c r="P18" s="13"/>
      <c r="Q18" s="13"/>
      <c r="R18" s="13"/>
      <c r="S18" s="13"/>
    </row>
    <row r="19">
      <c r="A19" s="17" t="s">
        <v>239</v>
      </c>
      <c r="D19" s="14" t="s">
        <v>240</v>
      </c>
      <c r="G19" s="16" t="s">
        <v>241</v>
      </c>
      <c r="M19" s="17" t="s">
        <v>239</v>
      </c>
      <c r="P19" s="14" t="s">
        <v>240</v>
      </c>
      <c r="S19" s="16" t="s">
        <v>241</v>
      </c>
    </row>
    <row r="20">
      <c r="A20" s="14" t="str">
        <f>CONCATENATE("Pool D-2nd ",'Pool Matches'!G167)</f>
      </c>
      <c r="B20" s="18"/>
      <c r="C20" s="18"/>
      <c r="D20" s="18"/>
      <c r="E20" s="18"/>
      <c r="F20" s="18"/>
      <c r="G20" s="14" t="str">
        <f>CONCATENATE("Pool E-1st ",'Pool Matches'!G208)</f>
      </c>
      <c r="M20" s="14" t="str">
        <f>CONCATENATE("Pool E-2nd ",'Pool Matches'!G209)</f>
      </c>
      <c r="N20" s="18"/>
      <c r="O20" s="18"/>
      <c r="P20" s="18"/>
      <c r="Q20" s="18"/>
      <c r="R20" s="18"/>
      <c r="S20" s="14" t="str">
        <f>CONCATENATE("Pool D-1st ",'Pool Matches'!G166)</f>
      </c>
    </row>
    <row r="21">
      <c r="A21" s="14">
        <v>1</v>
      </c>
      <c r="B21" s="18"/>
      <c r="C21" s="18"/>
      <c r="D21" s="18"/>
      <c r="E21" s="18"/>
      <c r="F21" s="18"/>
      <c r="G21" s="14">
        <v>1</v>
      </c>
      <c r="M21" s="14">
        <v>1</v>
      </c>
      <c r="N21" s="18"/>
      <c r="O21" s="18"/>
      <c r="P21" s="18"/>
      <c r="Q21" s="18"/>
      <c r="R21" s="18"/>
      <c r="S21" s="14">
        <v>1</v>
      </c>
    </row>
    <row r="22">
      <c r="A22" s="14">
        <v>2</v>
      </c>
      <c r="B22" s="18"/>
      <c r="C22" s="18"/>
      <c r="D22" s="18"/>
      <c r="E22" s="18"/>
      <c r="F22" s="18"/>
      <c r="G22" s="14">
        <v>2</v>
      </c>
      <c r="M22" s="14">
        <v>2</v>
      </c>
      <c r="N22" s="18"/>
      <c r="O22" s="18"/>
      <c r="P22" s="18"/>
      <c r="Q22" s="18"/>
      <c r="R22" s="18"/>
      <c r="S22" s="14">
        <v>2</v>
      </c>
    </row>
    <row r="23">
      <c r="A23" s="14">
        <v>3</v>
      </c>
      <c r="B23" s="18"/>
      <c r="C23" s="18"/>
      <c r="D23" s="18"/>
      <c r="E23" s="18"/>
      <c r="F23" s="18"/>
      <c r="G23" s="14">
        <v>3</v>
      </c>
      <c r="M23" s="14">
        <v>3</v>
      </c>
      <c r="N23" s="18"/>
      <c r="O23" s="18"/>
      <c r="P23" s="18"/>
      <c r="Q23" s="18"/>
      <c r="R23" s="18"/>
      <c r="S23" s="14">
        <v>3</v>
      </c>
    </row>
    <row r="24">
      <c r="A24" s="14">
        <v>4</v>
      </c>
      <c r="B24" s="18"/>
      <c r="C24" s="18"/>
      <c r="D24" s="18"/>
      <c r="E24" s="18"/>
      <c r="F24" s="18"/>
      <c r="G24" s="14">
        <v>4</v>
      </c>
      <c r="M24" s="14">
        <v>4</v>
      </c>
      <c r="N24" s="18"/>
      <c r="O24" s="18"/>
      <c r="P24" s="18"/>
      <c r="Q24" s="18"/>
      <c r="R24" s="18"/>
      <c r="S24" s="14">
        <v>4</v>
      </c>
    </row>
    <row r="25">
      <c r="A25" s="14">
        <v>5</v>
      </c>
      <c r="B25" s="18"/>
      <c r="C25" s="18"/>
      <c r="D25" s="18"/>
      <c r="E25" s="18"/>
      <c r="F25" s="18"/>
      <c r="G25" s="14">
        <v>5</v>
      </c>
      <c r="M25" s="14">
        <v>5</v>
      </c>
      <c r="N25" s="18"/>
      <c r="O25" s="18"/>
      <c r="P25" s="18"/>
      <c r="Q25" s="18"/>
      <c r="R25" s="18"/>
      <c r="S25" s="14">
        <v>5</v>
      </c>
    </row>
    <row r="27">
      <c r="A27" s="14" t="str">
        <f>CONCATENATE("Pool D-2nd ",'Pool Matches'!G167)</f>
      </c>
      <c r="B27" s="18" t="str">
        <f>SUMPRODUCT((UPPER(D21:D25)&lt;&gt;"X")*((LEN(SUBSTITUTE(SUBSTITUTE(SUBSTITUTE(B21:B25," ",""),"0",""),"-",""))+LEN(SUBSTITUTE(SUBSTITUTE(SUBSTITUTE(C21:C25," ",""),"0",""),"-","")))&gt;(LEN(SUBSTITUTE(SUBSTITUTE(SUBSTITUTE(E21:E25," ",""),"0",""),"-",""))+LEN(SUBSTITUTE(SUBSTITUTE(SUBSTITUTE(F21:F25," ",""),"0",""),"-",""))))*1)</f>
      </c>
      <c r="C27" s="18" t="str">
        <f>SUMPRODUCT(LEN(SUBSTITUTE(SUBSTITUTE(SUBSTITUTE(B21:B25," ",""),"0",""),"-",""))+LEN(SUBSTITUTE(SUBSTITUTE(SUBSTITUTE(C21:C25," ",""),"0",""),"-","")))</f>
      </c>
      <c r="D27" s="14"/>
      <c r="E27" s="18" t="str">
        <f>SUMPRODUCT(LEN(SUBSTITUTE(SUBSTITUTE(SUBSTITUTE(E21:E25," ",""),"0",""),"-",""))+LEN(SUBSTITUTE(SUBSTITUTE(SUBSTITUTE(F21:F25," ",""),"0",""),"-","")))</f>
      </c>
      <c r="F27" s="18" t="str">
        <f>SUMPRODUCT((UPPER(D21:D25)&lt;&gt;"X")*((LEN(SUBSTITUTE(SUBSTITUTE(SUBSTITUTE(E21:E25," ",""),"0",""),"-",""))+LEN(SUBSTITUTE(SUBSTITUTE(SUBSTITUTE(F21:F25," ",""),"0",""),"-","")))&gt;(LEN(SUBSTITUTE(SUBSTITUTE(SUBSTITUTE(B21:B25," ",""),"0",""),"-",""))+LEN(SUBSTITUTE(SUBSTITUTE(SUBSTITUTE(C21:C25," ",""),"0",""),"-",""))))*1)</f>
      </c>
      <c r="G27" s="14" t="str">
        <f>CONCATENATE("Pool E-1st ",'Pool Matches'!G208)</f>
      </c>
      <c r="M27" s="14" t="str">
        <f>CONCATENATE("Pool E-2nd ",'Pool Matches'!G209)</f>
      </c>
      <c r="N27" s="18" t="str">
        <f>SUMPRODUCT((UPPER(P21:P25)&lt;&gt;"X")*((LEN(SUBSTITUTE(SUBSTITUTE(SUBSTITUTE(N21:N25," ",""),"0",""),"-",""))+LEN(SUBSTITUTE(SUBSTITUTE(SUBSTITUTE(O21:O25," ",""),"0",""),"-","")))&gt;(LEN(SUBSTITUTE(SUBSTITUTE(SUBSTITUTE(Q21:Q25," ",""),"0",""),"-",""))+LEN(SUBSTITUTE(SUBSTITUTE(SUBSTITUTE(R21:R25," ",""),"0",""),"-",""))))*1)</f>
      </c>
      <c r="O27" s="18" t="str">
        <f>SUMPRODUCT(LEN(SUBSTITUTE(SUBSTITUTE(SUBSTITUTE(N21:N25," ",""),"0",""),"-",""))+LEN(SUBSTITUTE(SUBSTITUTE(SUBSTITUTE(O21:O25," ",""),"0",""),"-","")))</f>
      </c>
      <c r="P27" s="14"/>
      <c r="Q27" s="18" t="str">
        <f>SUMPRODUCT(LEN(SUBSTITUTE(SUBSTITUTE(SUBSTITUTE(Q21:Q25," ",""),"0",""),"-",""))+LEN(SUBSTITUTE(SUBSTITUTE(SUBSTITUTE(R21:R25," ",""),"0",""),"-","")))</f>
      </c>
      <c r="R27" s="18" t="str">
        <f>SUMPRODUCT((UPPER(P21:P25)&lt;&gt;"X")*((LEN(SUBSTITUTE(SUBSTITUTE(SUBSTITUTE(Q21:Q25," ",""),"0",""),"-",""))+LEN(SUBSTITUTE(SUBSTITUTE(SUBSTITUTE(R21:R25," ",""),"0",""),"-","")))&gt;(LEN(SUBSTITUTE(SUBSTITUTE(SUBSTITUTE(N21:N25," ",""),"0",""),"-",""))+LEN(SUBSTITUTE(SUBSTITUTE(SUBSTITUTE(O21:O25," ",""),"0",""),"-",""))))*1)</f>
      </c>
      <c r="S27" s="14" t="str">
        <f>CONCATENATE("Pool D-1st ",'Pool Matches'!G166)</f>
      </c>
    </row>
    <row r="28">
      <c r="A28" s="14" t="s">
        <v>346</v>
      </c>
      <c r="B28" s="14"/>
      <c r="C28" s="14"/>
      <c r="D28" s="14"/>
      <c r="E28" s="14"/>
      <c r="F28" s="14"/>
      <c r="G28" s="14" t="s">
        <v>346</v>
      </c>
      <c r="M28" s="14" t="s">
        <v>346</v>
      </c>
      <c r="N28" s="14"/>
      <c r="O28" s="14"/>
      <c r="P28" s="14"/>
      <c r="Q28" s="14"/>
      <c r="R28" s="14"/>
      <c r="S28" s="14" t="s">
        <v>346</v>
      </c>
    </row>
    <row r="31">
      <c r="F31" t="s">
        <v>347</v>
      </c>
      <c r="G31" s="19"/>
      <c r="R31" t="s">
        <v>347</v>
      </c>
      <c r="S31" s="19"/>
    </row>
    <row r="32">
      <c r="F32" t="s">
        <v>348</v>
      </c>
      <c r="G32" s="19"/>
      <c r="R32" t="s">
        <v>348</v>
      </c>
      <c r="S32" s="19"/>
    </row>
    <row r="34">
      <c r="A34" s="13" t="s">
        <v>352</v>
      </c>
      <c r="B34" s="13"/>
      <c r="C34" s="13"/>
      <c r="D34" s="13"/>
      <c r="E34" s="13"/>
      <c r="F34" s="13"/>
      <c r="G34" s="13"/>
      <c r="M34" s="13" t="s">
        <v>353</v>
      </c>
      <c r="N34" s="13"/>
      <c r="O34" s="13"/>
      <c r="P34" s="13"/>
      <c r="Q34" s="13"/>
      <c r="R34" s="13"/>
      <c r="S34" s="13"/>
    </row>
    <row r="35">
      <c r="A35" s="17" t="s">
        <v>239</v>
      </c>
      <c r="D35" s="14" t="s">
        <v>240</v>
      </c>
      <c r="G35" s="16" t="s">
        <v>241</v>
      </c>
      <c r="M35" s="17" t="s">
        <v>239</v>
      </c>
      <c r="P35" s="14" t="s">
        <v>240</v>
      </c>
      <c r="S35" s="16" t="s">
        <v>241</v>
      </c>
    </row>
    <row r="36">
      <c r="A36" s="14" t="str">
        <f>CONCATENATE("Pool F-2nd ",'Pool Matches'!G251)</f>
      </c>
      <c r="B36" s="18"/>
      <c r="C36" s="18"/>
      <c r="D36" s="18"/>
      <c r="E36" s="18"/>
      <c r="F36" s="18"/>
      <c r="G36" s="14" t="str">
        <f>CONCATENATE("Pool G-1st ",'Pool Matches'!G292)</f>
      </c>
      <c r="M36" s="14" t="str">
        <f>CONCATENATE("Pool G-2nd ",'Pool Matches'!G293)</f>
      </c>
      <c r="N36" s="18"/>
      <c r="O36" s="18"/>
      <c r="P36" s="18"/>
      <c r="Q36" s="18"/>
      <c r="R36" s="18"/>
      <c r="S36" s="14" t="str">
        <f>CONCATENATE("Pool F-1st ",'Pool Matches'!G250)</f>
      </c>
    </row>
    <row r="37">
      <c r="A37" s="14">
        <v>1</v>
      </c>
      <c r="B37" s="18"/>
      <c r="C37" s="18"/>
      <c r="D37" s="18"/>
      <c r="E37" s="18"/>
      <c r="F37" s="18"/>
      <c r="G37" s="14">
        <v>1</v>
      </c>
      <c r="M37" s="14">
        <v>1</v>
      </c>
      <c r="N37" s="18"/>
      <c r="O37" s="18"/>
      <c r="P37" s="18"/>
      <c r="Q37" s="18"/>
      <c r="R37" s="18"/>
      <c r="S37" s="14">
        <v>1</v>
      </c>
    </row>
    <row r="38">
      <c r="A38" s="14">
        <v>2</v>
      </c>
      <c r="B38" s="18"/>
      <c r="C38" s="18"/>
      <c r="D38" s="18"/>
      <c r="E38" s="18"/>
      <c r="F38" s="18"/>
      <c r="G38" s="14">
        <v>2</v>
      </c>
      <c r="M38" s="14">
        <v>2</v>
      </c>
      <c r="N38" s="18"/>
      <c r="O38" s="18"/>
      <c r="P38" s="18"/>
      <c r="Q38" s="18"/>
      <c r="R38" s="18"/>
      <c r="S38" s="14">
        <v>2</v>
      </c>
    </row>
    <row r="39">
      <c r="A39" s="14">
        <v>3</v>
      </c>
      <c r="B39" s="18"/>
      <c r="C39" s="18"/>
      <c r="D39" s="18"/>
      <c r="E39" s="18"/>
      <c r="F39" s="18"/>
      <c r="G39" s="14">
        <v>3</v>
      </c>
      <c r="M39" s="14">
        <v>3</v>
      </c>
      <c r="N39" s="18"/>
      <c r="O39" s="18"/>
      <c r="P39" s="18"/>
      <c r="Q39" s="18"/>
      <c r="R39" s="18"/>
      <c r="S39" s="14">
        <v>3</v>
      </c>
    </row>
    <row r="40">
      <c r="A40" s="14">
        <v>4</v>
      </c>
      <c r="B40" s="18"/>
      <c r="C40" s="18"/>
      <c r="D40" s="18"/>
      <c r="E40" s="18"/>
      <c r="F40" s="18"/>
      <c r="G40" s="14">
        <v>4</v>
      </c>
      <c r="M40" s="14">
        <v>4</v>
      </c>
      <c r="N40" s="18"/>
      <c r="O40" s="18"/>
      <c r="P40" s="18"/>
      <c r="Q40" s="18"/>
      <c r="R40" s="18"/>
      <c r="S40" s="14">
        <v>4</v>
      </c>
    </row>
    <row r="41">
      <c r="A41" s="14">
        <v>5</v>
      </c>
      <c r="B41" s="18"/>
      <c r="C41" s="18"/>
      <c r="D41" s="18"/>
      <c r="E41" s="18"/>
      <c r="F41" s="18"/>
      <c r="G41" s="14">
        <v>5</v>
      </c>
      <c r="M41" s="14">
        <v>5</v>
      </c>
      <c r="N41" s="18"/>
      <c r="O41" s="18"/>
      <c r="P41" s="18"/>
      <c r="Q41" s="18"/>
      <c r="R41" s="18"/>
      <c r="S41" s="14">
        <v>5</v>
      </c>
    </row>
    <row r="43">
      <c r="A43" s="14" t="str">
        <f>CONCATENATE("Pool F-2nd ",'Pool Matches'!G251)</f>
      </c>
      <c r="B43" s="18" t="str">
        <f>SUMPRODUCT((UPPER(D37:D41)&lt;&gt;"X")*((LEN(SUBSTITUTE(SUBSTITUTE(SUBSTITUTE(B37:B41," ",""),"0",""),"-",""))+LEN(SUBSTITUTE(SUBSTITUTE(SUBSTITUTE(C37:C41," ",""),"0",""),"-","")))&gt;(LEN(SUBSTITUTE(SUBSTITUTE(SUBSTITUTE(E37:E41," ",""),"0",""),"-",""))+LEN(SUBSTITUTE(SUBSTITUTE(SUBSTITUTE(F37:F41," ",""),"0",""),"-",""))))*1)</f>
      </c>
      <c r="C43" s="18" t="str">
        <f>SUMPRODUCT(LEN(SUBSTITUTE(SUBSTITUTE(SUBSTITUTE(B37:B41," ",""),"0",""),"-",""))+LEN(SUBSTITUTE(SUBSTITUTE(SUBSTITUTE(C37:C41," ",""),"0",""),"-","")))</f>
      </c>
      <c r="D43" s="14"/>
      <c r="E43" s="18" t="str">
        <f>SUMPRODUCT(LEN(SUBSTITUTE(SUBSTITUTE(SUBSTITUTE(E37:E41," ",""),"0",""),"-",""))+LEN(SUBSTITUTE(SUBSTITUTE(SUBSTITUTE(F37:F41," ",""),"0",""),"-","")))</f>
      </c>
      <c r="F43" s="18" t="str">
        <f>SUMPRODUCT((UPPER(D37:D41)&lt;&gt;"X")*((LEN(SUBSTITUTE(SUBSTITUTE(SUBSTITUTE(E37:E41," ",""),"0",""),"-",""))+LEN(SUBSTITUTE(SUBSTITUTE(SUBSTITUTE(F37:F41," ",""),"0",""),"-","")))&gt;(LEN(SUBSTITUTE(SUBSTITUTE(SUBSTITUTE(B37:B41," ",""),"0",""),"-",""))+LEN(SUBSTITUTE(SUBSTITUTE(SUBSTITUTE(C37:C41," ",""),"0",""),"-",""))))*1)</f>
      </c>
      <c r="G43" s="14" t="str">
        <f>CONCATENATE("Pool G-1st ",'Pool Matches'!G292)</f>
      </c>
      <c r="M43" s="14" t="str">
        <f>CONCATENATE("Pool G-2nd ",'Pool Matches'!G293)</f>
      </c>
      <c r="N43" s="18" t="str">
        <f>SUMPRODUCT((UPPER(P37:P41)&lt;&gt;"X")*((LEN(SUBSTITUTE(SUBSTITUTE(SUBSTITUTE(N37:N41," ",""),"0",""),"-",""))+LEN(SUBSTITUTE(SUBSTITUTE(SUBSTITUTE(O37:O41," ",""),"0",""),"-","")))&gt;(LEN(SUBSTITUTE(SUBSTITUTE(SUBSTITUTE(Q37:Q41," ",""),"0",""),"-",""))+LEN(SUBSTITUTE(SUBSTITUTE(SUBSTITUTE(R37:R41," ",""),"0",""),"-",""))))*1)</f>
      </c>
      <c r="O43" s="18" t="str">
        <f>SUMPRODUCT(LEN(SUBSTITUTE(SUBSTITUTE(SUBSTITUTE(N37:N41," ",""),"0",""),"-",""))+LEN(SUBSTITUTE(SUBSTITUTE(SUBSTITUTE(O37:O41," ",""),"0",""),"-","")))</f>
      </c>
      <c r="P43" s="14"/>
      <c r="Q43" s="18" t="str">
        <f>SUMPRODUCT(LEN(SUBSTITUTE(SUBSTITUTE(SUBSTITUTE(Q37:Q41," ",""),"0",""),"-",""))+LEN(SUBSTITUTE(SUBSTITUTE(SUBSTITUTE(R37:R41," ",""),"0",""),"-","")))</f>
      </c>
      <c r="R43" s="18" t="str">
        <f>SUMPRODUCT((UPPER(P37:P41)&lt;&gt;"X")*((LEN(SUBSTITUTE(SUBSTITUTE(SUBSTITUTE(Q37:Q41," ",""),"0",""),"-",""))+LEN(SUBSTITUTE(SUBSTITUTE(SUBSTITUTE(R37:R41," ",""),"0",""),"-","")))&gt;(LEN(SUBSTITUTE(SUBSTITUTE(SUBSTITUTE(N37:N41," ",""),"0",""),"-",""))+LEN(SUBSTITUTE(SUBSTITUTE(SUBSTITUTE(O37:O41," ",""),"0",""),"-",""))))*1)</f>
      </c>
      <c r="S43" s="14" t="str">
        <f>CONCATENATE("Pool F-1st ",'Pool Matches'!G250)</f>
      </c>
    </row>
    <row r="44">
      <c r="A44" s="14" t="s">
        <v>346</v>
      </c>
      <c r="B44" s="14"/>
      <c r="C44" s="14"/>
      <c r="D44" s="14"/>
      <c r="E44" s="14"/>
      <c r="F44" s="14"/>
      <c r="G44" s="14" t="s">
        <v>346</v>
      </c>
      <c r="M44" s="14" t="s">
        <v>346</v>
      </c>
      <c r="N44" s="14"/>
      <c r="O44" s="14"/>
      <c r="P44" s="14"/>
      <c r="Q44" s="14"/>
      <c r="R44" s="14"/>
      <c r="S44" s="14" t="s">
        <v>346</v>
      </c>
    </row>
    <row r="47">
      <c r="F47" t="s">
        <v>347</v>
      </c>
      <c r="G47" s="19"/>
      <c r="R47" t="s">
        <v>347</v>
      </c>
      <c r="S47" s="19"/>
    </row>
    <row r="48">
      <c r="F48" t="s">
        <v>348</v>
      </c>
      <c r="G48" s="19"/>
      <c r="R48" t="s">
        <v>348</v>
      </c>
      <c r="S48" s="19"/>
    </row>
    <row r="50">
      <c r="A50" s="13" t="s">
        <v>354</v>
      </c>
      <c r="B50" s="13"/>
      <c r="C50" s="13"/>
      <c r="D50" s="13"/>
      <c r="E50" s="13"/>
      <c r="F50" s="13"/>
      <c r="G50" s="13"/>
      <c r="M50" s="13" t="s">
        <v>355</v>
      </c>
      <c r="N50" s="13"/>
      <c r="O50" s="13"/>
      <c r="P50" s="13"/>
      <c r="Q50" s="13"/>
      <c r="R50" s="13"/>
      <c r="S50" s="13"/>
    </row>
    <row r="51">
      <c r="A51" s="17" t="s">
        <v>239</v>
      </c>
      <c r="D51" s="14" t="s">
        <v>240</v>
      </c>
      <c r="G51" s="16" t="s">
        <v>241</v>
      </c>
      <c r="M51" s="17" t="s">
        <v>239</v>
      </c>
      <c r="P51" s="14" t="s">
        <v>240</v>
      </c>
      <c r="S51" s="16" t="s">
        <v>241</v>
      </c>
    </row>
    <row r="52">
      <c r="A52" s="14" t="str">
        <f>CONCATENATE("Pool H-2nd ",'Pool Matches'!G335)</f>
      </c>
      <c r="B52" s="18"/>
      <c r="C52" s="18"/>
      <c r="D52" s="18"/>
      <c r="E52" s="18"/>
      <c r="F52" s="18"/>
      <c r="G52" s="14" t="str">
        <f>CONCATENATE("Pool I-1st ",'Pool Matches'!G376)</f>
      </c>
      <c r="M52" s="14" t="str">
        <f>CONCATENATE("Pool I-2nd ",'Pool Matches'!G377)</f>
      </c>
      <c r="N52" s="18"/>
      <c r="O52" s="18"/>
      <c r="P52" s="18"/>
      <c r="Q52" s="18"/>
      <c r="R52" s="18"/>
      <c r="S52" s="14" t="str">
        <f>CONCATENATE("Pool H-1st ",'Pool Matches'!G334)</f>
      </c>
    </row>
    <row r="53">
      <c r="A53" s="14">
        <v>1</v>
      </c>
      <c r="B53" s="18"/>
      <c r="C53" s="18"/>
      <c r="D53" s="18"/>
      <c r="E53" s="18"/>
      <c r="F53" s="18"/>
      <c r="G53" s="14">
        <v>1</v>
      </c>
      <c r="M53" s="14">
        <v>1</v>
      </c>
      <c r="N53" s="18"/>
      <c r="O53" s="18"/>
      <c r="P53" s="18"/>
      <c r="Q53" s="18"/>
      <c r="R53" s="18"/>
      <c r="S53" s="14">
        <v>1</v>
      </c>
    </row>
    <row r="54">
      <c r="A54" s="14">
        <v>2</v>
      </c>
      <c r="B54" s="18"/>
      <c r="C54" s="18"/>
      <c r="D54" s="18"/>
      <c r="E54" s="18"/>
      <c r="F54" s="18"/>
      <c r="G54" s="14">
        <v>2</v>
      </c>
      <c r="M54" s="14">
        <v>2</v>
      </c>
      <c r="N54" s="18"/>
      <c r="O54" s="18"/>
      <c r="P54" s="18"/>
      <c r="Q54" s="18"/>
      <c r="R54" s="18"/>
      <c r="S54" s="14">
        <v>2</v>
      </c>
    </row>
    <row r="55">
      <c r="A55" s="14">
        <v>3</v>
      </c>
      <c r="B55" s="18"/>
      <c r="C55" s="18"/>
      <c r="D55" s="18"/>
      <c r="E55" s="18"/>
      <c r="F55" s="18"/>
      <c r="G55" s="14">
        <v>3</v>
      </c>
      <c r="M55" s="14">
        <v>3</v>
      </c>
      <c r="N55" s="18"/>
      <c r="O55" s="18"/>
      <c r="P55" s="18"/>
      <c r="Q55" s="18"/>
      <c r="R55" s="18"/>
      <c r="S55" s="14">
        <v>3</v>
      </c>
    </row>
    <row r="56">
      <c r="A56" s="14">
        <v>4</v>
      </c>
      <c r="B56" s="18"/>
      <c r="C56" s="18"/>
      <c r="D56" s="18"/>
      <c r="E56" s="18"/>
      <c r="F56" s="18"/>
      <c r="G56" s="14">
        <v>4</v>
      </c>
      <c r="M56" s="14">
        <v>4</v>
      </c>
      <c r="N56" s="18"/>
      <c r="O56" s="18"/>
      <c r="P56" s="18"/>
      <c r="Q56" s="18"/>
      <c r="R56" s="18"/>
      <c r="S56" s="14">
        <v>4</v>
      </c>
    </row>
    <row r="57">
      <c r="A57" s="14">
        <v>5</v>
      </c>
      <c r="B57" s="18"/>
      <c r="C57" s="18"/>
      <c r="D57" s="18"/>
      <c r="E57" s="18"/>
      <c r="F57" s="18"/>
      <c r="G57" s="14">
        <v>5</v>
      </c>
      <c r="M57" s="14">
        <v>5</v>
      </c>
      <c r="N57" s="18"/>
      <c r="O57" s="18"/>
      <c r="P57" s="18"/>
      <c r="Q57" s="18"/>
      <c r="R57" s="18"/>
      <c r="S57" s="14">
        <v>5</v>
      </c>
    </row>
    <row r="59">
      <c r="A59" s="14" t="str">
        <f>CONCATENATE("Pool H-2nd ",'Pool Matches'!G335)</f>
      </c>
      <c r="B59" s="18" t="str">
        <f>SUMPRODUCT((UPPER(D53:D57)&lt;&gt;"X")*((LEN(SUBSTITUTE(SUBSTITUTE(SUBSTITUTE(B53:B57," ",""),"0",""),"-",""))+LEN(SUBSTITUTE(SUBSTITUTE(SUBSTITUTE(C53:C57," ",""),"0",""),"-","")))&gt;(LEN(SUBSTITUTE(SUBSTITUTE(SUBSTITUTE(E53:E57," ",""),"0",""),"-",""))+LEN(SUBSTITUTE(SUBSTITUTE(SUBSTITUTE(F53:F57," ",""),"0",""),"-",""))))*1)</f>
      </c>
      <c r="C59" s="18" t="str">
        <f>SUMPRODUCT(LEN(SUBSTITUTE(SUBSTITUTE(SUBSTITUTE(B53:B57," ",""),"0",""),"-",""))+LEN(SUBSTITUTE(SUBSTITUTE(SUBSTITUTE(C53:C57," ",""),"0",""),"-","")))</f>
      </c>
      <c r="D59" s="14"/>
      <c r="E59" s="18" t="str">
        <f>SUMPRODUCT(LEN(SUBSTITUTE(SUBSTITUTE(SUBSTITUTE(E53:E57," ",""),"0",""),"-",""))+LEN(SUBSTITUTE(SUBSTITUTE(SUBSTITUTE(F53:F57," ",""),"0",""),"-","")))</f>
      </c>
      <c r="F59" s="18" t="str">
        <f>SUMPRODUCT((UPPER(D53:D57)&lt;&gt;"X")*((LEN(SUBSTITUTE(SUBSTITUTE(SUBSTITUTE(E53:E57," ",""),"0",""),"-",""))+LEN(SUBSTITUTE(SUBSTITUTE(SUBSTITUTE(F53:F57," ",""),"0",""),"-","")))&gt;(LEN(SUBSTITUTE(SUBSTITUTE(SUBSTITUTE(B53:B57," ",""),"0",""),"-",""))+LEN(SUBSTITUTE(SUBSTITUTE(SUBSTITUTE(C53:C57," ",""),"0",""),"-",""))))*1)</f>
      </c>
      <c r="G59" s="14" t="str">
        <f>CONCATENATE("Pool I-1st ",'Pool Matches'!G376)</f>
      </c>
      <c r="M59" s="14" t="str">
        <f>CONCATENATE("Pool I-2nd ",'Pool Matches'!G377)</f>
      </c>
      <c r="N59" s="18" t="str">
        <f>SUMPRODUCT((UPPER(P53:P57)&lt;&gt;"X")*((LEN(SUBSTITUTE(SUBSTITUTE(SUBSTITUTE(N53:N57," ",""),"0",""),"-",""))+LEN(SUBSTITUTE(SUBSTITUTE(SUBSTITUTE(O53:O57," ",""),"0",""),"-","")))&gt;(LEN(SUBSTITUTE(SUBSTITUTE(SUBSTITUTE(Q53:Q57," ",""),"0",""),"-",""))+LEN(SUBSTITUTE(SUBSTITUTE(SUBSTITUTE(R53:R57," ",""),"0",""),"-",""))))*1)</f>
      </c>
      <c r="O59" s="18" t="str">
        <f>SUMPRODUCT(LEN(SUBSTITUTE(SUBSTITUTE(SUBSTITUTE(N53:N57," ",""),"0",""),"-",""))+LEN(SUBSTITUTE(SUBSTITUTE(SUBSTITUTE(O53:O57," ",""),"0",""),"-","")))</f>
      </c>
      <c r="P59" s="14"/>
      <c r="Q59" s="18" t="str">
        <f>SUMPRODUCT(LEN(SUBSTITUTE(SUBSTITUTE(SUBSTITUTE(Q53:Q57," ",""),"0",""),"-",""))+LEN(SUBSTITUTE(SUBSTITUTE(SUBSTITUTE(R53:R57," ",""),"0",""),"-","")))</f>
      </c>
      <c r="R59" s="18" t="str">
        <f>SUMPRODUCT((UPPER(P53:P57)&lt;&gt;"X")*((LEN(SUBSTITUTE(SUBSTITUTE(SUBSTITUTE(Q53:Q57," ",""),"0",""),"-",""))+LEN(SUBSTITUTE(SUBSTITUTE(SUBSTITUTE(R53:R57," ",""),"0",""),"-","")))&gt;(LEN(SUBSTITUTE(SUBSTITUTE(SUBSTITUTE(N53:N57," ",""),"0",""),"-",""))+LEN(SUBSTITUTE(SUBSTITUTE(SUBSTITUTE(O53:O57," ",""),"0",""),"-",""))))*1)</f>
      </c>
      <c r="S59" s="14" t="str">
        <f>CONCATENATE("Pool H-1st ",'Pool Matches'!G334)</f>
      </c>
    </row>
    <row r="60">
      <c r="A60" s="14" t="s">
        <v>346</v>
      </c>
      <c r="B60" s="14"/>
      <c r="C60" s="14"/>
      <c r="D60" s="14"/>
      <c r="E60" s="14"/>
      <c r="F60" s="14"/>
      <c r="G60" s="14" t="s">
        <v>346</v>
      </c>
      <c r="M60" s="14" t="s">
        <v>346</v>
      </c>
      <c r="N60" s="14"/>
      <c r="O60" s="14"/>
      <c r="P60" s="14"/>
      <c r="Q60" s="14"/>
      <c r="R60" s="14"/>
      <c r="S60" s="14" t="s">
        <v>346</v>
      </c>
    </row>
    <row r="63">
      <c r="F63" t="s">
        <v>347</v>
      </c>
      <c r="G63" s="19"/>
      <c r="R63" t="s">
        <v>347</v>
      </c>
      <c r="S63" s="19"/>
    </row>
    <row r="64">
      <c r="F64" t="s">
        <v>348</v>
      </c>
      <c r="G64" s="19"/>
      <c r="R64" t="s">
        <v>348</v>
      </c>
      <c r="S64" s="19"/>
    </row>
    <row r="66">
      <c r="A66" s="13" t="s">
        <v>356</v>
      </c>
      <c r="B66" s="13"/>
      <c r="C66" s="13"/>
      <c r="D66" s="13"/>
      <c r="E66" s="13"/>
      <c r="F66" s="13"/>
      <c r="G66" s="13"/>
      <c r="M66" s="13" t="s">
        <v>357</v>
      </c>
      <c r="N66" s="13"/>
      <c r="O66" s="13"/>
      <c r="P66" s="13"/>
      <c r="Q66" s="13"/>
      <c r="R66" s="13"/>
      <c r="S66" s="13"/>
    </row>
    <row r="67">
      <c r="A67" s="17" t="s">
        <v>239</v>
      </c>
      <c r="D67" s="14" t="s">
        <v>240</v>
      </c>
      <c r="G67" s="16" t="s">
        <v>241</v>
      </c>
      <c r="M67" s="17" t="s">
        <v>239</v>
      </c>
      <c r="P67" s="14" t="s">
        <v>240</v>
      </c>
      <c r="S67" s="16" t="s">
        <v>241</v>
      </c>
    </row>
    <row r="68">
      <c r="A68" s="14" t="str">
        <f>CONCATENATE("Pool J-2nd ",'Pool Matches'!G419)</f>
      </c>
      <c r="B68" s="18"/>
      <c r="C68" s="18"/>
      <c r="D68" s="18"/>
      <c r="E68" s="18"/>
      <c r="F68" s="18"/>
      <c r="G68" s="14" t="str">
        <f>CONCATENATE("Pool K-1st ",'Pool Matches'!G460)</f>
      </c>
      <c r="M68" s="14" t="str">
        <f>CONCATENATE("Pool K-2nd ",'Pool Matches'!G461)</f>
      </c>
      <c r="N68" s="18"/>
      <c r="O68" s="18"/>
      <c r="P68" s="18"/>
      <c r="Q68" s="18"/>
      <c r="R68" s="18"/>
      <c r="S68" s="14" t="str">
        <f>CONCATENATE("Pool J-1st ",'Pool Matches'!G418)</f>
      </c>
    </row>
    <row r="69">
      <c r="A69" s="14">
        <v>1</v>
      </c>
      <c r="B69" s="18"/>
      <c r="C69" s="18"/>
      <c r="D69" s="18"/>
      <c r="E69" s="18"/>
      <c r="F69" s="18"/>
      <c r="G69" s="14">
        <v>1</v>
      </c>
      <c r="M69" s="14">
        <v>1</v>
      </c>
      <c r="N69" s="18"/>
      <c r="O69" s="18"/>
      <c r="P69" s="18"/>
      <c r="Q69" s="18"/>
      <c r="R69" s="18"/>
      <c r="S69" s="14">
        <v>1</v>
      </c>
    </row>
    <row r="70">
      <c r="A70" s="14">
        <v>2</v>
      </c>
      <c r="B70" s="18"/>
      <c r="C70" s="18"/>
      <c r="D70" s="18"/>
      <c r="E70" s="18"/>
      <c r="F70" s="18"/>
      <c r="G70" s="14">
        <v>2</v>
      </c>
      <c r="M70" s="14">
        <v>2</v>
      </c>
      <c r="N70" s="18"/>
      <c r="O70" s="18"/>
      <c r="P70" s="18"/>
      <c r="Q70" s="18"/>
      <c r="R70" s="18"/>
      <c r="S70" s="14">
        <v>2</v>
      </c>
    </row>
    <row r="71">
      <c r="A71" s="14">
        <v>3</v>
      </c>
      <c r="B71" s="18"/>
      <c r="C71" s="18"/>
      <c r="D71" s="18"/>
      <c r="E71" s="18"/>
      <c r="F71" s="18"/>
      <c r="G71" s="14">
        <v>3</v>
      </c>
      <c r="M71" s="14">
        <v>3</v>
      </c>
      <c r="N71" s="18"/>
      <c r="O71" s="18"/>
      <c r="P71" s="18"/>
      <c r="Q71" s="18"/>
      <c r="R71" s="18"/>
      <c r="S71" s="14">
        <v>3</v>
      </c>
    </row>
    <row r="72">
      <c r="A72" s="14">
        <v>4</v>
      </c>
      <c r="B72" s="18"/>
      <c r="C72" s="18"/>
      <c r="D72" s="18"/>
      <c r="E72" s="18"/>
      <c r="F72" s="18"/>
      <c r="G72" s="14">
        <v>4</v>
      </c>
      <c r="M72" s="14">
        <v>4</v>
      </c>
      <c r="N72" s="18"/>
      <c r="O72" s="18"/>
      <c r="P72" s="18"/>
      <c r="Q72" s="18"/>
      <c r="R72" s="18"/>
      <c r="S72" s="14">
        <v>4</v>
      </c>
    </row>
    <row r="73">
      <c r="A73" s="14">
        <v>5</v>
      </c>
      <c r="B73" s="18"/>
      <c r="C73" s="18"/>
      <c r="D73" s="18"/>
      <c r="E73" s="18"/>
      <c r="F73" s="18"/>
      <c r="G73" s="14">
        <v>5</v>
      </c>
      <c r="M73" s="14">
        <v>5</v>
      </c>
      <c r="N73" s="18"/>
      <c r="O73" s="18"/>
      <c r="P73" s="18"/>
      <c r="Q73" s="18"/>
      <c r="R73" s="18"/>
      <c r="S73" s="14">
        <v>5</v>
      </c>
    </row>
    <row r="75">
      <c r="A75" s="14" t="str">
        <f>CONCATENATE("Pool J-2nd ",'Pool Matches'!G419)</f>
      </c>
      <c r="B75" s="18" t="str">
        <f>SUMPRODUCT((UPPER(D69:D73)&lt;&gt;"X")*((LEN(SUBSTITUTE(SUBSTITUTE(SUBSTITUTE(B69:B73," ",""),"0",""),"-",""))+LEN(SUBSTITUTE(SUBSTITUTE(SUBSTITUTE(C69:C73," ",""),"0",""),"-","")))&gt;(LEN(SUBSTITUTE(SUBSTITUTE(SUBSTITUTE(E69:E73," ",""),"0",""),"-",""))+LEN(SUBSTITUTE(SUBSTITUTE(SUBSTITUTE(F69:F73," ",""),"0",""),"-",""))))*1)</f>
      </c>
      <c r="C75" s="18" t="str">
        <f>SUMPRODUCT(LEN(SUBSTITUTE(SUBSTITUTE(SUBSTITUTE(B69:B73," ",""),"0",""),"-",""))+LEN(SUBSTITUTE(SUBSTITUTE(SUBSTITUTE(C69:C73," ",""),"0",""),"-","")))</f>
      </c>
      <c r="D75" s="14"/>
      <c r="E75" s="18" t="str">
        <f>SUMPRODUCT(LEN(SUBSTITUTE(SUBSTITUTE(SUBSTITUTE(E69:E73," ",""),"0",""),"-",""))+LEN(SUBSTITUTE(SUBSTITUTE(SUBSTITUTE(F69:F73," ",""),"0",""),"-","")))</f>
      </c>
      <c r="F75" s="18" t="str">
        <f>SUMPRODUCT((UPPER(D69:D73)&lt;&gt;"X")*((LEN(SUBSTITUTE(SUBSTITUTE(SUBSTITUTE(E69:E73," ",""),"0",""),"-",""))+LEN(SUBSTITUTE(SUBSTITUTE(SUBSTITUTE(F69:F73," ",""),"0",""),"-","")))&gt;(LEN(SUBSTITUTE(SUBSTITUTE(SUBSTITUTE(B69:B73," ",""),"0",""),"-",""))+LEN(SUBSTITUTE(SUBSTITUTE(SUBSTITUTE(C69:C73," ",""),"0",""),"-",""))))*1)</f>
      </c>
      <c r="G75" s="14" t="str">
        <f>CONCATENATE("Pool K-1st ",'Pool Matches'!G460)</f>
      </c>
      <c r="M75" s="14" t="str">
        <f>CONCATENATE("Pool K-2nd ",'Pool Matches'!G461)</f>
      </c>
      <c r="N75" s="18" t="str">
        <f>SUMPRODUCT((UPPER(P69:P73)&lt;&gt;"X")*((LEN(SUBSTITUTE(SUBSTITUTE(SUBSTITUTE(N69:N73," ",""),"0",""),"-",""))+LEN(SUBSTITUTE(SUBSTITUTE(SUBSTITUTE(O69:O73," ",""),"0",""),"-","")))&gt;(LEN(SUBSTITUTE(SUBSTITUTE(SUBSTITUTE(Q69:Q73," ",""),"0",""),"-",""))+LEN(SUBSTITUTE(SUBSTITUTE(SUBSTITUTE(R69:R73," ",""),"0",""),"-",""))))*1)</f>
      </c>
      <c r="O75" s="18" t="str">
        <f>SUMPRODUCT(LEN(SUBSTITUTE(SUBSTITUTE(SUBSTITUTE(N69:N73," ",""),"0",""),"-",""))+LEN(SUBSTITUTE(SUBSTITUTE(SUBSTITUTE(O69:O73," ",""),"0",""),"-","")))</f>
      </c>
      <c r="P75" s="14"/>
      <c r="Q75" s="18" t="str">
        <f>SUMPRODUCT(LEN(SUBSTITUTE(SUBSTITUTE(SUBSTITUTE(Q69:Q73," ",""),"0",""),"-",""))+LEN(SUBSTITUTE(SUBSTITUTE(SUBSTITUTE(R69:R73," ",""),"0",""),"-","")))</f>
      </c>
      <c r="R75" s="18" t="str">
        <f>SUMPRODUCT((UPPER(P69:P73)&lt;&gt;"X")*((LEN(SUBSTITUTE(SUBSTITUTE(SUBSTITUTE(Q69:Q73," ",""),"0",""),"-",""))+LEN(SUBSTITUTE(SUBSTITUTE(SUBSTITUTE(R69:R73," ",""),"0",""),"-","")))&gt;(LEN(SUBSTITUTE(SUBSTITUTE(SUBSTITUTE(N69:N73," ",""),"0",""),"-",""))+LEN(SUBSTITUTE(SUBSTITUTE(SUBSTITUTE(O69:O73," ",""),"0",""),"-",""))))*1)</f>
      </c>
      <c r="S75" s="14" t="str">
        <f>CONCATENATE("Pool J-1st ",'Pool Matches'!G418)</f>
      </c>
    </row>
    <row r="76">
      <c r="A76" s="14" t="s">
        <v>346</v>
      </c>
      <c r="B76" s="14"/>
      <c r="C76" s="14"/>
      <c r="D76" s="14"/>
      <c r="E76" s="14"/>
      <c r="F76" s="14"/>
      <c r="G76" s="14" t="s">
        <v>346</v>
      </c>
      <c r="M76" s="14" t="s">
        <v>346</v>
      </c>
      <c r="N76" s="14"/>
      <c r="O76" s="14"/>
      <c r="P76" s="14"/>
      <c r="Q76" s="14"/>
      <c r="R76" s="14"/>
      <c r="S76" s="14" t="s">
        <v>346</v>
      </c>
    </row>
    <row r="79">
      <c r="F79" t="s">
        <v>347</v>
      </c>
      <c r="G79" s="19"/>
      <c r="R79" t="s">
        <v>347</v>
      </c>
      <c r="S79" s="19"/>
    </row>
    <row r="80">
      <c r="F80" t="s">
        <v>348</v>
      </c>
      <c r="G80" s="19"/>
      <c r="R80" t="s">
        <v>348</v>
      </c>
      <c r="S80" s="19"/>
    </row>
    <row r="82">
      <c r="A82" s="13" t="s">
        <v>358</v>
      </c>
      <c r="B82" s="13"/>
      <c r="C82" s="13"/>
      <c r="D82" s="13"/>
      <c r="E82" s="13"/>
      <c r="F82" s="13"/>
      <c r="G82" s="13"/>
      <c r="M82" s="13" t="s">
        <v>359</v>
      </c>
      <c r="N82" s="13"/>
      <c r="O82" s="13"/>
      <c r="P82" s="13"/>
      <c r="Q82" s="13"/>
      <c r="R82" s="13"/>
      <c r="S82" s="13"/>
    </row>
    <row r="83">
      <c r="A83" s="17" t="s">
        <v>239</v>
      </c>
      <c r="D83" s="14" t="s">
        <v>240</v>
      </c>
      <c r="G83" s="16" t="s">
        <v>241</v>
      </c>
      <c r="M83" s="17" t="s">
        <v>239</v>
      </c>
      <c r="P83" s="14" t="s">
        <v>240</v>
      </c>
      <c r="S83" s="16" t="s">
        <v>241</v>
      </c>
    </row>
    <row r="84">
      <c r="A84" s="14" t="str">
        <f>CONCATENATE("Pool L-2nd ",'Pool Matches'!G503)</f>
      </c>
      <c r="B84" s="18"/>
      <c r="C84" s="18"/>
      <c r="D84" s="18"/>
      <c r="E84" s="18"/>
      <c r="F84" s="18"/>
      <c r="G84" s="14" t="str">
        <f>CONCATENATE("Pool M-1st ",'Pool Matches'!G544)</f>
      </c>
      <c r="M84" s="14" t="str">
        <f>CONCATENATE("Pool M-2nd ",'Pool Matches'!G545)</f>
      </c>
      <c r="N84" s="18"/>
      <c r="O84" s="18"/>
      <c r="P84" s="18"/>
      <c r="Q84" s="18"/>
      <c r="R84" s="18"/>
      <c r="S84" s="14" t="str">
        <f>CONCATENATE("Pool L-1st ",'Pool Matches'!G502)</f>
      </c>
    </row>
    <row r="85">
      <c r="A85" s="14">
        <v>1</v>
      </c>
      <c r="B85" s="18"/>
      <c r="C85" s="18"/>
      <c r="D85" s="18"/>
      <c r="E85" s="18"/>
      <c r="F85" s="18"/>
      <c r="G85" s="14">
        <v>1</v>
      </c>
      <c r="M85" s="14">
        <v>1</v>
      </c>
      <c r="N85" s="18"/>
      <c r="O85" s="18"/>
      <c r="P85" s="18"/>
      <c r="Q85" s="18"/>
      <c r="R85" s="18"/>
      <c r="S85" s="14">
        <v>1</v>
      </c>
    </row>
    <row r="86">
      <c r="A86" s="14">
        <v>2</v>
      </c>
      <c r="B86" s="18"/>
      <c r="C86" s="18"/>
      <c r="D86" s="18"/>
      <c r="E86" s="18"/>
      <c r="F86" s="18"/>
      <c r="G86" s="14">
        <v>2</v>
      </c>
      <c r="M86" s="14">
        <v>2</v>
      </c>
      <c r="N86" s="18"/>
      <c r="O86" s="18"/>
      <c r="P86" s="18"/>
      <c r="Q86" s="18"/>
      <c r="R86" s="18"/>
      <c r="S86" s="14">
        <v>2</v>
      </c>
    </row>
    <row r="87">
      <c r="A87" s="14">
        <v>3</v>
      </c>
      <c r="B87" s="18"/>
      <c r="C87" s="18"/>
      <c r="D87" s="18"/>
      <c r="E87" s="18"/>
      <c r="F87" s="18"/>
      <c r="G87" s="14">
        <v>3</v>
      </c>
      <c r="M87" s="14">
        <v>3</v>
      </c>
      <c r="N87" s="18"/>
      <c r="O87" s="18"/>
      <c r="P87" s="18"/>
      <c r="Q87" s="18"/>
      <c r="R87" s="18"/>
      <c r="S87" s="14">
        <v>3</v>
      </c>
    </row>
    <row r="88">
      <c r="A88" s="14">
        <v>4</v>
      </c>
      <c r="B88" s="18"/>
      <c r="C88" s="18"/>
      <c r="D88" s="18"/>
      <c r="E88" s="18"/>
      <c r="F88" s="18"/>
      <c r="G88" s="14">
        <v>4</v>
      </c>
      <c r="M88" s="14">
        <v>4</v>
      </c>
      <c r="N88" s="18"/>
      <c r="O88" s="18"/>
      <c r="P88" s="18"/>
      <c r="Q88" s="18"/>
      <c r="R88" s="18"/>
      <c r="S88" s="14">
        <v>4</v>
      </c>
    </row>
    <row r="89">
      <c r="A89" s="14">
        <v>5</v>
      </c>
      <c r="B89" s="18"/>
      <c r="C89" s="18"/>
      <c r="D89" s="18"/>
      <c r="E89" s="18"/>
      <c r="F89" s="18"/>
      <c r="G89" s="14">
        <v>5</v>
      </c>
      <c r="M89" s="14">
        <v>5</v>
      </c>
      <c r="N89" s="18"/>
      <c r="O89" s="18"/>
      <c r="P89" s="18"/>
      <c r="Q89" s="18"/>
      <c r="R89" s="18"/>
      <c r="S89" s="14">
        <v>5</v>
      </c>
    </row>
    <row r="91">
      <c r="A91" s="14" t="str">
        <f>CONCATENATE("Pool L-2nd ",'Pool Matches'!G503)</f>
      </c>
      <c r="B91" s="18" t="str">
        <f>SUMPRODUCT((UPPER(D85:D89)&lt;&gt;"X")*((LEN(SUBSTITUTE(SUBSTITUTE(SUBSTITUTE(B85:B89," ",""),"0",""),"-",""))+LEN(SUBSTITUTE(SUBSTITUTE(SUBSTITUTE(C85:C89," ",""),"0",""),"-","")))&gt;(LEN(SUBSTITUTE(SUBSTITUTE(SUBSTITUTE(E85:E89," ",""),"0",""),"-",""))+LEN(SUBSTITUTE(SUBSTITUTE(SUBSTITUTE(F85:F89," ",""),"0",""),"-",""))))*1)</f>
      </c>
      <c r="C91" s="18" t="str">
        <f>SUMPRODUCT(LEN(SUBSTITUTE(SUBSTITUTE(SUBSTITUTE(B85:B89," ",""),"0",""),"-",""))+LEN(SUBSTITUTE(SUBSTITUTE(SUBSTITUTE(C85:C89," ",""),"0",""),"-","")))</f>
      </c>
      <c r="D91" s="14"/>
      <c r="E91" s="18" t="str">
        <f>SUMPRODUCT(LEN(SUBSTITUTE(SUBSTITUTE(SUBSTITUTE(E85:E89," ",""),"0",""),"-",""))+LEN(SUBSTITUTE(SUBSTITUTE(SUBSTITUTE(F85:F89," ",""),"0",""),"-","")))</f>
      </c>
      <c r="F91" s="18" t="str">
        <f>SUMPRODUCT((UPPER(D85:D89)&lt;&gt;"X")*((LEN(SUBSTITUTE(SUBSTITUTE(SUBSTITUTE(E85:E89," ",""),"0",""),"-",""))+LEN(SUBSTITUTE(SUBSTITUTE(SUBSTITUTE(F85:F89," ",""),"0",""),"-","")))&gt;(LEN(SUBSTITUTE(SUBSTITUTE(SUBSTITUTE(B85:B89," ",""),"0",""),"-",""))+LEN(SUBSTITUTE(SUBSTITUTE(SUBSTITUTE(C85:C89," ",""),"0",""),"-",""))))*1)</f>
      </c>
      <c r="G91" s="14" t="str">
        <f>CONCATENATE("Pool M-1st ",'Pool Matches'!G544)</f>
      </c>
      <c r="M91" s="14" t="str">
        <f>CONCATENATE("Pool M-2nd ",'Pool Matches'!G545)</f>
      </c>
      <c r="N91" s="18" t="str">
        <f>SUMPRODUCT((UPPER(P85:P89)&lt;&gt;"X")*((LEN(SUBSTITUTE(SUBSTITUTE(SUBSTITUTE(N85:N89," ",""),"0",""),"-",""))+LEN(SUBSTITUTE(SUBSTITUTE(SUBSTITUTE(O85:O89," ",""),"0",""),"-","")))&gt;(LEN(SUBSTITUTE(SUBSTITUTE(SUBSTITUTE(Q85:Q89," ",""),"0",""),"-",""))+LEN(SUBSTITUTE(SUBSTITUTE(SUBSTITUTE(R85:R89," ",""),"0",""),"-",""))))*1)</f>
      </c>
      <c r="O91" s="18" t="str">
        <f>SUMPRODUCT(LEN(SUBSTITUTE(SUBSTITUTE(SUBSTITUTE(N85:N89," ",""),"0",""),"-",""))+LEN(SUBSTITUTE(SUBSTITUTE(SUBSTITUTE(O85:O89," ",""),"0",""),"-","")))</f>
      </c>
      <c r="P91" s="14"/>
      <c r="Q91" s="18" t="str">
        <f>SUMPRODUCT(LEN(SUBSTITUTE(SUBSTITUTE(SUBSTITUTE(Q85:Q89," ",""),"0",""),"-",""))+LEN(SUBSTITUTE(SUBSTITUTE(SUBSTITUTE(R85:R89," ",""),"0",""),"-","")))</f>
      </c>
      <c r="R91" s="18" t="str">
        <f>SUMPRODUCT((UPPER(P85:P89)&lt;&gt;"X")*((LEN(SUBSTITUTE(SUBSTITUTE(SUBSTITUTE(Q85:Q89," ",""),"0",""),"-",""))+LEN(SUBSTITUTE(SUBSTITUTE(SUBSTITUTE(R85:R89," ",""),"0",""),"-","")))&gt;(LEN(SUBSTITUTE(SUBSTITUTE(SUBSTITUTE(N85:N89," ",""),"0",""),"-",""))+LEN(SUBSTITUTE(SUBSTITUTE(SUBSTITUTE(O85:O89," ",""),"0",""),"-",""))))*1)</f>
      </c>
      <c r="S91" s="14" t="str">
        <f>CONCATENATE("Pool L-1st ",'Pool Matches'!G502)</f>
      </c>
    </row>
    <row r="92">
      <c r="A92" s="14" t="s">
        <v>346</v>
      </c>
      <c r="B92" s="14"/>
      <c r="C92" s="14"/>
      <c r="D92" s="14"/>
      <c r="E92" s="14"/>
      <c r="F92" s="14"/>
      <c r="G92" s="14" t="s">
        <v>346</v>
      </c>
      <c r="M92" s="14" t="s">
        <v>346</v>
      </c>
      <c r="N92" s="14"/>
      <c r="O92" s="14"/>
      <c r="P92" s="14"/>
      <c r="Q92" s="14"/>
      <c r="R92" s="14"/>
      <c r="S92" s="14" t="s">
        <v>346</v>
      </c>
    </row>
    <row r="95">
      <c r="F95" t="s">
        <v>347</v>
      </c>
      <c r="G95" s="19"/>
      <c r="R95" t="s">
        <v>347</v>
      </c>
      <c r="S95" s="19"/>
    </row>
    <row r="96">
      <c r="F96" t="s">
        <v>348</v>
      </c>
      <c r="G96" s="19"/>
      <c r="R96" t="s">
        <v>348</v>
      </c>
      <c r="S96" s="19"/>
    </row>
    <row r="98">
      <c r="A98" s="13" t="s">
        <v>360</v>
      </c>
      <c r="B98" s="13"/>
      <c r="C98" s="13"/>
      <c r="D98" s="13"/>
      <c r="E98" s="13"/>
      <c r="F98" s="13"/>
      <c r="G98" s="13"/>
      <c r="M98" s="13" t="s">
        <v>361</v>
      </c>
      <c r="N98" s="13"/>
      <c r="O98" s="13"/>
      <c r="P98" s="13"/>
      <c r="Q98" s="13"/>
      <c r="R98" s="13"/>
      <c r="S98" s="13"/>
    </row>
    <row r="99">
      <c r="A99" s="17" t="s">
        <v>239</v>
      </c>
      <c r="D99" s="14" t="s">
        <v>240</v>
      </c>
      <c r="G99" s="16" t="s">
        <v>241</v>
      </c>
      <c r="M99" s="17" t="s">
        <v>239</v>
      </c>
      <c r="P99" s="14" t="s">
        <v>240</v>
      </c>
      <c r="S99" s="16" t="s">
        <v>241</v>
      </c>
    </row>
    <row r="100">
      <c r="A100" s="14" t="str">
        <f>CONCATENATE("Pool N-2nd ",'Pool Matches'!G587)</f>
      </c>
      <c r="B100" s="18"/>
      <c r="C100" s="18"/>
      <c r="D100" s="18"/>
      <c r="E100" s="18"/>
      <c r="F100" s="18"/>
      <c r="G100" s="14" t="str">
        <f>CONCATENATE("Pool O-1st ",'Pool Matches'!G628)</f>
      </c>
      <c r="M100" s="14" t="str">
        <f>CONCATENATE("Pool O-2nd ",'Pool Matches'!G629)</f>
      </c>
      <c r="N100" s="18"/>
      <c r="O100" s="18"/>
      <c r="P100" s="18"/>
      <c r="Q100" s="18"/>
      <c r="R100" s="18"/>
      <c r="S100" s="14" t="str">
        <f>CONCATENATE("Pool N-1st ",'Pool Matches'!G586)</f>
      </c>
    </row>
    <row r="101">
      <c r="A101" s="14">
        <v>1</v>
      </c>
      <c r="B101" s="18"/>
      <c r="C101" s="18"/>
      <c r="D101" s="18"/>
      <c r="E101" s="18"/>
      <c r="F101" s="18"/>
      <c r="G101" s="14">
        <v>1</v>
      </c>
      <c r="M101" s="14">
        <v>1</v>
      </c>
      <c r="N101" s="18"/>
      <c r="O101" s="18"/>
      <c r="P101" s="18"/>
      <c r="Q101" s="18"/>
      <c r="R101" s="18"/>
      <c r="S101" s="14">
        <v>1</v>
      </c>
    </row>
    <row r="102">
      <c r="A102" s="14">
        <v>2</v>
      </c>
      <c r="B102" s="18"/>
      <c r="C102" s="18"/>
      <c r="D102" s="18"/>
      <c r="E102" s="18"/>
      <c r="F102" s="18"/>
      <c r="G102" s="14">
        <v>2</v>
      </c>
      <c r="M102" s="14">
        <v>2</v>
      </c>
      <c r="N102" s="18"/>
      <c r="O102" s="18"/>
      <c r="P102" s="18"/>
      <c r="Q102" s="18"/>
      <c r="R102" s="18"/>
      <c r="S102" s="14">
        <v>2</v>
      </c>
    </row>
    <row r="103">
      <c r="A103" s="14">
        <v>3</v>
      </c>
      <c r="B103" s="18"/>
      <c r="C103" s="18"/>
      <c r="D103" s="18"/>
      <c r="E103" s="18"/>
      <c r="F103" s="18"/>
      <c r="G103" s="14">
        <v>3</v>
      </c>
      <c r="M103" s="14">
        <v>3</v>
      </c>
      <c r="N103" s="18"/>
      <c r="O103" s="18"/>
      <c r="P103" s="18"/>
      <c r="Q103" s="18"/>
      <c r="R103" s="18"/>
      <c r="S103" s="14">
        <v>3</v>
      </c>
    </row>
    <row r="104">
      <c r="A104" s="14">
        <v>4</v>
      </c>
      <c r="B104" s="18"/>
      <c r="C104" s="18"/>
      <c r="D104" s="18"/>
      <c r="E104" s="18"/>
      <c r="F104" s="18"/>
      <c r="G104" s="14">
        <v>4</v>
      </c>
      <c r="M104" s="14">
        <v>4</v>
      </c>
      <c r="N104" s="18"/>
      <c r="O104" s="18"/>
      <c r="P104" s="18"/>
      <c r="Q104" s="18"/>
      <c r="R104" s="18"/>
      <c r="S104" s="14">
        <v>4</v>
      </c>
    </row>
    <row r="105">
      <c r="A105" s="14">
        <v>5</v>
      </c>
      <c r="B105" s="18"/>
      <c r="C105" s="18"/>
      <c r="D105" s="18"/>
      <c r="E105" s="18"/>
      <c r="F105" s="18"/>
      <c r="G105" s="14">
        <v>5</v>
      </c>
      <c r="M105" s="14">
        <v>5</v>
      </c>
      <c r="N105" s="18"/>
      <c r="O105" s="18"/>
      <c r="P105" s="18"/>
      <c r="Q105" s="18"/>
      <c r="R105" s="18"/>
      <c r="S105" s="14">
        <v>5</v>
      </c>
    </row>
    <row r="107">
      <c r="A107" s="14" t="str">
        <f>CONCATENATE("Pool N-2nd ",'Pool Matches'!G587)</f>
      </c>
      <c r="B107" s="18" t="str">
        <f>SUMPRODUCT((UPPER(D101:D105)&lt;&gt;"X")*((LEN(SUBSTITUTE(SUBSTITUTE(SUBSTITUTE(B101:B105," ",""),"0",""),"-",""))+LEN(SUBSTITUTE(SUBSTITUTE(SUBSTITUTE(C101:C105," ",""),"0",""),"-","")))&gt;(LEN(SUBSTITUTE(SUBSTITUTE(SUBSTITUTE(E101:E105," ",""),"0",""),"-",""))+LEN(SUBSTITUTE(SUBSTITUTE(SUBSTITUTE(F101:F105," ",""),"0",""),"-",""))))*1)</f>
      </c>
      <c r="C107" s="18" t="str">
        <f>SUMPRODUCT(LEN(SUBSTITUTE(SUBSTITUTE(SUBSTITUTE(B101:B105," ",""),"0",""),"-",""))+LEN(SUBSTITUTE(SUBSTITUTE(SUBSTITUTE(C101:C105," ",""),"0",""),"-","")))</f>
      </c>
      <c r="D107" s="14"/>
      <c r="E107" s="18" t="str">
        <f>SUMPRODUCT(LEN(SUBSTITUTE(SUBSTITUTE(SUBSTITUTE(E101:E105," ",""),"0",""),"-",""))+LEN(SUBSTITUTE(SUBSTITUTE(SUBSTITUTE(F101:F105," ",""),"0",""),"-","")))</f>
      </c>
      <c r="F107" s="18" t="str">
        <f>SUMPRODUCT((UPPER(D101:D105)&lt;&gt;"X")*((LEN(SUBSTITUTE(SUBSTITUTE(SUBSTITUTE(E101:E105," ",""),"0",""),"-",""))+LEN(SUBSTITUTE(SUBSTITUTE(SUBSTITUTE(F101:F105," ",""),"0",""),"-","")))&gt;(LEN(SUBSTITUTE(SUBSTITUTE(SUBSTITUTE(B101:B105," ",""),"0",""),"-",""))+LEN(SUBSTITUTE(SUBSTITUTE(SUBSTITUTE(C101:C105," ",""),"0",""),"-",""))))*1)</f>
      </c>
      <c r="G107" s="14" t="str">
        <f>CONCATENATE("Pool O-1st ",'Pool Matches'!G628)</f>
      </c>
      <c r="M107" s="14" t="str">
        <f>CONCATENATE("Pool O-2nd ",'Pool Matches'!G629)</f>
      </c>
      <c r="N107" s="18" t="str">
        <f>SUMPRODUCT((UPPER(P101:P105)&lt;&gt;"X")*((LEN(SUBSTITUTE(SUBSTITUTE(SUBSTITUTE(N101:N105," ",""),"0",""),"-",""))+LEN(SUBSTITUTE(SUBSTITUTE(SUBSTITUTE(O101:O105," ",""),"0",""),"-","")))&gt;(LEN(SUBSTITUTE(SUBSTITUTE(SUBSTITUTE(Q101:Q105," ",""),"0",""),"-",""))+LEN(SUBSTITUTE(SUBSTITUTE(SUBSTITUTE(R101:R105," ",""),"0",""),"-",""))))*1)</f>
      </c>
      <c r="O107" s="18" t="str">
        <f>SUMPRODUCT(LEN(SUBSTITUTE(SUBSTITUTE(SUBSTITUTE(N101:N105," ",""),"0",""),"-",""))+LEN(SUBSTITUTE(SUBSTITUTE(SUBSTITUTE(O101:O105," ",""),"0",""),"-","")))</f>
      </c>
      <c r="P107" s="14"/>
      <c r="Q107" s="18" t="str">
        <f>SUMPRODUCT(LEN(SUBSTITUTE(SUBSTITUTE(SUBSTITUTE(Q101:Q105," ",""),"0",""),"-",""))+LEN(SUBSTITUTE(SUBSTITUTE(SUBSTITUTE(R101:R105," ",""),"0",""),"-","")))</f>
      </c>
      <c r="R107" s="18" t="str">
        <f>SUMPRODUCT((UPPER(P101:P105)&lt;&gt;"X")*((LEN(SUBSTITUTE(SUBSTITUTE(SUBSTITUTE(Q101:Q105," ",""),"0",""),"-",""))+LEN(SUBSTITUTE(SUBSTITUTE(SUBSTITUTE(R101:R105," ",""),"0",""),"-","")))&gt;(LEN(SUBSTITUTE(SUBSTITUTE(SUBSTITUTE(N101:N105," ",""),"0",""),"-",""))+LEN(SUBSTITUTE(SUBSTITUTE(SUBSTITUTE(O101:O105," ",""),"0",""),"-",""))))*1)</f>
      </c>
      <c r="S107" s="14" t="str">
        <f>CONCATENATE("Pool N-1st ",'Pool Matches'!G586)</f>
      </c>
    </row>
    <row r="108">
      <c r="A108" s="14" t="s">
        <v>346</v>
      </c>
      <c r="B108" s="14"/>
      <c r="C108" s="14"/>
      <c r="D108" s="14"/>
      <c r="E108" s="14"/>
      <c r="F108" s="14"/>
      <c r="G108" s="14" t="s">
        <v>346</v>
      </c>
      <c r="M108" s="14" t="s">
        <v>346</v>
      </c>
      <c r="N108" s="14"/>
      <c r="O108" s="14"/>
      <c r="P108" s="14"/>
      <c r="Q108" s="14"/>
      <c r="R108" s="14"/>
      <c r="S108" s="14" t="s">
        <v>346</v>
      </c>
    </row>
    <row r="111">
      <c r="F111" t="s">
        <v>347</v>
      </c>
      <c r="G111" s="19"/>
      <c r="R111" t="s">
        <v>347</v>
      </c>
      <c r="S111" s="19"/>
    </row>
    <row r="112">
      <c r="F112" t="s">
        <v>348</v>
      </c>
      <c r="G112" s="19"/>
      <c r="R112" t="s">
        <v>348</v>
      </c>
      <c r="S112" s="19"/>
    </row>
    <row r="114">
      <c r="A114" s="13" t="s">
        <v>362</v>
      </c>
      <c r="B114" s="13"/>
      <c r="C114" s="13"/>
      <c r="D114" s="13"/>
      <c r="E114" s="13"/>
      <c r="F114" s="13"/>
      <c r="G114" s="13"/>
      <c r="M114" s="13" t="s">
        <v>363</v>
      </c>
      <c r="N114" s="13"/>
      <c r="O114" s="13"/>
      <c r="P114" s="13"/>
      <c r="Q114" s="13"/>
      <c r="R114" s="13"/>
      <c r="S114" s="13"/>
    </row>
    <row r="115">
      <c r="A115" s="17" t="s">
        <v>239</v>
      </c>
      <c r="D115" s="14" t="s">
        <v>240</v>
      </c>
      <c r="G115" s="16" t="s">
        <v>241</v>
      </c>
      <c r="M115" s="17" t="s">
        <v>239</v>
      </c>
      <c r="P115" s="14" t="s">
        <v>240</v>
      </c>
      <c r="S115" s="16" t="s">
        <v>241</v>
      </c>
    </row>
    <row r="116">
      <c r="A116" s="14" t="str">
        <f>CONCATENATE("Pool P-2nd ",'Pool Matches'!G653)</f>
      </c>
      <c r="B116" s="18"/>
      <c r="C116" s="18"/>
      <c r="D116" s="18"/>
      <c r="E116" s="18"/>
      <c r="F116" s="18"/>
      <c r="G116" s="14" t="str">
        <f>CONCATENATE("Pool Q-1st ",'Pool Matches'!O40)</f>
      </c>
      <c r="M116" s="14" t="str">
        <f>CONCATENATE("Pool Q-2nd ",'Pool Matches'!O41)</f>
      </c>
      <c r="N116" s="18"/>
      <c r="O116" s="18"/>
      <c r="P116" s="18"/>
      <c r="Q116" s="18"/>
      <c r="R116" s="18"/>
      <c r="S116" s="14" t="str">
        <f>CONCATENATE("Pool P-1st ",'Pool Matches'!G652)</f>
      </c>
    </row>
    <row r="117">
      <c r="A117" s="14">
        <v>1</v>
      </c>
      <c r="B117" s="18"/>
      <c r="C117" s="18"/>
      <c r="D117" s="18"/>
      <c r="E117" s="18"/>
      <c r="F117" s="18"/>
      <c r="G117" s="14">
        <v>1</v>
      </c>
      <c r="M117" s="14">
        <v>1</v>
      </c>
      <c r="N117" s="18"/>
      <c r="O117" s="18"/>
      <c r="P117" s="18"/>
      <c r="Q117" s="18"/>
      <c r="R117" s="18"/>
      <c r="S117" s="14">
        <v>1</v>
      </c>
    </row>
    <row r="118">
      <c r="A118" s="14">
        <v>2</v>
      </c>
      <c r="B118" s="18"/>
      <c r="C118" s="18"/>
      <c r="D118" s="18"/>
      <c r="E118" s="18"/>
      <c r="F118" s="18"/>
      <c r="G118" s="14">
        <v>2</v>
      </c>
      <c r="M118" s="14">
        <v>2</v>
      </c>
      <c r="N118" s="18"/>
      <c r="O118" s="18"/>
      <c r="P118" s="18"/>
      <c r="Q118" s="18"/>
      <c r="R118" s="18"/>
      <c r="S118" s="14">
        <v>2</v>
      </c>
    </row>
    <row r="119">
      <c r="A119" s="14">
        <v>3</v>
      </c>
      <c r="B119" s="18"/>
      <c r="C119" s="18"/>
      <c r="D119" s="18"/>
      <c r="E119" s="18"/>
      <c r="F119" s="18"/>
      <c r="G119" s="14">
        <v>3</v>
      </c>
      <c r="M119" s="14">
        <v>3</v>
      </c>
      <c r="N119" s="18"/>
      <c r="O119" s="18"/>
      <c r="P119" s="18"/>
      <c r="Q119" s="18"/>
      <c r="R119" s="18"/>
      <c r="S119" s="14">
        <v>3</v>
      </c>
    </row>
    <row r="120">
      <c r="A120" s="14">
        <v>4</v>
      </c>
      <c r="B120" s="18"/>
      <c r="C120" s="18"/>
      <c r="D120" s="18"/>
      <c r="E120" s="18"/>
      <c r="F120" s="18"/>
      <c r="G120" s="14">
        <v>4</v>
      </c>
      <c r="M120" s="14">
        <v>4</v>
      </c>
      <c r="N120" s="18"/>
      <c r="O120" s="18"/>
      <c r="P120" s="18"/>
      <c r="Q120" s="18"/>
      <c r="R120" s="18"/>
      <c r="S120" s="14">
        <v>4</v>
      </c>
    </row>
    <row r="121">
      <c r="A121" s="14">
        <v>5</v>
      </c>
      <c r="B121" s="18"/>
      <c r="C121" s="18"/>
      <c r="D121" s="18"/>
      <c r="E121" s="18"/>
      <c r="F121" s="18"/>
      <c r="G121" s="14">
        <v>5</v>
      </c>
      <c r="M121" s="14">
        <v>5</v>
      </c>
      <c r="N121" s="18"/>
      <c r="O121" s="18"/>
      <c r="P121" s="18"/>
      <c r="Q121" s="18"/>
      <c r="R121" s="18"/>
      <c r="S121" s="14">
        <v>5</v>
      </c>
    </row>
    <row r="123">
      <c r="A123" s="14" t="str">
        <f>CONCATENATE("Pool P-2nd ",'Pool Matches'!G653)</f>
      </c>
      <c r="B123" s="18" t="str">
        <f>SUMPRODUCT((UPPER(D117:D121)&lt;&gt;"X")*((LEN(SUBSTITUTE(SUBSTITUTE(SUBSTITUTE(B117:B121," ",""),"0",""),"-",""))+LEN(SUBSTITUTE(SUBSTITUTE(SUBSTITUTE(C117:C121," ",""),"0",""),"-","")))&gt;(LEN(SUBSTITUTE(SUBSTITUTE(SUBSTITUTE(E117:E121," ",""),"0",""),"-",""))+LEN(SUBSTITUTE(SUBSTITUTE(SUBSTITUTE(F117:F121," ",""),"0",""),"-",""))))*1)</f>
      </c>
      <c r="C123" s="18" t="str">
        <f>SUMPRODUCT(LEN(SUBSTITUTE(SUBSTITUTE(SUBSTITUTE(B117:B121," ",""),"0",""),"-",""))+LEN(SUBSTITUTE(SUBSTITUTE(SUBSTITUTE(C117:C121," ",""),"0",""),"-","")))</f>
      </c>
      <c r="D123" s="14"/>
      <c r="E123" s="18" t="str">
        <f>SUMPRODUCT(LEN(SUBSTITUTE(SUBSTITUTE(SUBSTITUTE(E117:E121," ",""),"0",""),"-",""))+LEN(SUBSTITUTE(SUBSTITUTE(SUBSTITUTE(F117:F121," ",""),"0",""),"-","")))</f>
      </c>
      <c r="F123" s="18" t="str">
        <f>SUMPRODUCT((UPPER(D117:D121)&lt;&gt;"X")*((LEN(SUBSTITUTE(SUBSTITUTE(SUBSTITUTE(E117:E121," ",""),"0",""),"-",""))+LEN(SUBSTITUTE(SUBSTITUTE(SUBSTITUTE(F117:F121," ",""),"0",""),"-","")))&gt;(LEN(SUBSTITUTE(SUBSTITUTE(SUBSTITUTE(B117:B121," ",""),"0",""),"-",""))+LEN(SUBSTITUTE(SUBSTITUTE(SUBSTITUTE(C117:C121," ",""),"0",""),"-",""))))*1)</f>
      </c>
      <c r="G123" s="14" t="str">
        <f>CONCATENATE("Pool Q-1st ",'Pool Matches'!O40)</f>
      </c>
      <c r="M123" s="14" t="str">
        <f>CONCATENATE("Pool Q-2nd ",'Pool Matches'!O41)</f>
      </c>
      <c r="N123" s="18" t="str">
        <f>SUMPRODUCT((UPPER(P117:P121)&lt;&gt;"X")*((LEN(SUBSTITUTE(SUBSTITUTE(SUBSTITUTE(N117:N121," ",""),"0",""),"-",""))+LEN(SUBSTITUTE(SUBSTITUTE(SUBSTITUTE(O117:O121," ",""),"0",""),"-","")))&gt;(LEN(SUBSTITUTE(SUBSTITUTE(SUBSTITUTE(Q117:Q121," ",""),"0",""),"-",""))+LEN(SUBSTITUTE(SUBSTITUTE(SUBSTITUTE(R117:R121," ",""),"0",""),"-",""))))*1)</f>
      </c>
      <c r="O123" s="18" t="str">
        <f>SUMPRODUCT(LEN(SUBSTITUTE(SUBSTITUTE(SUBSTITUTE(N117:N121," ",""),"0",""),"-",""))+LEN(SUBSTITUTE(SUBSTITUTE(SUBSTITUTE(O117:O121," ",""),"0",""),"-","")))</f>
      </c>
      <c r="P123" s="14"/>
      <c r="Q123" s="18" t="str">
        <f>SUMPRODUCT(LEN(SUBSTITUTE(SUBSTITUTE(SUBSTITUTE(Q117:Q121," ",""),"0",""),"-",""))+LEN(SUBSTITUTE(SUBSTITUTE(SUBSTITUTE(R117:R121," ",""),"0",""),"-","")))</f>
      </c>
      <c r="R123" s="18" t="str">
        <f>SUMPRODUCT((UPPER(P117:P121)&lt;&gt;"X")*((LEN(SUBSTITUTE(SUBSTITUTE(SUBSTITUTE(Q117:Q121," ",""),"0",""),"-",""))+LEN(SUBSTITUTE(SUBSTITUTE(SUBSTITUTE(R117:R121," ",""),"0",""),"-","")))&gt;(LEN(SUBSTITUTE(SUBSTITUTE(SUBSTITUTE(N117:N121," ",""),"0",""),"-",""))+LEN(SUBSTITUTE(SUBSTITUTE(SUBSTITUTE(O117:O121," ",""),"0",""),"-",""))))*1)</f>
      </c>
      <c r="S123" s="14" t="str">
        <f>CONCATENATE("Pool P-1st ",'Pool Matches'!G652)</f>
      </c>
    </row>
    <row r="124">
      <c r="A124" s="14" t="s">
        <v>346</v>
      </c>
      <c r="B124" s="14"/>
      <c r="C124" s="14"/>
      <c r="D124" s="14"/>
      <c r="E124" s="14"/>
      <c r="F124" s="14"/>
      <c r="G124" s="14" t="s">
        <v>346</v>
      </c>
      <c r="M124" s="14" t="s">
        <v>346</v>
      </c>
      <c r="N124" s="14"/>
      <c r="O124" s="14"/>
      <c r="P124" s="14"/>
      <c r="Q124" s="14"/>
      <c r="R124" s="14"/>
      <c r="S124" s="14" t="s">
        <v>346</v>
      </c>
    </row>
    <row r="127">
      <c r="F127" t="s">
        <v>347</v>
      </c>
      <c r="G127" s="19"/>
      <c r="R127" t="s">
        <v>347</v>
      </c>
      <c r="S127" s="19"/>
    </row>
    <row r="128">
      <c r="F128" t="s">
        <v>348</v>
      </c>
      <c r="G128" s="19"/>
      <c r="R128" t="s">
        <v>348</v>
      </c>
      <c r="S128" s="19"/>
    </row>
    <row r="130">
      <c r="A130" s="13" t="s">
        <v>364</v>
      </c>
      <c r="B130" s="13"/>
      <c r="C130" s="13"/>
      <c r="D130" s="13"/>
      <c r="E130" s="13"/>
      <c r="F130" s="13"/>
      <c r="G130" s="13"/>
      <c r="M130" s="13" t="s">
        <v>365</v>
      </c>
      <c r="N130" s="13"/>
      <c r="O130" s="13"/>
      <c r="P130" s="13"/>
      <c r="Q130" s="13"/>
      <c r="R130" s="13"/>
      <c r="S130" s="13"/>
    </row>
    <row r="131">
      <c r="A131" s="17" t="s">
        <v>239</v>
      </c>
      <c r="D131" s="14" t="s">
        <v>240</v>
      </c>
      <c r="G131" s="16" t="s">
        <v>241</v>
      </c>
      <c r="M131" s="17" t="s">
        <v>239</v>
      </c>
      <c r="P131" s="14" t="s">
        <v>240</v>
      </c>
      <c r="S131" s="16" t="s">
        <v>241</v>
      </c>
    </row>
    <row r="132">
      <c r="A132" s="14" t="str">
        <f>CONCATENATE("Pool R-2nd ",'Pool Matches'!O83)</f>
      </c>
      <c r="B132" s="18"/>
      <c r="C132" s="18"/>
      <c r="D132" s="18"/>
      <c r="E132" s="18"/>
      <c r="F132" s="18"/>
      <c r="G132" s="14" t="str">
        <f>CONCATENATE("Pool S-1st ",'Pool Matches'!O124)</f>
      </c>
      <c r="M132" s="14" t="str">
        <f>CONCATENATE("Pool S-2nd ",'Pool Matches'!O125)</f>
      </c>
      <c r="N132" s="18"/>
      <c r="O132" s="18"/>
      <c r="P132" s="18"/>
      <c r="Q132" s="18"/>
      <c r="R132" s="18"/>
      <c r="S132" s="14" t="str">
        <f>CONCATENATE("Pool R-1st ",'Pool Matches'!O82)</f>
      </c>
    </row>
    <row r="133">
      <c r="A133" s="14">
        <v>1</v>
      </c>
      <c r="B133" s="18"/>
      <c r="C133" s="18"/>
      <c r="D133" s="18"/>
      <c r="E133" s="18"/>
      <c r="F133" s="18"/>
      <c r="G133" s="14">
        <v>1</v>
      </c>
      <c r="M133" s="14">
        <v>1</v>
      </c>
      <c r="N133" s="18"/>
      <c r="O133" s="18"/>
      <c r="P133" s="18"/>
      <c r="Q133" s="18"/>
      <c r="R133" s="18"/>
      <c r="S133" s="14">
        <v>1</v>
      </c>
    </row>
    <row r="134">
      <c r="A134" s="14">
        <v>2</v>
      </c>
      <c r="B134" s="18"/>
      <c r="C134" s="18"/>
      <c r="D134" s="18"/>
      <c r="E134" s="18"/>
      <c r="F134" s="18"/>
      <c r="G134" s="14">
        <v>2</v>
      </c>
      <c r="M134" s="14">
        <v>2</v>
      </c>
      <c r="N134" s="18"/>
      <c r="O134" s="18"/>
      <c r="P134" s="18"/>
      <c r="Q134" s="18"/>
      <c r="R134" s="18"/>
      <c r="S134" s="14">
        <v>2</v>
      </c>
    </row>
    <row r="135">
      <c r="A135" s="14">
        <v>3</v>
      </c>
      <c r="B135" s="18"/>
      <c r="C135" s="18"/>
      <c r="D135" s="18"/>
      <c r="E135" s="18"/>
      <c r="F135" s="18"/>
      <c r="G135" s="14">
        <v>3</v>
      </c>
      <c r="M135" s="14">
        <v>3</v>
      </c>
      <c r="N135" s="18"/>
      <c r="O135" s="18"/>
      <c r="P135" s="18"/>
      <c r="Q135" s="18"/>
      <c r="R135" s="18"/>
      <c r="S135" s="14">
        <v>3</v>
      </c>
    </row>
    <row r="136">
      <c r="A136" s="14">
        <v>4</v>
      </c>
      <c r="B136" s="18"/>
      <c r="C136" s="18"/>
      <c r="D136" s="18"/>
      <c r="E136" s="18"/>
      <c r="F136" s="18"/>
      <c r="G136" s="14">
        <v>4</v>
      </c>
      <c r="M136" s="14">
        <v>4</v>
      </c>
      <c r="N136" s="18"/>
      <c r="O136" s="18"/>
      <c r="P136" s="18"/>
      <c r="Q136" s="18"/>
      <c r="R136" s="18"/>
      <c r="S136" s="14">
        <v>4</v>
      </c>
    </row>
    <row r="137">
      <c r="A137" s="14">
        <v>5</v>
      </c>
      <c r="B137" s="18"/>
      <c r="C137" s="18"/>
      <c r="D137" s="18"/>
      <c r="E137" s="18"/>
      <c r="F137" s="18"/>
      <c r="G137" s="14">
        <v>5</v>
      </c>
      <c r="M137" s="14">
        <v>5</v>
      </c>
      <c r="N137" s="18"/>
      <c r="O137" s="18"/>
      <c r="P137" s="18"/>
      <c r="Q137" s="18"/>
      <c r="R137" s="18"/>
      <c r="S137" s="14">
        <v>5</v>
      </c>
    </row>
    <row r="139">
      <c r="A139" s="14" t="str">
        <f>CONCATENATE("Pool R-2nd ",'Pool Matches'!O83)</f>
      </c>
      <c r="B139" s="18" t="str">
        <f>SUMPRODUCT((UPPER(D133:D137)&lt;&gt;"X")*((LEN(SUBSTITUTE(SUBSTITUTE(SUBSTITUTE(B133:B137," ",""),"0",""),"-",""))+LEN(SUBSTITUTE(SUBSTITUTE(SUBSTITUTE(C133:C137," ",""),"0",""),"-","")))&gt;(LEN(SUBSTITUTE(SUBSTITUTE(SUBSTITUTE(E133:E137," ",""),"0",""),"-",""))+LEN(SUBSTITUTE(SUBSTITUTE(SUBSTITUTE(F133:F137," ",""),"0",""),"-",""))))*1)</f>
      </c>
      <c r="C139" s="18" t="str">
        <f>SUMPRODUCT(LEN(SUBSTITUTE(SUBSTITUTE(SUBSTITUTE(B133:B137," ",""),"0",""),"-",""))+LEN(SUBSTITUTE(SUBSTITUTE(SUBSTITUTE(C133:C137," ",""),"0",""),"-","")))</f>
      </c>
      <c r="D139" s="14"/>
      <c r="E139" s="18" t="str">
        <f>SUMPRODUCT(LEN(SUBSTITUTE(SUBSTITUTE(SUBSTITUTE(E133:E137," ",""),"0",""),"-",""))+LEN(SUBSTITUTE(SUBSTITUTE(SUBSTITUTE(F133:F137," ",""),"0",""),"-","")))</f>
      </c>
      <c r="F139" s="18" t="str">
        <f>SUMPRODUCT((UPPER(D133:D137)&lt;&gt;"X")*((LEN(SUBSTITUTE(SUBSTITUTE(SUBSTITUTE(E133:E137," ",""),"0",""),"-",""))+LEN(SUBSTITUTE(SUBSTITUTE(SUBSTITUTE(F133:F137," ",""),"0",""),"-","")))&gt;(LEN(SUBSTITUTE(SUBSTITUTE(SUBSTITUTE(B133:B137," ",""),"0",""),"-",""))+LEN(SUBSTITUTE(SUBSTITUTE(SUBSTITUTE(C133:C137," ",""),"0",""),"-",""))))*1)</f>
      </c>
      <c r="G139" s="14" t="str">
        <f>CONCATENATE("Pool S-1st ",'Pool Matches'!O124)</f>
      </c>
      <c r="M139" s="14" t="str">
        <f>CONCATENATE("Pool S-2nd ",'Pool Matches'!O125)</f>
      </c>
      <c r="N139" s="18" t="str">
        <f>SUMPRODUCT((UPPER(P133:P137)&lt;&gt;"X")*((LEN(SUBSTITUTE(SUBSTITUTE(SUBSTITUTE(N133:N137," ",""),"0",""),"-",""))+LEN(SUBSTITUTE(SUBSTITUTE(SUBSTITUTE(O133:O137," ",""),"0",""),"-","")))&gt;(LEN(SUBSTITUTE(SUBSTITUTE(SUBSTITUTE(Q133:Q137," ",""),"0",""),"-",""))+LEN(SUBSTITUTE(SUBSTITUTE(SUBSTITUTE(R133:R137," ",""),"0",""),"-",""))))*1)</f>
      </c>
      <c r="O139" s="18" t="str">
        <f>SUMPRODUCT(LEN(SUBSTITUTE(SUBSTITUTE(SUBSTITUTE(N133:N137," ",""),"0",""),"-",""))+LEN(SUBSTITUTE(SUBSTITUTE(SUBSTITUTE(O133:O137," ",""),"0",""),"-","")))</f>
      </c>
      <c r="P139" s="14"/>
      <c r="Q139" s="18" t="str">
        <f>SUMPRODUCT(LEN(SUBSTITUTE(SUBSTITUTE(SUBSTITUTE(Q133:Q137," ",""),"0",""),"-",""))+LEN(SUBSTITUTE(SUBSTITUTE(SUBSTITUTE(R133:R137," ",""),"0",""),"-","")))</f>
      </c>
      <c r="R139" s="18" t="str">
        <f>SUMPRODUCT((UPPER(P133:P137)&lt;&gt;"X")*((LEN(SUBSTITUTE(SUBSTITUTE(SUBSTITUTE(Q133:Q137," ",""),"0",""),"-",""))+LEN(SUBSTITUTE(SUBSTITUTE(SUBSTITUTE(R133:R137," ",""),"0",""),"-","")))&gt;(LEN(SUBSTITUTE(SUBSTITUTE(SUBSTITUTE(N133:N137," ",""),"0",""),"-",""))+LEN(SUBSTITUTE(SUBSTITUTE(SUBSTITUTE(O133:O137," ",""),"0",""),"-",""))))*1)</f>
      </c>
      <c r="S139" s="14" t="str">
        <f>CONCATENATE("Pool R-1st ",'Pool Matches'!O82)</f>
      </c>
    </row>
    <row r="140">
      <c r="A140" s="14" t="s">
        <v>346</v>
      </c>
      <c r="B140" s="14"/>
      <c r="C140" s="14"/>
      <c r="D140" s="14"/>
      <c r="E140" s="14"/>
      <c r="F140" s="14"/>
      <c r="G140" s="14" t="s">
        <v>346</v>
      </c>
      <c r="M140" s="14" t="s">
        <v>346</v>
      </c>
      <c r="N140" s="14"/>
      <c r="O140" s="14"/>
      <c r="P140" s="14"/>
      <c r="Q140" s="14"/>
      <c r="R140" s="14"/>
      <c r="S140" s="14" t="s">
        <v>346</v>
      </c>
    </row>
    <row r="143">
      <c r="F143" t="s">
        <v>347</v>
      </c>
      <c r="G143" s="19"/>
      <c r="R143" t="s">
        <v>347</v>
      </c>
      <c r="S143" s="19"/>
    </row>
    <row r="144">
      <c r="F144" t="s">
        <v>348</v>
      </c>
      <c r="G144" s="19"/>
      <c r="R144" t="s">
        <v>348</v>
      </c>
      <c r="S144" s="19"/>
    </row>
    <row r="146">
      <c r="A146" s="13" t="s">
        <v>366</v>
      </c>
      <c r="B146" s="13"/>
      <c r="C146" s="13"/>
      <c r="D146" s="13"/>
      <c r="E146" s="13"/>
      <c r="F146" s="13"/>
      <c r="G146" s="13"/>
      <c r="M146" s="13" t="s">
        <v>367</v>
      </c>
      <c r="N146" s="13"/>
      <c r="O146" s="13"/>
      <c r="P146" s="13"/>
      <c r="Q146" s="13"/>
      <c r="R146" s="13"/>
      <c r="S146" s="13"/>
    </row>
    <row r="147">
      <c r="A147" s="17" t="s">
        <v>239</v>
      </c>
      <c r="D147" s="14" t="s">
        <v>240</v>
      </c>
      <c r="G147" s="16" t="s">
        <v>241</v>
      </c>
      <c r="M147" s="17" t="s">
        <v>239</v>
      </c>
      <c r="P147" s="14" t="s">
        <v>240</v>
      </c>
      <c r="S147" s="16" t="s">
        <v>241</v>
      </c>
    </row>
    <row r="148">
      <c r="A148" s="14" t="str">
        <f>CONCATENATE("Pool T-2nd ",'Pool Matches'!O167)</f>
      </c>
      <c r="B148" s="18"/>
      <c r="C148" s="18"/>
      <c r="D148" s="18"/>
      <c r="E148" s="18"/>
      <c r="F148" s="18"/>
      <c r="G148" s="14" t="str">
        <f>CONCATENATE("Pool U-1st ",'Pool Matches'!O208)</f>
      </c>
      <c r="M148" s="14" t="str">
        <f>CONCATENATE("Pool U-2nd ",'Pool Matches'!O209)</f>
      </c>
      <c r="N148" s="18"/>
      <c r="O148" s="18"/>
      <c r="P148" s="18"/>
      <c r="Q148" s="18"/>
      <c r="R148" s="18"/>
      <c r="S148" s="14" t="str">
        <f>CONCATENATE("Pool T-1st ",'Pool Matches'!O166)</f>
      </c>
    </row>
    <row r="149">
      <c r="A149" s="14">
        <v>1</v>
      </c>
      <c r="B149" s="18"/>
      <c r="C149" s="18"/>
      <c r="D149" s="18"/>
      <c r="E149" s="18"/>
      <c r="F149" s="18"/>
      <c r="G149" s="14">
        <v>1</v>
      </c>
      <c r="M149" s="14">
        <v>1</v>
      </c>
      <c r="N149" s="18"/>
      <c r="O149" s="18"/>
      <c r="P149" s="18"/>
      <c r="Q149" s="18"/>
      <c r="R149" s="18"/>
      <c r="S149" s="14">
        <v>1</v>
      </c>
    </row>
    <row r="150">
      <c r="A150" s="14">
        <v>2</v>
      </c>
      <c r="B150" s="18"/>
      <c r="C150" s="18"/>
      <c r="D150" s="18"/>
      <c r="E150" s="18"/>
      <c r="F150" s="18"/>
      <c r="G150" s="14">
        <v>2</v>
      </c>
      <c r="M150" s="14">
        <v>2</v>
      </c>
      <c r="N150" s="18"/>
      <c r="O150" s="18"/>
      <c r="P150" s="18"/>
      <c r="Q150" s="18"/>
      <c r="R150" s="18"/>
      <c r="S150" s="14">
        <v>2</v>
      </c>
    </row>
    <row r="151">
      <c r="A151" s="14">
        <v>3</v>
      </c>
      <c r="B151" s="18"/>
      <c r="C151" s="18"/>
      <c r="D151" s="18"/>
      <c r="E151" s="18"/>
      <c r="F151" s="18"/>
      <c r="G151" s="14">
        <v>3</v>
      </c>
      <c r="M151" s="14">
        <v>3</v>
      </c>
      <c r="N151" s="18"/>
      <c r="O151" s="18"/>
      <c r="P151" s="18"/>
      <c r="Q151" s="18"/>
      <c r="R151" s="18"/>
      <c r="S151" s="14">
        <v>3</v>
      </c>
    </row>
    <row r="152">
      <c r="A152" s="14">
        <v>4</v>
      </c>
      <c r="B152" s="18"/>
      <c r="C152" s="18"/>
      <c r="D152" s="18"/>
      <c r="E152" s="18"/>
      <c r="F152" s="18"/>
      <c r="G152" s="14">
        <v>4</v>
      </c>
      <c r="M152" s="14">
        <v>4</v>
      </c>
      <c r="N152" s="18"/>
      <c r="O152" s="18"/>
      <c r="P152" s="18"/>
      <c r="Q152" s="18"/>
      <c r="R152" s="18"/>
      <c r="S152" s="14">
        <v>4</v>
      </c>
    </row>
    <row r="153">
      <c r="A153" s="14">
        <v>5</v>
      </c>
      <c r="B153" s="18"/>
      <c r="C153" s="18"/>
      <c r="D153" s="18"/>
      <c r="E153" s="18"/>
      <c r="F153" s="18"/>
      <c r="G153" s="14">
        <v>5</v>
      </c>
      <c r="M153" s="14">
        <v>5</v>
      </c>
      <c r="N153" s="18"/>
      <c r="O153" s="18"/>
      <c r="P153" s="18"/>
      <c r="Q153" s="18"/>
      <c r="R153" s="18"/>
      <c r="S153" s="14">
        <v>5</v>
      </c>
    </row>
    <row r="155">
      <c r="A155" s="14" t="str">
        <f>CONCATENATE("Pool T-2nd ",'Pool Matches'!O167)</f>
      </c>
      <c r="B155" s="18" t="str">
        <f>SUMPRODUCT((UPPER(D149:D153)&lt;&gt;"X")*((LEN(SUBSTITUTE(SUBSTITUTE(SUBSTITUTE(B149:B153," ",""),"0",""),"-",""))+LEN(SUBSTITUTE(SUBSTITUTE(SUBSTITUTE(C149:C153," ",""),"0",""),"-","")))&gt;(LEN(SUBSTITUTE(SUBSTITUTE(SUBSTITUTE(E149:E153," ",""),"0",""),"-",""))+LEN(SUBSTITUTE(SUBSTITUTE(SUBSTITUTE(F149:F153," ",""),"0",""),"-",""))))*1)</f>
      </c>
      <c r="C155" s="18" t="str">
        <f>SUMPRODUCT(LEN(SUBSTITUTE(SUBSTITUTE(SUBSTITUTE(B149:B153," ",""),"0",""),"-",""))+LEN(SUBSTITUTE(SUBSTITUTE(SUBSTITUTE(C149:C153," ",""),"0",""),"-","")))</f>
      </c>
      <c r="D155" s="14"/>
      <c r="E155" s="18" t="str">
        <f>SUMPRODUCT(LEN(SUBSTITUTE(SUBSTITUTE(SUBSTITUTE(E149:E153," ",""),"0",""),"-",""))+LEN(SUBSTITUTE(SUBSTITUTE(SUBSTITUTE(F149:F153," ",""),"0",""),"-","")))</f>
      </c>
      <c r="F155" s="18" t="str">
        <f>SUMPRODUCT((UPPER(D149:D153)&lt;&gt;"X")*((LEN(SUBSTITUTE(SUBSTITUTE(SUBSTITUTE(E149:E153," ",""),"0",""),"-",""))+LEN(SUBSTITUTE(SUBSTITUTE(SUBSTITUTE(F149:F153," ",""),"0",""),"-","")))&gt;(LEN(SUBSTITUTE(SUBSTITUTE(SUBSTITUTE(B149:B153," ",""),"0",""),"-",""))+LEN(SUBSTITUTE(SUBSTITUTE(SUBSTITUTE(C149:C153," ",""),"0",""),"-",""))))*1)</f>
      </c>
      <c r="G155" s="14" t="str">
        <f>CONCATENATE("Pool U-1st ",'Pool Matches'!O208)</f>
      </c>
      <c r="M155" s="14" t="str">
        <f>CONCATENATE("Pool U-2nd ",'Pool Matches'!O209)</f>
      </c>
      <c r="N155" s="18" t="str">
        <f>SUMPRODUCT((UPPER(P149:P153)&lt;&gt;"X")*((LEN(SUBSTITUTE(SUBSTITUTE(SUBSTITUTE(N149:N153," ",""),"0",""),"-",""))+LEN(SUBSTITUTE(SUBSTITUTE(SUBSTITUTE(O149:O153," ",""),"0",""),"-","")))&gt;(LEN(SUBSTITUTE(SUBSTITUTE(SUBSTITUTE(Q149:Q153," ",""),"0",""),"-",""))+LEN(SUBSTITUTE(SUBSTITUTE(SUBSTITUTE(R149:R153," ",""),"0",""),"-",""))))*1)</f>
      </c>
      <c r="O155" s="18" t="str">
        <f>SUMPRODUCT(LEN(SUBSTITUTE(SUBSTITUTE(SUBSTITUTE(N149:N153," ",""),"0",""),"-",""))+LEN(SUBSTITUTE(SUBSTITUTE(SUBSTITUTE(O149:O153," ",""),"0",""),"-","")))</f>
      </c>
      <c r="P155" s="14"/>
      <c r="Q155" s="18" t="str">
        <f>SUMPRODUCT(LEN(SUBSTITUTE(SUBSTITUTE(SUBSTITUTE(Q149:Q153," ",""),"0",""),"-",""))+LEN(SUBSTITUTE(SUBSTITUTE(SUBSTITUTE(R149:R153," ",""),"0",""),"-","")))</f>
      </c>
      <c r="R155" s="18" t="str">
        <f>SUMPRODUCT((UPPER(P149:P153)&lt;&gt;"X")*((LEN(SUBSTITUTE(SUBSTITUTE(SUBSTITUTE(Q149:Q153," ",""),"0",""),"-",""))+LEN(SUBSTITUTE(SUBSTITUTE(SUBSTITUTE(R149:R153," ",""),"0",""),"-","")))&gt;(LEN(SUBSTITUTE(SUBSTITUTE(SUBSTITUTE(N149:N153," ",""),"0",""),"-",""))+LEN(SUBSTITUTE(SUBSTITUTE(SUBSTITUTE(O149:O153," ",""),"0",""),"-",""))))*1)</f>
      </c>
      <c r="S155" s="14" t="str">
        <f>CONCATENATE("Pool T-1st ",'Pool Matches'!O166)</f>
      </c>
    </row>
    <row r="156">
      <c r="A156" s="14" t="s">
        <v>346</v>
      </c>
      <c r="B156" s="14"/>
      <c r="C156" s="14"/>
      <c r="D156" s="14"/>
      <c r="E156" s="14"/>
      <c r="F156" s="14"/>
      <c r="G156" s="14" t="s">
        <v>346</v>
      </c>
      <c r="M156" s="14" t="s">
        <v>346</v>
      </c>
      <c r="N156" s="14"/>
      <c r="O156" s="14"/>
      <c r="P156" s="14"/>
      <c r="Q156" s="14"/>
      <c r="R156" s="14"/>
      <c r="S156" s="14" t="s">
        <v>346</v>
      </c>
    </row>
    <row r="159">
      <c r="F159" t="s">
        <v>347</v>
      </c>
      <c r="G159" s="19"/>
      <c r="R159" t="s">
        <v>347</v>
      </c>
      <c r="S159" s="19"/>
    </row>
    <row r="160">
      <c r="F160" t="s">
        <v>348</v>
      </c>
      <c r="G160" s="19"/>
      <c r="R160" t="s">
        <v>348</v>
      </c>
      <c r="S160" s="19"/>
    </row>
    <row r="162">
      <c r="A162" s="13" t="s">
        <v>368</v>
      </c>
      <c r="B162" s="13"/>
      <c r="C162" s="13"/>
      <c r="D162" s="13"/>
      <c r="E162" s="13"/>
      <c r="F162" s="13"/>
      <c r="G162" s="13"/>
      <c r="M162" s="13" t="s">
        <v>369</v>
      </c>
      <c r="N162" s="13"/>
      <c r="O162" s="13"/>
      <c r="P162" s="13"/>
      <c r="Q162" s="13"/>
      <c r="R162" s="13"/>
      <c r="S162" s="13"/>
    </row>
    <row r="163">
      <c r="A163" s="17" t="s">
        <v>239</v>
      </c>
      <c r="D163" s="14" t="s">
        <v>240</v>
      </c>
      <c r="G163" s="16" t="s">
        <v>241</v>
      </c>
      <c r="M163" s="17" t="s">
        <v>239</v>
      </c>
      <c r="P163" s="14" t="s">
        <v>240</v>
      </c>
      <c r="S163" s="16" t="s">
        <v>241</v>
      </c>
    </row>
    <row r="164">
      <c r="A164" s="14" t="str">
        <f>CONCATENATE("Pool V-2nd ",'Pool Matches'!O251)</f>
      </c>
      <c r="B164" s="18"/>
      <c r="C164" s="18"/>
      <c r="D164" s="18"/>
      <c r="E164" s="18"/>
      <c r="F164" s="18"/>
      <c r="G164" s="14" t="str">
        <f>CONCATENATE("Pool W-1st ",'Pool Matches'!O292)</f>
      </c>
      <c r="M164" s="14" t="str">
        <f>CONCATENATE("Pool W-2nd ",'Pool Matches'!O293)</f>
      </c>
      <c r="N164" s="18"/>
      <c r="O164" s="18"/>
      <c r="P164" s="18"/>
      <c r="Q164" s="18"/>
      <c r="R164" s="18"/>
      <c r="S164" s="14" t="str">
        <f>CONCATENATE("Pool V-1st ",'Pool Matches'!O250)</f>
      </c>
    </row>
    <row r="165">
      <c r="A165" s="14">
        <v>1</v>
      </c>
      <c r="B165" s="18"/>
      <c r="C165" s="18"/>
      <c r="D165" s="18"/>
      <c r="E165" s="18"/>
      <c r="F165" s="18"/>
      <c r="G165" s="14">
        <v>1</v>
      </c>
      <c r="M165" s="14">
        <v>1</v>
      </c>
      <c r="N165" s="18"/>
      <c r="O165" s="18"/>
      <c r="P165" s="18"/>
      <c r="Q165" s="18"/>
      <c r="R165" s="18"/>
      <c r="S165" s="14">
        <v>1</v>
      </c>
    </row>
    <row r="166">
      <c r="A166" s="14">
        <v>2</v>
      </c>
      <c r="B166" s="18"/>
      <c r="C166" s="18"/>
      <c r="D166" s="18"/>
      <c r="E166" s="18"/>
      <c r="F166" s="18"/>
      <c r="G166" s="14">
        <v>2</v>
      </c>
      <c r="M166" s="14">
        <v>2</v>
      </c>
      <c r="N166" s="18"/>
      <c r="O166" s="18"/>
      <c r="P166" s="18"/>
      <c r="Q166" s="18"/>
      <c r="R166" s="18"/>
      <c r="S166" s="14">
        <v>2</v>
      </c>
    </row>
    <row r="167">
      <c r="A167" s="14">
        <v>3</v>
      </c>
      <c r="B167" s="18"/>
      <c r="C167" s="18"/>
      <c r="D167" s="18"/>
      <c r="E167" s="18"/>
      <c r="F167" s="18"/>
      <c r="G167" s="14">
        <v>3</v>
      </c>
      <c r="M167" s="14">
        <v>3</v>
      </c>
      <c r="N167" s="18"/>
      <c r="O167" s="18"/>
      <c r="P167" s="18"/>
      <c r="Q167" s="18"/>
      <c r="R167" s="18"/>
      <c r="S167" s="14">
        <v>3</v>
      </c>
    </row>
    <row r="168">
      <c r="A168" s="14">
        <v>4</v>
      </c>
      <c r="B168" s="18"/>
      <c r="C168" s="18"/>
      <c r="D168" s="18"/>
      <c r="E168" s="18"/>
      <c r="F168" s="18"/>
      <c r="G168" s="14">
        <v>4</v>
      </c>
      <c r="M168" s="14">
        <v>4</v>
      </c>
      <c r="N168" s="18"/>
      <c r="O168" s="18"/>
      <c r="P168" s="18"/>
      <c r="Q168" s="18"/>
      <c r="R168" s="18"/>
      <c r="S168" s="14">
        <v>4</v>
      </c>
    </row>
    <row r="169">
      <c r="A169" s="14">
        <v>5</v>
      </c>
      <c r="B169" s="18"/>
      <c r="C169" s="18"/>
      <c r="D169" s="18"/>
      <c r="E169" s="18"/>
      <c r="F169" s="18"/>
      <c r="G169" s="14">
        <v>5</v>
      </c>
      <c r="M169" s="14">
        <v>5</v>
      </c>
      <c r="N169" s="18"/>
      <c r="O169" s="18"/>
      <c r="P169" s="18"/>
      <c r="Q169" s="18"/>
      <c r="R169" s="18"/>
      <c r="S169" s="14">
        <v>5</v>
      </c>
    </row>
    <row r="171">
      <c r="A171" s="14" t="str">
        <f>CONCATENATE("Pool V-2nd ",'Pool Matches'!O251)</f>
      </c>
      <c r="B171" s="18" t="str">
        <f>SUMPRODUCT((UPPER(D165:D169)&lt;&gt;"X")*((LEN(SUBSTITUTE(SUBSTITUTE(SUBSTITUTE(B165:B169," ",""),"0",""),"-",""))+LEN(SUBSTITUTE(SUBSTITUTE(SUBSTITUTE(C165:C169," ",""),"0",""),"-","")))&gt;(LEN(SUBSTITUTE(SUBSTITUTE(SUBSTITUTE(E165:E169," ",""),"0",""),"-",""))+LEN(SUBSTITUTE(SUBSTITUTE(SUBSTITUTE(F165:F169," ",""),"0",""),"-",""))))*1)</f>
      </c>
      <c r="C171" s="18" t="str">
        <f>SUMPRODUCT(LEN(SUBSTITUTE(SUBSTITUTE(SUBSTITUTE(B165:B169," ",""),"0",""),"-",""))+LEN(SUBSTITUTE(SUBSTITUTE(SUBSTITUTE(C165:C169," ",""),"0",""),"-","")))</f>
      </c>
      <c r="D171" s="14"/>
      <c r="E171" s="18" t="str">
        <f>SUMPRODUCT(LEN(SUBSTITUTE(SUBSTITUTE(SUBSTITUTE(E165:E169," ",""),"0",""),"-",""))+LEN(SUBSTITUTE(SUBSTITUTE(SUBSTITUTE(F165:F169," ",""),"0",""),"-","")))</f>
      </c>
      <c r="F171" s="18" t="str">
        <f>SUMPRODUCT((UPPER(D165:D169)&lt;&gt;"X")*((LEN(SUBSTITUTE(SUBSTITUTE(SUBSTITUTE(E165:E169," ",""),"0",""),"-",""))+LEN(SUBSTITUTE(SUBSTITUTE(SUBSTITUTE(F165:F169," ",""),"0",""),"-","")))&gt;(LEN(SUBSTITUTE(SUBSTITUTE(SUBSTITUTE(B165:B169," ",""),"0",""),"-",""))+LEN(SUBSTITUTE(SUBSTITUTE(SUBSTITUTE(C165:C169," ",""),"0",""),"-",""))))*1)</f>
      </c>
      <c r="G171" s="14" t="str">
        <f>CONCATENATE("Pool W-1st ",'Pool Matches'!O292)</f>
      </c>
      <c r="M171" s="14" t="str">
        <f>CONCATENATE("Pool W-2nd ",'Pool Matches'!O293)</f>
      </c>
      <c r="N171" s="18" t="str">
        <f>SUMPRODUCT((UPPER(P165:P169)&lt;&gt;"X")*((LEN(SUBSTITUTE(SUBSTITUTE(SUBSTITUTE(N165:N169," ",""),"0",""),"-",""))+LEN(SUBSTITUTE(SUBSTITUTE(SUBSTITUTE(O165:O169," ",""),"0",""),"-","")))&gt;(LEN(SUBSTITUTE(SUBSTITUTE(SUBSTITUTE(Q165:Q169," ",""),"0",""),"-",""))+LEN(SUBSTITUTE(SUBSTITUTE(SUBSTITUTE(R165:R169," ",""),"0",""),"-",""))))*1)</f>
      </c>
      <c r="O171" s="18" t="str">
        <f>SUMPRODUCT(LEN(SUBSTITUTE(SUBSTITUTE(SUBSTITUTE(N165:N169," ",""),"0",""),"-",""))+LEN(SUBSTITUTE(SUBSTITUTE(SUBSTITUTE(O165:O169," ",""),"0",""),"-","")))</f>
      </c>
      <c r="P171" s="14"/>
      <c r="Q171" s="18" t="str">
        <f>SUMPRODUCT(LEN(SUBSTITUTE(SUBSTITUTE(SUBSTITUTE(Q165:Q169," ",""),"0",""),"-",""))+LEN(SUBSTITUTE(SUBSTITUTE(SUBSTITUTE(R165:R169," ",""),"0",""),"-","")))</f>
      </c>
      <c r="R171" s="18" t="str">
        <f>SUMPRODUCT((UPPER(P165:P169)&lt;&gt;"X")*((LEN(SUBSTITUTE(SUBSTITUTE(SUBSTITUTE(Q165:Q169," ",""),"0",""),"-",""))+LEN(SUBSTITUTE(SUBSTITUTE(SUBSTITUTE(R165:R169," ",""),"0",""),"-","")))&gt;(LEN(SUBSTITUTE(SUBSTITUTE(SUBSTITUTE(N165:N169," ",""),"0",""),"-",""))+LEN(SUBSTITUTE(SUBSTITUTE(SUBSTITUTE(O165:O169," ",""),"0",""),"-",""))))*1)</f>
      </c>
      <c r="S171" s="14" t="str">
        <f>CONCATENATE("Pool V-1st ",'Pool Matches'!O250)</f>
      </c>
    </row>
    <row r="172">
      <c r="A172" s="14" t="s">
        <v>346</v>
      </c>
      <c r="B172" s="14"/>
      <c r="C172" s="14"/>
      <c r="D172" s="14"/>
      <c r="E172" s="14"/>
      <c r="F172" s="14"/>
      <c r="G172" s="14" t="s">
        <v>346</v>
      </c>
      <c r="M172" s="14" t="s">
        <v>346</v>
      </c>
      <c r="N172" s="14"/>
      <c r="O172" s="14"/>
      <c r="P172" s="14"/>
      <c r="Q172" s="14"/>
      <c r="R172" s="14"/>
      <c r="S172" s="14" t="s">
        <v>346</v>
      </c>
    </row>
    <row r="175">
      <c r="F175" t="s">
        <v>347</v>
      </c>
      <c r="G175" s="19"/>
      <c r="R175" t="s">
        <v>347</v>
      </c>
      <c r="S175" s="19"/>
    </row>
    <row r="176">
      <c r="F176" t="s">
        <v>348</v>
      </c>
      <c r="G176" s="19"/>
      <c r="R176" t="s">
        <v>348</v>
      </c>
      <c r="S176" s="19"/>
    </row>
    <row r="178">
      <c r="A178" s="13" t="s">
        <v>370</v>
      </c>
      <c r="B178" s="13"/>
      <c r="C178" s="13"/>
      <c r="D178" s="13"/>
      <c r="E178" s="13"/>
      <c r="F178" s="13"/>
      <c r="G178" s="13"/>
      <c r="M178" s="13" t="s">
        <v>371</v>
      </c>
      <c r="N178" s="13"/>
      <c r="O178" s="13"/>
      <c r="P178" s="13"/>
      <c r="Q178" s="13"/>
      <c r="R178" s="13"/>
      <c r="S178" s="13"/>
    </row>
    <row r="179">
      <c r="A179" s="17" t="s">
        <v>239</v>
      </c>
      <c r="D179" s="14" t="s">
        <v>240</v>
      </c>
      <c r="G179" s="16" t="s">
        <v>241</v>
      </c>
      <c r="M179" s="17" t="s">
        <v>239</v>
      </c>
      <c r="P179" s="14" t="s">
        <v>240</v>
      </c>
      <c r="S179" s="16" t="s">
        <v>241</v>
      </c>
    </row>
    <row r="180">
      <c r="A180" s="14" t="str">
        <f>CONCATENATE("Pool X-2nd ",'Pool Matches'!O335)</f>
      </c>
      <c r="B180" s="18"/>
      <c r="C180" s="18"/>
      <c r="D180" s="18"/>
      <c r="E180" s="18"/>
      <c r="F180" s="18"/>
      <c r="G180" s="14" t="str">
        <f>CONCATENATE("Pool Y-1st ",'Pool Matches'!O376)</f>
      </c>
      <c r="M180" s="14" t="str">
        <f>CONCATENATE("Pool Y-2nd ",'Pool Matches'!O377)</f>
      </c>
      <c r="N180" s="18"/>
      <c r="O180" s="18"/>
      <c r="P180" s="18"/>
      <c r="Q180" s="18"/>
      <c r="R180" s="18"/>
      <c r="S180" s="14" t="str">
        <f>CONCATENATE("Pool X-1st ",'Pool Matches'!O334)</f>
      </c>
    </row>
    <row r="181">
      <c r="A181" s="14">
        <v>1</v>
      </c>
      <c r="B181" s="18"/>
      <c r="C181" s="18"/>
      <c r="D181" s="18"/>
      <c r="E181" s="18"/>
      <c r="F181" s="18"/>
      <c r="G181" s="14">
        <v>1</v>
      </c>
      <c r="M181" s="14">
        <v>1</v>
      </c>
      <c r="N181" s="18"/>
      <c r="O181" s="18"/>
      <c r="P181" s="18"/>
      <c r="Q181" s="18"/>
      <c r="R181" s="18"/>
      <c r="S181" s="14">
        <v>1</v>
      </c>
    </row>
    <row r="182">
      <c r="A182" s="14">
        <v>2</v>
      </c>
      <c r="B182" s="18"/>
      <c r="C182" s="18"/>
      <c r="D182" s="18"/>
      <c r="E182" s="18"/>
      <c r="F182" s="18"/>
      <c r="G182" s="14">
        <v>2</v>
      </c>
      <c r="M182" s="14">
        <v>2</v>
      </c>
      <c r="N182" s="18"/>
      <c r="O182" s="18"/>
      <c r="P182" s="18"/>
      <c r="Q182" s="18"/>
      <c r="R182" s="18"/>
      <c r="S182" s="14">
        <v>2</v>
      </c>
    </row>
    <row r="183">
      <c r="A183" s="14">
        <v>3</v>
      </c>
      <c r="B183" s="18"/>
      <c r="C183" s="18"/>
      <c r="D183" s="18"/>
      <c r="E183" s="18"/>
      <c r="F183" s="18"/>
      <c r="G183" s="14">
        <v>3</v>
      </c>
      <c r="M183" s="14">
        <v>3</v>
      </c>
      <c r="N183" s="18"/>
      <c r="O183" s="18"/>
      <c r="P183" s="18"/>
      <c r="Q183" s="18"/>
      <c r="R183" s="18"/>
      <c r="S183" s="14">
        <v>3</v>
      </c>
    </row>
    <row r="184">
      <c r="A184" s="14">
        <v>4</v>
      </c>
      <c r="B184" s="18"/>
      <c r="C184" s="18"/>
      <c r="D184" s="18"/>
      <c r="E184" s="18"/>
      <c r="F184" s="18"/>
      <c r="G184" s="14">
        <v>4</v>
      </c>
      <c r="M184" s="14">
        <v>4</v>
      </c>
      <c r="N184" s="18"/>
      <c r="O184" s="18"/>
      <c r="P184" s="18"/>
      <c r="Q184" s="18"/>
      <c r="R184" s="18"/>
      <c r="S184" s="14">
        <v>4</v>
      </c>
    </row>
    <row r="185">
      <c r="A185" s="14">
        <v>5</v>
      </c>
      <c r="B185" s="18"/>
      <c r="C185" s="18"/>
      <c r="D185" s="18"/>
      <c r="E185" s="18"/>
      <c r="F185" s="18"/>
      <c r="G185" s="14">
        <v>5</v>
      </c>
      <c r="M185" s="14">
        <v>5</v>
      </c>
      <c r="N185" s="18"/>
      <c r="O185" s="18"/>
      <c r="P185" s="18"/>
      <c r="Q185" s="18"/>
      <c r="R185" s="18"/>
      <c r="S185" s="14">
        <v>5</v>
      </c>
    </row>
    <row r="187">
      <c r="A187" s="14" t="str">
        <f>CONCATENATE("Pool X-2nd ",'Pool Matches'!O335)</f>
      </c>
      <c r="B187" s="18" t="str">
        <f>SUMPRODUCT((UPPER(D181:D185)&lt;&gt;"X")*((LEN(SUBSTITUTE(SUBSTITUTE(SUBSTITUTE(B181:B185," ",""),"0",""),"-",""))+LEN(SUBSTITUTE(SUBSTITUTE(SUBSTITUTE(C181:C185," ",""),"0",""),"-","")))&gt;(LEN(SUBSTITUTE(SUBSTITUTE(SUBSTITUTE(E181:E185," ",""),"0",""),"-",""))+LEN(SUBSTITUTE(SUBSTITUTE(SUBSTITUTE(F181:F185," ",""),"0",""),"-",""))))*1)</f>
      </c>
      <c r="C187" s="18" t="str">
        <f>SUMPRODUCT(LEN(SUBSTITUTE(SUBSTITUTE(SUBSTITUTE(B181:B185," ",""),"0",""),"-",""))+LEN(SUBSTITUTE(SUBSTITUTE(SUBSTITUTE(C181:C185," ",""),"0",""),"-","")))</f>
      </c>
      <c r="D187" s="14"/>
      <c r="E187" s="18" t="str">
        <f>SUMPRODUCT(LEN(SUBSTITUTE(SUBSTITUTE(SUBSTITUTE(E181:E185," ",""),"0",""),"-",""))+LEN(SUBSTITUTE(SUBSTITUTE(SUBSTITUTE(F181:F185," ",""),"0",""),"-","")))</f>
      </c>
      <c r="F187" s="18" t="str">
        <f>SUMPRODUCT((UPPER(D181:D185)&lt;&gt;"X")*((LEN(SUBSTITUTE(SUBSTITUTE(SUBSTITUTE(E181:E185," ",""),"0",""),"-",""))+LEN(SUBSTITUTE(SUBSTITUTE(SUBSTITUTE(F181:F185," ",""),"0",""),"-","")))&gt;(LEN(SUBSTITUTE(SUBSTITUTE(SUBSTITUTE(B181:B185," ",""),"0",""),"-",""))+LEN(SUBSTITUTE(SUBSTITUTE(SUBSTITUTE(C181:C185," ",""),"0",""),"-",""))))*1)</f>
      </c>
      <c r="G187" s="14" t="str">
        <f>CONCATENATE("Pool Y-1st ",'Pool Matches'!O376)</f>
      </c>
      <c r="M187" s="14" t="str">
        <f>CONCATENATE("Pool Y-2nd ",'Pool Matches'!O377)</f>
      </c>
      <c r="N187" s="18" t="str">
        <f>SUMPRODUCT((UPPER(P181:P185)&lt;&gt;"X")*((LEN(SUBSTITUTE(SUBSTITUTE(SUBSTITUTE(N181:N185," ",""),"0",""),"-",""))+LEN(SUBSTITUTE(SUBSTITUTE(SUBSTITUTE(O181:O185," ",""),"0",""),"-","")))&gt;(LEN(SUBSTITUTE(SUBSTITUTE(SUBSTITUTE(Q181:Q185," ",""),"0",""),"-",""))+LEN(SUBSTITUTE(SUBSTITUTE(SUBSTITUTE(R181:R185," ",""),"0",""),"-",""))))*1)</f>
      </c>
      <c r="O187" s="18" t="str">
        <f>SUMPRODUCT(LEN(SUBSTITUTE(SUBSTITUTE(SUBSTITUTE(N181:N185," ",""),"0",""),"-",""))+LEN(SUBSTITUTE(SUBSTITUTE(SUBSTITUTE(O181:O185," ",""),"0",""),"-","")))</f>
      </c>
      <c r="P187" s="14"/>
      <c r="Q187" s="18" t="str">
        <f>SUMPRODUCT(LEN(SUBSTITUTE(SUBSTITUTE(SUBSTITUTE(Q181:Q185," ",""),"0",""),"-",""))+LEN(SUBSTITUTE(SUBSTITUTE(SUBSTITUTE(R181:R185," ",""),"0",""),"-","")))</f>
      </c>
      <c r="R187" s="18" t="str">
        <f>SUMPRODUCT((UPPER(P181:P185)&lt;&gt;"X")*((LEN(SUBSTITUTE(SUBSTITUTE(SUBSTITUTE(Q181:Q185," ",""),"0",""),"-",""))+LEN(SUBSTITUTE(SUBSTITUTE(SUBSTITUTE(R181:R185," ",""),"0",""),"-","")))&gt;(LEN(SUBSTITUTE(SUBSTITUTE(SUBSTITUTE(N181:N185," ",""),"0",""),"-",""))+LEN(SUBSTITUTE(SUBSTITUTE(SUBSTITUTE(O181:O185," ",""),"0",""),"-",""))))*1)</f>
      </c>
      <c r="S187" s="14" t="str">
        <f>CONCATENATE("Pool X-1st ",'Pool Matches'!O334)</f>
      </c>
    </row>
    <row r="188">
      <c r="A188" s="14" t="s">
        <v>346</v>
      </c>
      <c r="B188" s="14"/>
      <c r="C188" s="14"/>
      <c r="D188" s="14"/>
      <c r="E188" s="14"/>
      <c r="F188" s="14"/>
      <c r="G188" s="14" t="s">
        <v>346</v>
      </c>
      <c r="M188" s="14" t="s">
        <v>346</v>
      </c>
      <c r="N188" s="14"/>
      <c r="O188" s="14"/>
      <c r="P188" s="14"/>
      <c r="Q188" s="14"/>
      <c r="R188" s="14"/>
      <c r="S188" s="14" t="s">
        <v>346</v>
      </c>
    </row>
    <row r="191">
      <c r="F191" t="s">
        <v>347</v>
      </c>
      <c r="G191" s="19"/>
      <c r="R191" t="s">
        <v>347</v>
      </c>
      <c r="S191" s="19"/>
    </row>
    <row r="192">
      <c r="F192" t="s">
        <v>348</v>
      </c>
      <c r="G192" s="19"/>
      <c r="R192" t="s">
        <v>348</v>
      </c>
      <c r="S192" s="19"/>
    </row>
    <row r="194">
      <c r="A194" s="13" t="s">
        <v>372</v>
      </c>
      <c r="B194" s="13"/>
      <c r="C194" s="13"/>
      <c r="D194" s="13"/>
      <c r="E194" s="13"/>
      <c r="F194" s="13"/>
      <c r="G194" s="13"/>
      <c r="M194" s="13" t="s">
        <v>373</v>
      </c>
      <c r="N194" s="13"/>
      <c r="O194" s="13"/>
      <c r="P194" s="13"/>
      <c r="Q194" s="13"/>
      <c r="R194" s="13"/>
      <c r="S194" s="13"/>
    </row>
    <row r="195">
      <c r="A195" s="17" t="s">
        <v>239</v>
      </c>
      <c r="D195" s="14" t="s">
        <v>240</v>
      </c>
      <c r="G195" s="16" t="s">
        <v>241</v>
      </c>
      <c r="M195" s="17" t="s">
        <v>239</v>
      </c>
      <c r="P195" s="14" t="s">
        <v>240</v>
      </c>
      <c r="S195" s="16" t="s">
        <v>241</v>
      </c>
    </row>
    <row r="196">
      <c r="A196" s="14" t="str">
        <f>CONCATENATE("Pool Z-2nd ",'Pool Matches'!O419)</f>
      </c>
      <c r="B196" s="18"/>
      <c r="C196" s="18"/>
      <c r="D196" s="18"/>
      <c r="E196" s="18"/>
      <c r="F196" s="18"/>
      <c r="G196" s="14" t="str">
        <f>CONCATENATE("Pool AA-1st ",'Pool Matches'!O460)</f>
      </c>
      <c r="M196" s="14" t="str">
        <f>CONCATENATE("Pool AA-2nd ",'Pool Matches'!O461)</f>
      </c>
      <c r="N196" s="18"/>
      <c r="O196" s="18"/>
      <c r="P196" s="18"/>
      <c r="Q196" s="18"/>
      <c r="R196" s="18"/>
      <c r="S196" s="14" t="str">
        <f>CONCATENATE("Pool Z-1st ",'Pool Matches'!O418)</f>
      </c>
    </row>
    <row r="197">
      <c r="A197" s="14">
        <v>1</v>
      </c>
      <c r="B197" s="18"/>
      <c r="C197" s="18"/>
      <c r="D197" s="18"/>
      <c r="E197" s="18"/>
      <c r="F197" s="18"/>
      <c r="G197" s="14">
        <v>1</v>
      </c>
      <c r="M197" s="14">
        <v>1</v>
      </c>
      <c r="N197" s="18"/>
      <c r="O197" s="18"/>
      <c r="P197" s="18"/>
      <c r="Q197" s="18"/>
      <c r="R197" s="18"/>
      <c r="S197" s="14">
        <v>1</v>
      </c>
    </row>
    <row r="198">
      <c r="A198" s="14">
        <v>2</v>
      </c>
      <c r="B198" s="18"/>
      <c r="C198" s="18"/>
      <c r="D198" s="18"/>
      <c r="E198" s="18"/>
      <c r="F198" s="18"/>
      <c r="G198" s="14">
        <v>2</v>
      </c>
      <c r="M198" s="14">
        <v>2</v>
      </c>
      <c r="N198" s="18"/>
      <c r="O198" s="18"/>
      <c r="P198" s="18"/>
      <c r="Q198" s="18"/>
      <c r="R198" s="18"/>
      <c r="S198" s="14">
        <v>2</v>
      </c>
    </row>
    <row r="199">
      <c r="A199" s="14">
        <v>3</v>
      </c>
      <c r="B199" s="18"/>
      <c r="C199" s="18"/>
      <c r="D199" s="18"/>
      <c r="E199" s="18"/>
      <c r="F199" s="18"/>
      <c r="G199" s="14">
        <v>3</v>
      </c>
      <c r="M199" s="14">
        <v>3</v>
      </c>
      <c r="N199" s="18"/>
      <c r="O199" s="18"/>
      <c r="P199" s="18"/>
      <c r="Q199" s="18"/>
      <c r="R199" s="18"/>
      <c r="S199" s="14">
        <v>3</v>
      </c>
    </row>
    <row r="200">
      <c r="A200" s="14">
        <v>4</v>
      </c>
      <c r="B200" s="18"/>
      <c r="C200" s="18"/>
      <c r="D200" s="18"/>
      <c r="E200" s="18"/>
      <c r="F200" s="18"/>
      <c r="G200" s="14">
        <v>4</v>
      </c>
      <c r="M200" s="14">
        <v>4</v>
      </c>
      <c r="N200" s="18"/>
      <c r="O200" s="18"/>
      <c r="P200" s="18"/>
      <c r="Q200" s="18"/>
      <c r="R200" s="18"/>
      <c r="S200" s="14">
        <v>4</v>
      </c>
    </row>
    <row r="201">
      <c r="A201" s="14">
        <v>5</v>
      </c>
      <c r="B201" s="18"/>
      <c r="C201" s="18"/>
      <c r="D201" s="18"/>
      <c r="E201" s="18"/>
      <c r="F201" s="18"/>
      <c r="G201" s="14">
        <v>5</v>
      </c>
      <c r="M201" s="14">
        <v>5</v>
      </c>
      <c r="N201" s="18"/>
      <c r="O201" s="18"/>
      <c r="P201" s="18"/>
      <c r="Q201" s="18"/>
      <c r="R201" s="18"/>
      <c r="S201" s="14">
        <v>5</v>
      </c>
    </row>
    <row r="203">
      <c r="A203" s="14" t="str">
        <f>CONCATENATE("Pool Z-2nd ",'Pool Matches'!O419)</f>
      </c>
      <c r="B203" s="18" t="str">
        <f>SUMPRODUCT((UPPER(D197:D201)&lt;&gt;"X")*((LEN(SUBSTITUTE(SUBSTITUTE(SUBSTITUTE(B197:B201," ",""),"0",""),"-",""))+LEN(SUBSTITUTE(SUBSTITUTE(SUBSTITUTE(C197:C201," ",""),"0",""),"-","")))&gt;(LEN(SUBSTITUTE(SUBSTITUTE(SUBSTITUTE(E197:E201," ",""),"0",""),"-",""))+LEN(SUBSTITUTE(SUBSTITUTE(SUBSTITUTE(F197:F201," ",""),"0",""),"-",""))))*1)</f>
      </c>
      <c r="C203" s="18" t="str">
        <f>SUMPRODUCT(LEN(SUBSTITUTE(SUBSTITUTE(SUBSTITUTE(B197:B201," ",""),"0",""),"-",""))+LEN(SUBSTITUTE(SUBSTITUTE(SUBSTITUTE(C197:C201," ",""),"0",""),"-","")))</f>
      </c>
      <c r="D203" s="14"/>
      <c r="E203" s="18" t="str">
        <f>SUMPRODUCT(LEN(SUBSTITUTE(SUBSTITUTE(SUBSTITUTE(E197:E201," ",""),"0",""),"-",""))+LEN(SUBSTITUTE(SUBSTITUTE(SUBSTITUTE(F197:F201," ",""),"0",""),"-","")))</f>
      </c>
      <c r="F203" s="18" t="str">
        <f>SUMPRODUCT((UPPER(D197:D201)&lt;&gt;"X")*((LEN(SUBSTITUTE(SUBSTITUTE(SUBSTITUTE(E197:E201," ",""),"0",""),"-",""))+LEN(SUBSTITUTE(SUBSTITUTE(SUBSTITUTE(F197:F201," ",""),"0",""),"-","")))&gt;(LEN(SUBSTITUTE(SUBSTITUTE(SUBSTITUTE(B197:B201," ",""),"0",""),"-",""))+LEN(SUBSTITUTE(SUBSTITUTE(SUBSTITUTE(C197:C201," ",""),"0",""),"-",""))))*1)</f>
      </c>
      <c r="G203" s="14" t="str">
        <f>CONCATENATE("Pool AA-1st ",'Pool Matches'!O460)</f>
      </c>
      <c r="M203" s="14" t="str">
        <f>CONCATENATE("Pool AA-2nd ",'Pool Matches'!O461)</f>
      </c>
      <c r="N203" s="18" t="str">
        <f>SUMPRODUCT((UPPER(P197:P201)&lt;&gt;"X")*((LEN(SUBSTITUTE(SUBSTITUTE(SUBSTITUTE(N197:N201," ",""),"0",""),"-",""))+LEN(SUBSTITUTE(SUBSTITUTE(SUBSTITUTE(O197:O201," ",""),"0",""),"-","")))&gt;(LEN(SUBSTITUTE(SUBSTITUTE(SUBSTITUTE(Q197:Q201," ",""),"0",""),"-",""))+LEN(SUBSTITUTE(SUBSTITUTE(SUBSTITUTE(R197:R201," ",""),"0",""),"-",""))))*1)</f>
      </c>
      <c r="O203" s="18" t="str">
        <f>SUMPRODUCT(LEN(SUBSTITUTE(SUBSTITUTE(SUBSTITUTE(N197:N201," ",""),"0",""),"-",""))+LEN(SUBSTITUTE(SUBSTITUTE(SUBSTITUTE(O197:O201," ",""),"0",""),"-","")))</f>
      </c>
      <c r="P203" s="14"/>
      <c r="Q203" s="18" t="str">
        <f>SUMPRODUCT(LEN(SUBSTITUTE(SUBSTITUTE(SUBSTITUTE(Q197:Q201," ",""),"0",""),"-",""))+LEN(SUBSTITUTE(SUBSTITUTE(SUBSTITUTE(R197:R201," ",""),"0",""),"-","")))</f>
      </c>
      <c r="R203" s="18" t="str">
        <f>SUMPRODUCT((UPPER(P197:P201)&lt;&gt;"X")*((LEN(SUBSTITUTE(SUBSTITUTE(SUBSTITUTE(Q197:Q201," ",""),"0",""),"-",""))+LEN(SUBSTITUTE(SUBSTITUTE(SUBSTITUTE(R197:R201," ",""),"0",""),"-","")))&gt;(LEN(SUBSTITUTE(SUBSTITUTE(SUBSTITUTE(N197:N201," ",""),"0",""),"-",""))+LEN(SUBSTITUTE(SUBSTITUTE(SUBSTITUTE(O197:O201," ",""),"0",""),"-",""))))*1)</f>
      </c>
      <c r="S203" s="14" t="str">
        <f>CONCATENATE("Pool Z-1st ",'Pool Matches'!O418)</f>
      </c>
    </row>
    <row r="204">
      <c r="A204" s="14" t="s">
        <v>346</v>
      </c>
      <c r="B204" s="14"/>
      <c r="C204" s="14"/>
      <c r="D204" s="14"/>
      <c r="E204" s="14"/>
      <c r="F204" s="14"/>
      <c r="G204" s="14" t="s">
        <v>346</v>
      </c>
      <c r="M204" s="14" t="s">
        <v>346</v>
      </c>
      <c r="N204" s="14"/>
      <c r="O204" s="14"/>
      <c r="P204" s="14"/>
      <c r="Q204" s="14"/>
      <c r="R204" s="14"/>
      <c r="S204" s="14" t="s">
        <v>346</v>
      </c>
    </row>
    <row r="207">
      <c r="F207" t="s">
        <v>347</v>
      </c>
      <c r="G207" s="19"/>
      <c r="R207" t="s">
        <v>347</v>
      </c>
      <c r="S207" s="19"/>
    </row>
    <row r="208">
      <c r="F208" t="s">
        <v>348</v>
      </c>
      <c r="G208" s="19"/>
      <c r="R208" t="s">
        <v>348</v>
      </c>
      <c r="S208" s="19"/>
    </row>
    <row r="210">
      <c r="A210" s="13" t="s">
        <v>374</v>
      </c>
      <c r="B210" s="13"/>
      <c r="C210" s="13"/>
      <c r="D210" s="13"/>
      <c r="E210" s="13"/>
      <c r="F210" s="13"/>
      <c r="G210" s="13"/>
      <c r="M210" s="13" t="s">
        <v>375</v>
      </c>
      <c r="N210" s="13"/>
      <c r="O210" s="13"/>
      <c r="P210" s="13"/>
      <c r="Q210" s="13"/>
      <c r="R210" s="13"/>
      <c r="S210" s="13"/>
    </row>
    <row r="211">
      <c r="A211" s="17" t="s">
        <v>239</v>
      </c>
      <c r="D211" s="14" t="s">
        <v>240</v>
      </c>
      <c r="G211" s="16" t="s">
        <v>241</v>
      </c>
      <c r="M211" s="17" t="s">
        <v>239</v>
      </c>
      <c r="P211" s="14" t="s">
        <v>240</v>
      </c>
      <c r="S211" s="16" t="s">
        <v>241</v>
      </c>
    </row>
    <row r="212">
      <c r="A212" s="14" t="str">
        <f>CONCATENATE("Pool BB-2nd ",'Pool Matches'!O503)</f>
      </c>
      <c r="B212" s="18"/>
      <c r="C212" s="18"/>
      <c r="D212" s="18"/>
      <c r="E212" s="18"/>
      <c r="F212" s="18"/>
      <c r="G212" s="14" t="str">
        <f>CONCATENATE("Pool CC-1st ",'Pool Matches'!O544)</f>
      </c>
      <c r="M212" s="14" t="str">
        <f>CONCATENATE("Pool CC-2nd ",'Pool Matches'!O545)</f>
      </c>
      <c r="N212" s="18"/>
      <c r="O212" s="18"/>
      <c r="P212" s="18"/>
      <c r="Q212" s="18"/>
      <c r="R212" s="18"/>
      <c r="S212" s="14" t="str">
        <f>CONCATENATE("Pool BB-1st ",'Pool Matches'!O502)</f>
      </c>
    </row>
    <row r="213">
      <c r="A213" s="14">
        <v>1</v>
      </c>
      <c r="B213" s="18"/>
      <c r="C213" s="18"/>
      <c r="D213" s="18"/>
      <c r="E213" s="18"/>
      <c r="F213" s="18"/>
      <c r="G213" s="14">
        <v>1</v>
      </c>
      <c r="M213" s="14">
        <v>1</v>
      </c>
      <c r="N213" s="18"/>
      <c r="O213" s="18"/>
      <c r="P213" s="18"/>
      <c r="Q213" s="18"/>
      <c r="R213" s="18"/>
      <c r="S213" s="14">
        <v>1</v>
      </c>
    </row>
    <row r="214">
      <c r="A214" s="14">
        <v>2</v>
      </c>
      <c r="B214" s="18"/>
      <c r="C214" s="18"/>
      <c r="D214" s="18"/>
      <c r="E214" s="18"/>
      <c r="F214" s="18"/>
      <c r="G214" s="14">
        <v>2</v>
      </c>
      <c r="M214" s="14">
        <v>2</v>
      </c>
      <c r="N214" s="18"/>
      <c r="O214" s="18"/>
      <c r="P214" s="18"/>
      <c r="Q214" s="18"/>
      <c r="R214" s="18"/>
      <c r="S214" s="14">
        <v>2</v>
      </c>
    </row>
    <row r="215">
      <c r="A215" s="14">
        <v>3</v>
      </c>
      <c r="B215" s="18"/>
      <c r="C215" s="18"/>
      <c r="D215" s="18"/>
      <c r="E215" s="18"/>
      <c r="F215" s="18"/>
      <c r="G215" s="14">
        <v>3</v>
      </c>
      <c r="M215" s="14">
        <v>3</v>
      </c>
      <c r="N215" s="18"/>
      <c r="O215" s="18"/>
      <c r="P215" s="18"/>
      <c r="Q215" s="18"/>
      <c r="R215" s="18"/>
      <c r="S215" s="14">
        <v>3</v>
      </c>
    </row>
    <row r="216">
      <c r="A216" s="14">
        <v>4</v>
      </c>
      <c r="B216" s="18"/>
      <c r="C216" s="18"/>
      <c r="D216" s="18"/>
      <c r="E216" s="18"/>
      <c r="F216" s="18"/>
      <c r="G216" s="14">
        <v>4</v>
      </c>
      <c r="M216" s="14">
        <v>4</v>
      </c>
      <c r="N216" s="18"/>
      <c r="O216" s="18"/>
      <c r="P216" s="18"/>
      <c r="Q216" s="18"/>
      <c r="R216" s="18"/>
      <c r="S216" s="14">
        <v>4</v>
      </c>
    </row>
    <row r="217">
      <c r="A217" s="14">
        <v>5</v>
      </c>
      <c r="B217" s="18"/>
      <c r="C217" s="18"/>
      <c r="D217" s="18"/>
      <c r="E217" s="18"/>
      <c r="F217" s="18"/>
      <c r="G217" s="14">
        <v>5</v>
      </c>
      <c r="M217" s="14">
        <v>5</v>
      </c>
      <c r="N217" s="18"/>
      <c r="O217" s="18"/>
      <c r="P217" s="18"/>
      <c r="Q217" s="18"/>
      <c r="R217" s="18"/>
      <c r="S217" s="14">
        <v>5</v>
      </c>
    </row>
    <row r="219">
      <c r="A219" s="14" t="str">
        <f>CONCATENATE("Pool BB-2nd ",'Pool Matches'!O503)</f>
      </c>
      <c r="B219" s="18" t="str">
        <f>SUMPRODUCT((UPPER(D213:D217)&lt;&gt;"X")*((LEN(SUBSTITUTE(SUBSTITUTE(SUBSTITUTE(B213:B217," ",""),"0",""),"-",""))+LEN(SUBSTITUTE(SUBSTITUTE(SUBSTITUTE(C213:C217," ",""),"0",""),"-","")))&gt;(LEN(SUBSTITUTE(SUBSTITUTE(SUBSTITUTE(E213:E217," ",""),"0",""),"-",""))+LEN(SUBSTITUTE(SUBSTITUTE(SUBSTITUTE(F213:F217," ",""),"0",""),"-",""))))*1)</f>
      </c>
      <c r="C219" s="18" t="str">
        <f>SUMPRODUCT(LEN(SUBSTITUTE(SUBSTITUTE(SUBSTITUTE(B213:B217," ",""),"0",""),"-",""))+LEN(SUBSTITUTE(SUBSTITUTE(SUBSTITUTE(C213:C217," ",""),"0",""),"-","")))</f>
      </c>
      <c r="D219" s="14"/>
      <c r="E219" s="18" t="str">
        <f>SUMPRODUCT(LEN(SUBSTITUTE(SUBSTITUTE(SUBSTITUTE(E213:E217," ",""),"0",""),"-",""))+LEN(SUBSTITUTE(SUBSTITUTE(SUBSTITUTE(F213:F217," ",""),"0",""),"-","")))</f>
      </c>
      <c r="F219" s="18" t="str">
        <f>SUMPRODUCT((UPPER(D213:D217)&lt;&gt;"X")*((LEN(SUBSTITUTE(SUBSTITUTE(SUBSTITUTE(E213:E217," ",""),"0",""),"-",""))+LEN(SUBSTITUTE(SUBSTITUTE(SUBSTITUTE(F213:F217," ",""),"0",""),"-","")))&gt;(LEN(SUBSTITUTE(SUBSTITUTE(SUBSTITUTE(B213:B217," ",""),"0",""),"-",""))+LEN(SUBSTITUTE(SUBSTITUTE(SUBSTITUTE(C213:C217," ",""),"0",""),"-",""))))*1)</f>
      </c>
      <c r="G219" s="14" t="str">
        <f>CONCATENATE("Pool CC-1st ",'Pool Matches'!O544)</f>
      </c>
      <c r="M219" s="14" t="str">
        <f>CONCATENATE("Pool CC-2nd ",'Pool Matches'!O545)</f>
      </c>
      <c r="N219" s="18" t="str">
        <f>SUMPRODUCT((UPPER(P213:P217)&lt;&gt;"X")*((LEN(SUBSTITUTE(SUBSTITUTE(SUBSTITUTE(N213:N217," ",""),"0",""),"-",""))+LEN(SUBSTITUTE(SUBSTITUTE(SUBSTITUTE(O213:O217," ",""),"0",""),"-","")))&gt;(LEN(SUBSTITUTE(SUBSTITUTE(SUBSTITUTE(Q213:Q217," ",""),"0",""),"-",""))+LEN(SUBSTITUTE(SUBSTITUTE(SUBSTITUTE(R213:R217," ",""),"0",""),"-",""))))*1)</f>
      </c>
      <c r="O219" s="18" t="str">
        <f>SUMPRODUCT(LEN(SUBSTITUTE(SUBSTITUTE(SUBSTITUTE(N213:N217," ",""),"0",""),"-",""))+LEN(SUBSTITUTE(SUBSTITUTE(SUBSTITUTE(O213:O217," ",""),"0",""),"-","")))</f>
      </c>
      <c r="P219" s="14"/>
      <c r="Q219" s="18" t="str">
        <f>SUMPRODUCT(LEN(SUBSTITUTE(SUBSTITUTE(SUBSTITUTE(Q213:Q217," ",""),"0",""),"-",""))+LEN(SUBSTITUTE(SUBSTITUTE(SUBSTITUTE(R213:R217," ",""),"0",""),"-","")))</f>
      </c>
      <c r="R219" s="18" t="str">
        <f>SUMPRODUCT((UPPER(P213:P217)&lt;&gt;"X")*((LEN(SUBSTITUTE(SUBSTITUTE(SUBSTITUTE(Q213:Q217," ",""),"0",""),"-",""))+LEN(SUBSTITUTE(SUBSTITUTE(SUBSTITUTE(R213:R217," ",""),"0",""),"-","")))&gt;(LEN(SUBSTITUTE(SUBSTITUTE(SUBSTITUTE(N213:N217," ",""),"0",""),"-",""))+LEN(SUBSTITUTE(SUBSTITUTE(SUBSTITUTE(O213:O217," ",""),"0",""),"-",""))))*1)</f>
      </c>
      <c r="S219" s="14" t="str">
        <f>CONCATENATE("Pool BB-1st ",'Pool Matches'!O502)</f>
      </c>
    </row>
    <row r="220">
      <c r="A220" s="14" t="s">
        <v>346</v>
      </c>
      <c r="B220" s="14"/>
      <c r="C220" s="14"/>
      <c r="D220" s="14"/>
      <c r="E220" s="14"/>
      <c r="F220" s="14"/>
      <c r="G220" s="14" t="s">
        <v>346</v>
      </c>
      <c r="M220" s="14" t="s">
        <v>346</v>
      </c>
      <c r="N220" s="14"/>
      <c r="O220" s="14"/>
      <c r="P220" s="14"/>
      <c r="Q220" s="14"/>
      <c r="R220" s="14"/>
      <c r="S220" s="14" t="s">
        <v>346</v>
      </c>
    </row>
    <row r="223">
      <c r="F223" t="s">
        <v>347</v>
      </c>
      <c r="G223" s="19"/>
      <c r="R223" t="s">
        <v>347</v>
      </c>
      <c r="S223" s="19"/>
    </row>
    <row r="224">
      <c r="F224" t="s">
        <v>348</v>
      </c>
      <c r="G224" s="19"/>
      <c r="R224" t="s">
        <v>348</v>
      </c>
      <c r="S224" s="19"/>
    </row>
    <row r="226">
      <c r="A226" s="13" t="s">
        <v>376</v>
      </c>
      <c r="B226" s="13"/>
      <c r="C226" s="13"/>
      <c r="D226" s="13"/>
      <c r="E226" s="13"/>
      <c r="F226" s="13"/>
      <c r="G226" s="13"/>
      <c r="M226" s="13" t="s">
        <v>377</v>
      </c>
      <c r="N226" s="13"/>
      <c r="O226" s="13"/>
      <c r="P226" s="13"/>
      <c r="Q226" s="13"/>
      <c r="R226" s="13"/>
      <c r="S226" s="13"/>
    </row>
    <row r="227">
      <c r="A227" s="17" t="s">
        <v>239</v>
      </c>
      <c r="D227" s="14" t="s">
        <v>240</v>
      </c>
      <c r="G227" s="16" t="s">
        <v>241</v>
      </c>
      <c r="M227" s="17" t="s">
        <v>239</v>
      </c>
      <c r="P227" s="14" t="s">
        <v>240</v>
      </c>
      <c r="S227" s="16" t="s">
        <v>241</v>
      </c>
    </row>
    <row r="228">
      <c r="A228" s="14" t="str">
        <f>CONCATENATE("Pool DD-2nd ",'Pool Matches'!O587)</f>
      </c>
      <c r="B228" s="18"/>
      <c r="C228" s="18"/>
      <c r="D228" s="18"/>
      <c r="E228" s="18"/>
      <c r="F228" s="18"/>
      <c r="G228" s="14" t="str">
        <f>CONCATENATE("Pool EE-1st ",'Pool Matches'!O626)</f>
      </c>
      <c r="M228" s="14" t="str">
        <f>CONCATENATE("Pool EE-2nd ",'Pool Matches'!O627)</f>
      </c>
      <c r="N228" s="18"/>
      <c r="O228" s="18"/>
      <c r="P228" s="18"/>
      <c r="Q228" s="18"/>
      <c r="R228" s="18"/>
      <c r="S228" s="14" t="str">
        <f>CONCATENATE("Pool DD-1st ",'Pool Matches'!O586)</f>
      </c>
    </row>
    <row r="229">
      <c r="A229" s="14">
        <v>1</v>
      </c>
      <c r="B229" s="18"/>
      <c r="C229" s="18"/>
      <c r="D229" s="18"/>
      <c r="E229" s="18"/>
      <c r="F229" s="18"/>
      <c r="G229" s="14">
        <v>1</v>
      </c>
      <c r="M229" s="14">
        <v>1</v>
      </c>
      <c r="N229" s="18"/>
      <c r="O229" s="18"/>
      <c r="P229" s="18"/>
      <c r="Q229" s="18"/>
      <c r="R229" s="18"/>
      <c r="S229" s="14">
        <v>1</v>
      </c>
    </row>
    <row r="230">
      <c r="A230" s="14">
        <v>2</v>
      </c>
      <c r="B230" s="18"/>
      <c r="C230" s="18"/>
      <c r="D230" s="18"/>
      <c r="E230" s="18"/>
      <c r="F230" s="18"/>
      <c r="G230" s="14">
        <v>2</v>
      </c>
      <c r="M230" s="14">
        <v>2</v>
      </c>
      <c r="N230" s="18"/>
      <c r="O230" s="18"/>
      <c r="P230" s="18"/>
      <c r="Q230" s="18"/>
      <c r="R230" s="18"/>
      <c r="S230" s="14">
        <v>2</v>
      </c>
    </row>
    <row r="231">
      <c r="A231" s="14">
        <v>3</v>
      </c>
      <c r="B231" s="18"/>
      <c r="C231" s="18"/>
      <c r="D231" s="18"/>
      <c r="E231" s="18"/>
      <c r="F231" s="18"/>
      <c r="G231" s="14">
        <v>3</v>
      </c>
      <c r="M231" s="14">
        <v>3</v>
      </c>
      <c r="N231" s="18"/>
      <c r="O231" s="18"/>
      <c r="P231" s="18"/>
      <c r="Q231" s="18"/>
      <c r="R231" s="18"/>
      <c r="S231" s="14">
        <v>3</v>
      </c>
    </row>
    <row r="232">
      <c r="A232" s="14">
        <v>4</v>
      </c>
      <c r="B232" s="18"/>
      <c r="C232" s="18"/>
      <c r="D232" s="18"/>
      <c r="E232" s="18"/>
      <c r="F232" s="18"/>
      <c r="G232" s="14">
        <v>4</v>
      </c>
      <c r="M232" s="14">
        <v>4</v>
      </c>
      <c r="N232" s="18"/>
      <c r="O232" s="18"/>
      <c r="P232" s="18"/>
      <c r="Q232" s="18"/>
      <c r="R232" s="18"/>
      <c r="S232" s="14">
        <v>4</v>
      </c>
    </row>
    <row r="233">
      <c r="A233" s="14">
        <v>5</v>
      </c>
      <c r="B233" s="18"/>
      <c r="C233" s="18"/>
      <c r="D233" s="18"/>
      <c r="E233" s="18"/>
      <c r="F233" s="18"/>
      <c r="G233" s="14">
        <v>5</v>
      </c>
      <c r="M233" s="14">
        <v>5</v>
      </c>
      <c r="N233" s="18"/>
      <c r="O233" s="18"/>
      <c r="P233" s="18"/>
      <c r="Q233" s="18"/>
      <c r="R233" s="18"/>
      <c r="S233" s="14">
        <v>5</v>
      </c>
    </row>
    <row r="235">
      <c r="A235" s="14" t="str">
        <f>CONCATENATE("Pool DD-2nd ",'Pool Matches'!O587)</f>
      </c>
      <c r="B235" s="18" t="str">
        <f>SUMPRODUCT((UPPER(D229:D233)&lt;&gt;"X")*((LEN(SUBSTITUTE(SUBSTITUTE(SUBSTITUTE(B229:B233," ",""),"0",""),"-",""))+LEN(SUBSTITUTE(SUBSTITUTE(SUBSTITUTE(C229:C233," ",""),"0",""),"-","")))&gt;(LEN(SUBSTITUTE(SUBSTITUTE(SUBSTITUTE(E229:E233," ",""),"0",""),"-",""))+LEN(SUBSTITUTE(SUBSTITUTE(SUBSTITUTE(F229:F233," ",""),"0",""),"-",""))))*1)</f>
      </c>
      <c r="C235" s="18" t="str">
        <f>SUMPRODUCT(LEN(SUBSTITUTE(SUBSTITUTE(SUBSTITUTE(B229:B233," ",""),"0",""),"-",""))+LEN(SUBSTITUTE(SUBSTITUTE(SUBSTITUTE(C229:C233," ",""),"0",""),"-","")))</f>
      </c>
      <c r="D235" s="14"/>
      <c r="E235" s="18" t="str">
        <f>SUMPRODUCT(LEN(SUBSTITUTE(SUBSTITUTE(SUBSTITUTE(E229:E233," ",""),"0",""),"-",""))+LEN(SUBSTITUTE(SUBSTITUTE(SUBSTITUTE(F229:F233," ",""),"0",""),"-","")))</f>
      </c>
      <c r="F235" s="18" t="str">
        <f>SUMPRODUCT((UPPER(D229:D233)&lt;&gt;"X")*((LEN(SUBSTITUTE(SUBSTITUTE(SUBSTITUTE(E229:E233," ",""),"0",""),"-",""))+LEN(SUBSTITUTE(SUBSTITUTE(SUBSTITUTE(F229:F233," ",""),"0",""),"-","")))&gt;(LEN(SUBSTITUTE(SUBSTITUTE(SUBSTITUTE(B229:B233," ",""),"0",""),"-",""))+LEN(SUBSTITUTE(SUBSTITUTE(SUBSTITUTE(C229:C233," ",""),"0",""),"-",""))))*1)</f>
      </c>
      <c r="G235" s="14" t="str">
        <f>CONCATENATE("Pool EE-1st ",'Pool Matches'!O626)</f>
      </c>
      <c r="M235" s="14" t="str">
        <f>CONCATENATE("Pool EE-2nd ",'Pool Matches'!O627)</f>
      </c>
      <c r="N235" s="18" t="str">
        <f>SUMPRODUCT((UPPER(P229:P233)&lt;&gt;"X")*((LEN(SUBSTITUTE(SUBSTITUTE(SUBSTITUTE(N229:N233," ",""),"0",""),"-",""))+LEN(SUBSTITUTE(SUBSTITUTE(SUBSTITUTE(O229:O233," ",""),"0",""),"-","")))&gt;(LEN(SUBSTITUTE(SUBSTITUTE(SUBSTITUTE(Q229:Q233," ",""),"0",""),"-",""))+LEN(SUBSTITUTE(SUBSTITUTE(SUBSTITUTE(R229:R233," ",""),"0",""),"-",""))))*1)</f>
      </c>
      <c r="O235" s="18" t="str">
        <f>SUMPRODUCT(LEN(SUBSTITUTE(SUBSTITUTE(SUBSTITUTE(N229:N233," ",""),"0",""),"-",""))+LEN(SUBSTITUTE(SUBSTITUTE(SUBSTITUTE(O229:O233," ",""),"0",""),"-","")))</f>
      </c>
      <c r="P235" s="14"/>
      <c r="Q235" s="18" t="str">
        <f>SUMPRODUCT(LEN(SUBSTITUTE(SUBSTITUTE(SUBSTITUTE(Q229:Q233," ",""),"0",""),"-",""))+LEN(SUBSTITUTE(SUBSTITUTE(SUBSTITUTE(R229:R233," ",""),"0",""),"-","")))</f>
      </c>
      <c r="R235" s="18" t="str">
        <f>SUMPRODUCT((UPPER(P229:P233)&lt;&gt;"X")*((LEN(SUBSTITUTE(SUBSTITUTE(SUBSTITUTE(Q229:Q233," ",""),"0",""),"-",""))+LEN(SUBSTITUTE(SUBSTITUTE(SUBSTITUTE(R229:R233," ",""),"0",""),"-","")))&gt;(LEN(SUBSTITUTE(SUBSTITUTE(SUBSTITUTE(N229:N233," ",""),"0",""),"-",""))+LEN(SUBSTITUTE(SUBSTITUTE(SUBSTITUTE(O229:O233," ",""),"0",""),"-",""))))*1)</f>
      </c>
      <c r="S235" s="14" t="str">
        <f>CONCATENATE("Pool DD-1st ",'Pool Matches'!O586)</f>
      </c>
    </row>
    <row r="236">
      <c r="A236" s="14" t="s">
        <v>346</v>
      </c>
      <c r="B236" s="14"/>
      <c r="C236" s="14"/>
      <c r="D236" s="14"/>
      <c r="E236" s="14"/>
      <c r="F236" s="14"/>
      <c r="G236" s="14" t="s">
        <v>346</v>
      </c>
      <c r="M236" s="14" t="s">
        <v>346</v>
      </c>
      <c r="N236" s="14"/>
      <c r="O236" s="14"/>
      <c r="P236" s="14"/>
      <c r="Q236" s="14"/>
      <c r="R236" s="14"/>
      <c r="S236" s="14" t="s">
        <v>346</v>
      </c>
    </row>
    <row r="239">
      <c r="F239" t="s">
        <v>347</v>
      </c>
      <c r="G239" s="19"/>
      <c r="R239" t="s">
        <v>347</v>
      </c>
      <c r="S239" s="19"/>
    </row>
    <row r="240">
      <c r="F240" t="s">
        <v>348</v>
      </c>
      <c r="G240" s="19"/>
      <c r="R240" t="s">
        <v>348</v>
      </c>
      <c r="S240" s="19"/>
    </row>
    <row r="247">
      <c r="A247" s="13" t="s">
        <v>378</v>
      </c>
      <c r="B247" s="13"/>
      <c r="C247" s="13"/>
      <c r="D247" s="13"/>
      <c r="E247" s="13"/>
      <c r="F247" s="13"/>
      <c r="G247" s="13"/>
      <c r="M247" s="13" t="s">
        <v>379</v>
      </c>
      <c r="N247" s="13"/>
      <c r="O247" s="13"/>
      <c r="P247" s="13"/>
      <c r="Q247" s="13"/>
      <c r="R247" s="13"/>
      <c r="S247" s="13"/>
    </row>
    <row r="248">
      <c r="A248" s="17" t="s">
        <v>239</v>
      </c>
      <c r="D248" s="14" t="s">
        <v>240</v>
      </c>
      <c r="G248" s="16" t="s">
        <v>241</v>
      </c>
      <c r="M248" s="17" t="s">
        <v>239</v>
      </c>
      <c r="P248" s="14" t="s">
        <v>240</v>
      </c>
      <c r="S248" s="16" t="s">
        <v>241</v>
      </c>
    </row>
    <row r="249">
      <c r="A249" s="14" t="str">
        <f>CONCATENATE("M 1 ",G15)</f>
      </c>
      <c r="B249" s="18"/>
      <c r="C249" s="18"/>
      <c r="D249" s="18"/>
      <c r="E249" s="18"/>
      <c r="F249" s="18"/>
      <c r="G249" s="14" t="str">
        <f>CONCATENATE("Pool A-1st ",'Pool Matches'!G40)</f>
      </c>
      <c r="M249" s="14" t="str">
        <f>CONCATENATE("M 16 ",S15)</f>
      </c>
      <c r="N249" s="18"/>
      <c r="O249" s="18"/>
      <c r="P249" s="18"/>
      <c r="Q249" s="18"/>
      <c r="R249" s="18"/>
      <c r="S249" s="14" t="str">
        <f>CONCATENATE("Pool B-1st ",'Pool Matches'!G82)</f>
      </c>
    </row>
    <row r="250">
      <c r="A250" s="14">
        <v>1</v>
      </c>
      <c r="B250" s="18"/>
      <c r="C250" s="18"/>
      <c r="D250" s="18"/>
      <c r="E250" s="18"/>
      <c r="F250" s="18"/>
      <c r="G250" s="14">
        <v>1</v>
      </c>
      <c r="M250" s="14">
        <v>1</v>
      </c>
      <c r="N250" s="18"/>
      <c r="O250" s="18"/>
      <c r="P250" s="18"/>
      <c r="Q250" s="18"/>
      <c r="R250" s="18"/>
      <c r="S250" s="14">
        <v>1</v>
      </c>
    </row>
    <row r="251">
      <c r="A251" s="14">
        <v>2</v>
      </c>
      <c r="B251" s="18"/>
      <c r="C251" s="18"/>
      <c r="D251" s="18"/>
      <c r="E251" s="18"/>
      <c r="F251" s="18"/>
      <c r="G251" s="14">
        <v>2</v>
      </c>
      <c r="M251" s="14">
        <v>2</v>
      </c>
      <c r="N251" s="18"/>
      <c r="O251" s="18"/>
      <c r="P251" s="18"/>
      <c r="Q251" s="18"/>
      <c r="R251" s="18"/>
      <c r="S251" s="14">
        <v>2</v>
      </c>
    </row>
    <row r="252">
      <c r="A252" s="14">
        <v>3</v>
      </c>
      <c r="B252" s="18"/>
      <c r="C252" s="18"/>
      <c r="D252" s="18"/>
      <c r="E252" s="18"/>
      <c r="F252" s="18"/>
      <c r="G252" s="14">
        <v>3</v>
      </c>
      <c r="M252" s="14">
        <v>3</v>
      </c>
      <c r="N252" s="18"/>
      <c r="O252" s="18"/>
      <c r="P252" s="18"/>
      <c r="Q252" s="18"/>
      <c r="R252" s="18"/>
      <c r="S252" s="14">
        <v>3</v>
      </c>
    </row>
    <row r="253">
      <c r="A253" s="14">
        <v>4</v>
      </c>
      <c r="B253" s="18"/>
      <c r="C253" s="18"/>
      <c r="D253" s="18"/>
      <c r="E253" s="18"/>
      <c r="F253" s="18"/>
      <c r="G253" s="14">
        <v>4</v>
      </c>
      <c r="M253" s="14">
        <v>4</v>
      </c>
      <c r="N253" s="18"/>
      <c r="O253" s="18"/>
      <c r="P253" s="18"/>
      <c r="Q253" s="18"/>
      <c r="R253" s="18"/>
      <c r="S253" s="14">
        <v>4</v>
      </c>
    </row>
    <row r="254">
      <c r="A254" s="14">
        <v>5</v>
      </c>
      <c r="B254" s="18"/>
      <c r="C254" s="18"/>
      <c r="D254" s="18"/>
      <c r="E254" s="18"/>
      <c r="F254" s="18"/>
      <c r="G254" s="14">
        <v>5</v>
      </c>
      <c r="M254" s="14">
        <v>5</v>
      </c>
      <c r="N254" s="18"/>
      <c r="O254" s="18"/>
      <c r="P254" s="18"/>
      <c r="Q254" s="18"/>
      <c r="R254" s="18"/>
      <c r="S254" s="14">
        <v>5</v>
      </c>
    </row>
    <row r="256">
      <c r="A256" s="14" t="str">
        <f>CONCATENATE("M 1 ",G15)</f>
      </c>
      <c r="B256" s="18" t="str">
        <f>SUMPRODUCT((UPPER(D250:D254)&lt;&gt;"X")*((LEN(SUBSTITUTE(SUBSTITUTE(SUBSTITUTE(B250:B254," ",""),"0",""),"-",""))+LEN(SUBSTITUTE(SUBSTITUTE(SUBSTITUTE(C250:C254," ",""),"0",""),"-","")))&gt;(LEN(SUBSTITUTE(SUBSTITUTE(SUBSTITUTE(E250:E254," ",""),"0",""),"-",""))+LEN(SUBSTITUTE(SUBSTITUTE(SUBSTITUTE(F250:F254," ",""),"0",""),"-",""))))*1)</f>
      </c>
      <c r="C256" s="18" t="str">
        <f>SUMPRODUCT(LEN(SUBSTITUTE(SUBSTITUTE(SUBSTITUTE(B250:B254," ",""),"0",""),"-",""))+LEN(SUBSTITUTE(SUBSTITUTE(SUBSTITUTE(C250:C254," ",""),"0",""),"-","")))</f>
      </c>
      <c r="D256" s="14"/>
      <c r="E256" s="18" t="str">
        <f>SUMPRODUCT(LEN(SUBSTITUTE(SUBSTITUTE(SUBSTITUTE(E250:E254," ",""),"0",""),"-",""))+LEN(SUBSTITUTE(SUBSTITUTE(SUBSTITUTE(F250:F254," ",""),"0",""),"-","")))</f>
      </c>
      <c r="F256" s="18" t="str">
        <f>SUMPRODUCT((UPPER(D250:D254)&lt;&gt;"X")*((LEN(SUBSTITUTE(SUBSTITUTE(SUBSTITUTE(E250:E254," ",""),"0",""),"-",""))+LEN(SUBSTITUTE(SUBSTITUTE(SUBSTITUTE(F250:F254," ",""),"0",""),"-","")))&gt;(LEN(SUBSTITUTE(SUBSTITUTE(SUBSTITUTE(B250:B254," ",""),"0",""),"-",""))+LEN(SUBSTITUTE(SUBSTITUTE(SUBSTITUTE(C250:C254," ",""),"0",""),"-",""))))*1)</f>
      </c>
      <c r="G256" s="14" t="str">
        <f>CONCATENATE("Pool A-1st ",'Pool Matches'!G40)</f>
      </c>
      <c r="M256" s="14" t="str">
        <f>CONCATENATE("M 16 ",S15)</f>
      </c>
      <c r="N256" s="18" t="str">
        <f>SUMPRODUCT((UPPER(P250:P254)&lt;&gt;"X")*((LEN(SUBSTITUTE(SUBSTITUTE(SUBSTITUTE(N250:N254," ",""),"0",""),"-",""))+LEN(SUBSTITUTE(SUBSTITUTE(SUBSTITUTE(O250:O254," ",""),"0",""),"-","")))&gt;(LEN(SUBSTITUTE(SUBSTITUTE(SUBSTITUTE(Q250:Q254," ",""),"0",""),"-",""))+LEN(SUBSTITUTE(SUBSTITUTE(SUBSTITUTE(R250:R254," ",""),"0",""),"-",""))))*1)</f>
      </c>
      <c r="O256" s="18" t="str">
        <f>SUMPRODUCT(LEN(SUBSTITUTE(SUBSTITUTE(SUBSTITUTE(N250:N254," ",""),"0",""),"-",""))+LEN(SUBSTITUTE(SUBSTITUTE(SUBSTITUTE(O250:O254," ",""),"0",""),"-","")))</f>
      </c>
      <c r="P256" s="14"/>
      <c r="Q256" s="18" t="str">
        <f>SUMPRODUCT(LEN(SUBSTITUTE(SUBSTITUTE(SUBSTITUTE(Q250:Q254," ",""),"0",""),"-",""))+LEN(SUBSTITUTE(SUBSTITUTE(SUBSTITUTE(R250:R254," ",""),"0",""),"-","")))</f>
      </c>
      <c r="R256" s="18" t="str">
        <f>SUMPRODUCT((UPPER(P250:P254)&lt;&gt;"X")*((LEN(SUBSTITUTE(SUBSTITUTE(SUBSTITUTE(Q250:Q254," ",""),"0",""),"-",""))+LEN(SUBSTITUTE(SUBSTITUTE(SUBSTITUTE(R250:R254," ",""),"0",""),"-","")))&gt;(LEN(SUBSTITUTE(SUBSTITUTE(SUBSTITUTE(N250:N254," ",""),"0",""),"-",""))+LEN(SUBSTITUTE(SUBSTITUTE(SUBSTITUTE(O250:O254," ",""),"0",""),"-",""))))*1)</f>
      </c>
      <c r="S256" s="14" t="str">
        <f>CONCATENATE("Pool B-1st ",'Pool Matches'!G82)</f>
      </c>
    </row>
    <row r="257">
      <c r="A257" s="14" t="s">
        <v>346</v>
      </c>
      <c r="B257" s="14"/>
      <c r="C257" s="14"/>
      <c r="D257" s="14"/>
      <c r="E257" s="14"/>
      <c r="F257" s="14"/>
      <c r="G257" s="14" t="s">
        <v>346</v>
      </c>
      <c r="M257" s="14" t="s">
        <v>346</v>
      </c>
      <c r="N257" s="14"/>
      <c r="O257" s="14"/>
      <c r="P257" s="14"/>
      <c r="Q257" s="14"/>
      <c r="R257" s="14"/>
      <c r="S257" s="14" t="s">
        <v>346</v>
      </c>
    </row>
    <row r="260">
      <c r="F260" t="s">
        <v>347</v>
      </c>
      <c r="G260" s="19"/>
      <c r="R260" t="s">
        <v>347</v>
      </c>
      <c r="S260" s="19"/>
    </row>
    <row r="261">
      <c r="F261" t="s">
        <v>348</v>
      </c>
      <c r="G261" s="19"/>
      <c r="R261" t="s">
        <v>348</v>
      </c>
      <c r="S261" s="19"/>
    </row>
    <row r="263">
      <c r="A263" s="13" t="s">
        <v>380</v>
      </c>
      <c r="B263" s="13"/>
      <c r="C263" s="13"/>
      <c r="D263" s="13"/>
      <c r="E263" s="13"/>
      <c r="F263" s="13"/>
      <c r="G263" s="13"/>
      <c r="M263" s="13" t="s">
        <v>381</v>
      </c>
      <c r="N263" s="13"/>
      <c r="O263" s="13"/>
      <c r="P263" s="13"/>
      <c r="Q263" s="13"/>
      <c r="R263" s="13"/>
      <c r="S263" s="13"/>
    </row>
    <row r="264">
      <c r="A264" s="17" t="s">
        <v>239</v>
      </c>
      <c r="D264" s="14" t="s">
        <v>240</v>
      </c>
      <c r="G264" s="16" t="s">
        <v>241</v>
      </c>
      <c r="M264" s="17" t="s">
        <v>239</v>
      </c>
      <c r="P264" s="14" t="s">
        <v>240</v>
      </c>
      <c r="S264" s="16" t="s">
        <v>241</v>
      </c>
    </row>
    <row r="265">
      <c r="A265" s="14" t="str">
        <f>CONCATENATE("M 3 ",G47)</f>
      </c>
      <c r="B265" s="18"/>
      <c r="C265" s="18"/>
      <c r="D265" s="18"/>
      <c r="E265" s="18"/>
      <c r="F265" s="18"/>
      <c r="G265" s="14" t="str">
        <f>CONCATENATE("M 2 ",G31)</f>
      </c>
      <c r="M265" s="14" t="str">
        <f>CONCATENATE("M 18 ",S47)</f>
      </c>
      <c r="N265" s="18"/>
      <c r="O265" s="18"/>
      <c r="P265" s="18"/>
      <c r="Q265" s="18"/>
      <c r="R265" s="18"/>
      <c r="S265" s="14" t="str">
        <f>CONCATENATE("M 17 ",S31)</f>
      </c>
    </row>
    <row r="266">
      <c r="A266" s="14">
        <v>1</v>
      </c>
      <c r="B266" s="18"/>
      <c r="C266" s="18"/>
      <c r="D266" s="18"/>
      <c r="E266" s="18"/>
      <c r="F266" s="18"/>
      <c r="G266" s="14">
        <v>1</v>
      </c>
      <c r="M266" s="14">
        <v>1</v>
      </c>
      <c r="N266" s="18"/>
      <c r="O266" s="18"/>
      <c r="P266" s="18"/>
      <c r="Q266" s="18"/>
      <c r="R266" s="18"/>
      <c r="S266" s="14">
        <v>1</v>
      </c>
    </row>
    <row r="267">
      <c r="A267" s="14">
        <v>2</v>
      </c>
      <c r="B267" s="18"/>
      <c r="C267" s="18"/>
      <c r="D267" s="18"/>
      <c r="E267" s="18"/>
      <c r="F267" s="18"/>
      <c r="G267" s="14">
        <v>2</v>
      </c>
      <c r="M267" s="14">
        <v>2</v>
      </c>
      <c r="N267" s="18"/>
      <c r="O267" s="18"/>
      <c r="P267" s="18"/>
      <c r="Q267" s="18"/>
      <c r="R267" s="18"/>
      <c r="S267" s="14">
        <v>2</v>
      </c>
    </row>
    <row r="268">
      <c r="A268" s="14">
        <v>3</v>
      </c>
      <c r="B268" s="18"/>
      <c r="C268" s="18"/>
      <c r="D268" s="18"/>
      <c r="E268" s="18"/>
      <c r="F268" s="18"/>
      <c r="G268" s="14">
        <v>3</v>
      </c>
      <c r="M268" s="14">
        <v>3</v>
      </c>
      <c r="N268" s="18"/>
      <c r="O268" s="18"/>
      <c r="P268" s="18"/>
      <c r="Q268" s="18"/>
      <c r="R268" s="18"/>
      <c r="S268" s="14">
        <v>3</v>
      </c>
    </row>
    <row r="269">
      <c r="A269" s="14">
        <v>4</v>
      </c>
      <c r="B269" s="18"/>
      <c r="C269" s="18"/>
      <c r="D269" s="18"/>
      <c r="E269" s="18"/>
      <c r="F269" s="18"/>
      <c r="G269" s="14">
        <v>4</v>
      </c>
      <c r="M269" s="14">
        <v>4</v>
      </c>
      <c r="N269" s="18"/>
      <c r="O269" s="18"/>
      <c r="P269" s="18"/>
      <c r="Q269" s="18"/>
      <c r="R269" s="18"/>
      <c r="S269" s="14">
        <v>4</v>
      </c>
    </row>
    <row r="270">
      <c r="A270" s="14">
        <v>5</v>
      </c>
      <c r="B270" s="18"/>
      <c r="C270" s="18"/>
      <c r="D270" s="18"/>
      <c r="E270" s="18"/>
      <c r="F270" s="18"/>
      <c r="G270" s="14">
        <v>5</v>
      </c>
      <c r="M270" s="14">
        <v>5</v>
      </c>
      <c r="N270" s="18"/>
      <c r="O270" s="18"/>
      <c r="P270" s="18"/>
      <c r="Q270" s="18"/>
      <c r="R270" s="18"/>
      <c r="S270" s="14">
        <v>5</v>
      </c>
    </row>
    <row r="272">
      <c r="A272" s="14" t="str">
        <f>CONCATENATE("M 3 ",G47)</f>
      </c>
      <c r="B272" s="18" t="str">
        <f>SUMPRODUCT((UPPER(D266:D270)&lt;&gt;"X")*((LEN(SUBSTITUTE(SUBSTITUTE(SUBSTITUTE(B266:B270," ",""),"0",""),"-",""))+LEN(SUBSTITUTE(SUBSTITUTE(SUBSTITUTE(C266:C270," ",""),"0",""),"-","")))&gt;(LEN(SUBSTITUTE(SUBSTITUTE(SUBSTITUTE(E266:E270," ",""),"0",""),"-",""))+LEN(SUBSTITUTE(SUBSTITUTE(SUBSTITUTE(F266:F270," ",""),"0",""),"-",""))))*1)</f>
      </c>
      <c r="C272" s="18" t="str">
        <f>SUMPRODUCT(LEN(SUBSTITUTE(SUBSTITUTE(SUBSTITUTE(B266:B270," ",""),"0",""),"-",""))+LEN(SUBSTITUTE(SUBSTITUTE(SUBSTITUTE(C266:C270," ",""),"0",""),"-","")))</f>
      </c>
      <c r="D272" s="14"/>
      <c r="E272" s="18" t="str">
        <f>SUMPRODUCT(LEN(SUBSTITUTE(SUBSTITUTE(SUBSTITUTE(E266:E270," ",""),"0",""),"-",""))+LEN(SUBSTITUTE(SUBSTITUTE(SUBSTITUTE(F266:F270," ",""),"0",""),"-","")))</f>
      </c>
      <c r="F272" s="18" t="str">
        <f>SUMPRODUCT((UPPER(D266:D270)&lt;&gt;"X")*((LEN(SUBSTITUTE(SUBSTITUTE(SUBSTITUTE(E266:E270," ",""),"0",""),"-",""))+LEN(SUBSTITUTE(SUBSTITUTE(SUBSTITUTE(F266:F270," ",""),"0",""),"-","")))&gt;(LEN(SUBSTITUTE(SUBSTITUTE(SUBSTITUTE(B266:B270," ",""),"0",""),"-",""))+LEN(SUBSTITUTE(SUBSTITUTE(SUBSTITUTE(C266:C270," ",""),"0",""),"-",""))))*1)</f>
      </c>
      <c r="G272" s="14" t="str">
        <f>CONCATENATE("M 2 ",G31)</f>
      </c>
      <c r="M272" s="14" t="str">
        <f>CONCATENATE("M 18 ",S47)</f>
      </c>
      <c r="N272" s="18" t="str">
        <f>SUMPRODUCT((UPPER(P266:P270)&lt;&gt;"X")*((LEN(SUBSTITUTE(SUBSTITUTE(SUBSTITUTE(N266:N270," ",""),"0",""),"-",""))+LEN(SUBSTITUTE(SUBSTITUTE(SUBSTITUTE(O266:O270," ",""),"0",""),"-","")))&gt;(LEN(SUBSTITUTE(SUBSTITUTE(SUBSTITUTE(Q266:Q270," ",""),"0",""),"-",""))+LEN(SUBSTITUTE(SUBSTITUTE(SUBSTITUTE(R266:R270," ",""),"0",""),"-",""))))*1)</f>
      </c>
      <c r="O272" s="18" t="str">
        <f>SUMPRODUCT(LEN(SUBSTITUTE(SUBSTITUTE(SUBSTITUTE(N266:N270," ",""),"0",""),"-",""))+LEN(SUBSTITUTE(SUBSTITUTE(SUBSTITUTE(O266:O270," ",""),"0",""),"-","")))</f>
      </c>
      <c r="P272" s="14"/>
      <c r="Q272" s="18" t="str">
        <f>SUMPRODUCT(LEN(SUBSTITUTE(SUBSTITUTE(SUBSTITUTE(Q266:Q270," ",""),"0",""),"-",""))+LEN(SUBSTITUTE(SUBSTITUTE(SUBSTITUTE(R266:R270," ",""),"0",""),"-","")))</f>
      </c>
      <c r="R272" s="18" t="str">
        <f>SUMPRODUCT((UPPER(P266:P270)&lt;&gt;"X")*((LEN(SUBSTITUTE(SUBSTITUTE(SUBSTITUTE(Q266:Q270," ",""),"0",""),"-",""))+LEN(SUBSTITUTE(SUBSTITUTE(SUBSTITUTE(R266:R270," ",""),"0",""),"-","")))&gt;(LEN(SUBSTITUTE(SUBSTITUTE(SUBSTITUTE(N266:N270," ",""),"0",""),"-",""))+LEN(SUBSTITUTE(SUBSTITUTE(SUBSTITUTE(O266:O270," ",""),"0",""),"-",""))))*1)</f>
      </c>
      <c r="S272" s="14" t="str">
        <f>CONCATENATE("M 17 ",S31)</f>
      </c>
    </row>
    <row r="273">
      <c r="A273" s="14" t="s">
        <v>346</v>
      </c>
      <c r="B273" s="14"/>
      <c r="C273" s="14"/>
      <c r="D273" s="14"/>
      <c r="E273" s="14"/>
      <c r="F273" s="14"/>
      <c r="G273" s="14" t="s">
        <v>346</v>
      </c>
      <c r="M273" s="14" t="s">
        <v>346</v>
      </c>
      <c r="N273" s="14"/>
      <c r="O273" s="14"/>
      <c r="P273" s="14"/>
      <c r="Q273" s="14"/>
      <c r="R273" s="14"/>
      <c r="S273" s="14" t="s">
        <v>346</v>
      </c>
    </row>
    <row r="276">
      <c r="F276" t="s">
        <v>347</v>
      </c>
      <c r="G276" s="19"/>
      <c r="R276" t="s">
        <v>347</v>
      </c>
      <c r="S276" s="19"/>
    </row>
    <row r="277">
      <c r="F277" t="s">
        <v>348</v>
      </c>
      <c r="G277" s="19"/>
      <c r="R277" t="s">
        <v>348</v>
      </c>
      <c r="S277" s="19"/>
    </row>
    <row r="279">
      <c r="A279" s="13" t="s">
        <v>382</v>
      </c>
      <c r="B279" s="13"/>
      <c r="C279" s="13"/>
      <c r="D279" s="13"/>
      <c r="E279" s="13"/>
      <c r="F279" s="13"/>
      <c r="G279" s="13"/>
      <c r="M279" s="13" t="s">
        <v>383</v>
      </c>
      <c r="N279" s="13"/>
      <c r="O279" s="13"/>
      <c r="P279" s="13"/>
      <c r="Q279" s="13"/>
      <c r="R279" s="13"/>
      <c r="S279" s="13"/>
    </row>
    <row r="280">
      <c r="A280" s="17" t="s">
        <v>239</v>
      </c>
      <c r="D280" s="14" t="s">
        <v>240</v>
      </c>
      <c r="G280" s="16" t="s">
        <v>241</v>
      </c>
      <c r="M280" s="17" t="s">
        <v>239</v>
      </c>
      <c r="P280" s="14" t="s">
        <v>240</v>
      </c>
      <c r="S280" s="16" t="s">
        <v>241</v>
      </c>
    </row>
    <row r="281">
      <c r="A281" s="14" t="str">
        <f>CONCATENATE("M 5 ",G79)</f>
      </c>
      <c r="B281" s="18"/>
      <c r="C281" s="18"/>
      <c r="D281" s="18"/>
      <c r="E281" s="18"/>
      <c r="F281" s="18"/>
      <c r="G281" s="14" t="str">
        <f>CONCATENATE("M 4 ",G63)</f>
      </c>
      <c r="M281" s="14" t="str">
        <f>CONCATENATE("M 20 ",S79)</f>
      </c>
      <c r="N281" s="18"/>
      <c r="O281" s="18"/>
      <c r="P281" s="18"/>
      <c r="Q281" s="18"/>
      <c r="R281" s="18"/>
      <c r="S281" s="14" t="str">
        <f>CONCATENATE("M 19 ",S63)</f>
      </c>
    </row>
    <row r="282">
      <c r="A282" s="14">
        <v>1</v>
      </c>
      <c r="B282" s="18"/>
      <c r="C282" s="18"/>
      <c r="D282" s="18"/>
      <c r="E282" s="18"/>
      <c r="F282" s="18"/>
      <c r="G282" s="14">
        <v>1</v>
      </c>
      <c r="M282" s="14">
        <v>1</v>
      </c>
      <c r="N282" s="18"/>
      <c r="O282" s="18"/>
      <c r="P282" s="18"/>
      <c r="Q282" s="18"/>
      <c r="R282" s="18"/>
      <c r="S282" s="14">
        <v>1</v>
      </c>
    </row>
    <row r="283">
      <c r="A283" s="14">
        <v>2</v>
      </c>
      <c r="B283" s="18"/>
      <c r="C283" s="18"/>
      <c r="D283" s="18"/>
      <c r="E283" s="18"/>
      <c r="F283" s="18"/>
      <c r="G283" s="14">
        <v>2</v>
      </c>
      <c r="M283" s="14">
        <v>2</v>
      </c>
      <c r="N283" s="18"/>
      <c r="O283" s="18"/>
      <c r="P283" s="18"/>
      <c r="Q283" s="18"/>
      <c r="R283" s="18"/>
      <c r="S283" s="14">
        <v>2</v>
      </c>
    </row>
    <row r="284">
      <c r="A284" s="14">
        <v>3</v>
      </c>
      <c r="B284" s="18"/>
      <c r="C284" s="18"/>
      <c r="D284" s="18"/>
      <c r="E284" s="18"/>
      <c r="F284" s="18"/>
      <c r="G284" s="14">
        <v>3</v>
      </c>
      <c r="M284" s="14">
        <v>3</v>
      </c>
      <c r="N284" s="18"/>
      <c r="O284" s="18"/>
      <c r="P284" s="18"/>
      <c r="Q284" s="18"/>
      <c r="R284" s="18"/>
      <c r="S284" s="14">
        <v>3</v>
      </c>
    </row>
    <row r="285">
      <c r="A285" s="14">
        <v>4</v>
      </c>
      <c r="B285" s="18"/>
      <c r="C285" s="18"/>
      <c r="D285" s="18"/>
      <c r="E285" s="18"/>
      <c r="F285" s="18"/>
      <c r="G285" s="14">
        <v>4</v>
      </c>
      <c r="M285" s="14">
        <v>4</v>
      </c>
      <c r="N285" s="18"/>
      <c r="O285" s="18"/>
      <c r="P285" s="18"/>
      <c r="Q285" s="18"/>
      <c r="R285" s="18"/>
      <c r="S285" s="14">
        <v>4</v>
      </c>
    </row>
    <row r="286">
      <c r="A286" s="14">
        <v>5</v>
      </c>
      <c r="B286" s="18"/>
      <c r="C286" s="18"/>
      <c r="D286" s="18"/>
      <c r="E286" s="18"/>
      <c r="F286" s="18"/>
      <c r="G286" s="14">
        <v>5</v>
      </c>
      <c r="M286" s="14">
        <v>5</v>
      </c>
      <c r="N286" s="18"/>
      <c r="O286" s="18"/>
      <c r="P286" s="18"/>
      <c r="Q286" s="18"/>
      <c r="R286" s="18"/>
      <c r="S286" s="14">
        <v>5</v>
      </c>
    </row>
    <row r="288">
      <c r="A288" s="14" t="str">
        <f>CONCATENATE("M 5 ",G79)</f>
      </c>
      <c r="B288" s="18" t="str">
        <f>SUMPRODUCT((UPPER(D282:D286)&lt;&gt;"X")*((LEN(SUBSTITUTE(SUBSTITUTE(SUBSTITUTE(B282:B286," ",""),"0",""),"-",""))+LEN(SUBSTITUTE(SUBSTITUTE(SUBSTITUTE(C282:C286," ",""),"0",""),"-","")))&gt;(LEN(SUBSTITUTE(SUBSTITUTE(SUBSTITUTE(E282:E286," ",""),"0",""),"-",""))+LEN(SUBSTITUTE(SUBSTITUTE(SUBSTITUTE(F282:F286," ",""),"0",""),"-",""))))*1)</f>
      </c>
      <c r="C288" s="18" t="str">
        <f>SUMPRODUCT(LEN(SUBSTITUTE(SUBSTITUTE(SUBSTITUTE(B282:B286," ",""),"0",""),"-",""))+LEN(SUBSTITUTE(SUBSTITUTE(SUBSTITUTE(C282:C286," ",""),"0",""),"-","")))</f>
      </c>
      <c r="D288" s="14"/>
      <c r="E288" s="18" t="str">
        <f>SUMPRODUCT(LEN(SUBSTITUTE(SUBSTITUTE(SUBSTITUTE(E282:E286," ",""),"0",""),"-",""))+LEN(SUBSTITUTE(SUBSTITUTE(SUBSTITUTE(F282:F286," ",""),"0",""),"-","")))</f>
      </c>
      <c r="F288" s="18" t="str">
        <f>SUMPRODUCT((UPPER(D282:D286)&lt;&gt;"X")*((LEN(SUBSTITUTE(SUBSTITUTE(SUBSTITUTE(E282:E286," ",""),"0",""),"-",""))+LEN(SUBSTITUTE(SUBSTITUTE(SUBSTITUTE(F282:F286," ",""),"0",""),"-","")))&gt;(LEN(SUBSTITUTE(SUBSTITUTE(SUBSTITUTE(B282:B286," ",""),"0",""),"-",""))+LEN(SUBSTITUTE(SUBSTITUTE(SUBSTITUTE(C282:C286," ",""),"0",""),"-",""))))*1)</f>
      </c>
      <c r="G288" s="14" t="str">
        <f>CONCATENATE("M 4 ",G63)</f>
      </c>
      <c r="M288" s="14" t="str">
        <f>CONCATENATE("M 20 ",S79)</f>
      </c>
      <c r="N288" s="18" t="str">
        <f>SUMPRODUCT((UPPER(P282:P286)&lt;&gt;"X")*((LEN(SUBSTITUTE(SUBSTITUTE(SUBSTITUTE(N282:N286," ",""),"0",""),"-",""))+LEN(SUBSTITUTE(SUBSTITUTE(SUBSTITUTE(O282:O286," ",""),"0",""),"-","")))&gt;(LEN(SUBSTITUTE(SUBSTITUTE(SUBSTITUTE(Q282:Q286," ",""),"0",""),"-",""))+LEN(SUBSTITUTE(SUBSTITUTE(SUBSTITUTE(R282:R286," ",""),"0",""),"-",""))))*1)</f>
      </c>
      <c r="O288" s="18" t="str">
        <f>SUMPRODUCT(LEN(SUBSTITUTE(SUBSTITUTE(SUBSTITUTE(N282:N286," ",""),"0",""),"-",""))+LEN(SUBSTITUTE(SUBSTITUTE(SUBSTITUTE(O282:O286," ",""),"0",""),"-","")))</f>
      </c>
      <c r="P288" s="14"/>
      <c r="Q288" s="18" t="str">
        <f>SUMPRODUCT(LEN(SUBSTITUTE(SUBSTITUTE(SUBSTITUTE(Q282:Q286," ",""),"0",""),"-",""))+LEN(SUBSTITUTE(SUBSTITUTE(SUBSTITUTE(R282:R286," ",""),"0",""),"-","")))</f>
      </c>
      <c r="R288" s="18" t="str">
        <f>SUMPRODUCT((UPPER(P282:P286)&lt;&gt;"X")*((LEN(SUBSTITUTE(SUBSTITUTE(SUBSTITUTE(Q282:Q286," ",""),"0",""),"-",""))+LEN(SUBSTITUTE(SUBSTITUTE(SUBSTITUTE(R282:R286," ",""),"0",""),"-","")))&gt;(LEN(SUBSTITUTE(SUBSTITUTE(SUBSTITUTE(N282:N286," ",""),"0",""),"-",""))+LEN(SUBSTITUTE(SUBSTITUTE(SUBSTITUTE(O282:O286," ",""),"0",""),"-",""))))*1)</f>
      </c>
      <c r="S288" s="14" t="str">
        <f>CONCATENATE("M 19 ",S63)</f>
      </c>
    </row>
    <row r="289">
      <c r="A289" s="14" t="s">
        <v>346</v>
      </c>
      <c r="B289" s="14"/>
      <c r="C289" s="14"/>
      <c r="D289" s="14"/>
      <c r="E289" s="14"/>
      <c r="F289" s="14"/>
      <c r="G289" s="14" t="s">
        <v>346</v>
      </c>
      <c r="M289" s="14" t="s">
        <v>346</v>
      </c>
      <c r="N289" s="14"/>
      <c r="O289" s="14"/>
      <c r="P289" s="14"/>
      <c r="Q289" s="14"/>
      <c r="R289" s="14"/>
      <c r="S289" s="14" t="s">
        <v>346</v>
      </c>
    </row>
    <row r="292">
      <c r="F292" t="s">
        <v>347</v>
      </c>
      <c r="G292" s="19"/>
      <c r="R292" t="s">
        <v>347</v>
      </c>
      <c r="S292" s="19"/>
    </row>
    <row r="293">
      <c r="F293" t="s">
        <v>348</v>
      </c>
      <c r="G293" s="19"/>
      <c r="R293" t="s">
        <v>348</v>
      </c>
      <c r="S293" s="19"/>
    </row>
    <row r="295">
      <c r="A295" s="13" t="s">
        <v>384</v>
      </c>
      <c r="B295" s="13"/>
      <c r="C295" s="13"/>
      <c r="D295" s="13"/>
      <c r="E295" s="13"/>
      <c r="F295" s="13"/>
      <c r="G295" s="13"/>
      <c r="M295" s="13" t="s">
        <v>385</v>
      </c>
      <c r="N295" s="13"/>
      <c r="O295" s="13"/>
      <c r="P295" s="13"/>
      <c r="Q295" s="13"/>
      <c r="R295" s="13"/>
      <c r="S295" s="13"/>
    </row>
    <row r="296">
      <c r="A296" s="17" t="s">
        <v>239</v>
      </c>
      <c r="D296" s="14" t="s">
        <v>240</v>
      </c>
      <c r="G296" s="16" t="s">
        <v>241</v>
      </c>
      <c r="M296" s="17" t="s">
        <v>239</v>
      </c>
      <c r="P296" s="14" t="s">
        <v>240</v>
      </c>
      <c r="S296" s="16" t="s">
        <v>241</v>
      </c>
    </row>
    <row r="297">
      <c r="A297" s="14" t="str">
        <f>CONCATENATE("M 7 ",G111)</f>
      </c>
      <c r="B297" s="18"/>
      <c r="C297" s="18"/>
      <c r="D297" s="18"/>
      <c r="E297" s="18"/>
      <c r="F297" s="18"/>
      <c r="G297" s="14" t="str">
        <f>CONCATENATE("M 6 ",G95)</f>
      </c>
      <c r="M297" s="14" t="str">
        <f>CONCATENATE("M 22 ",S111)</f>
      </c>
      <c r="N297" s="18"/>
      <c r="O297" s="18"/>
      <c r="P297" s="18"/>
      <c r="Q297" s="18"/>
      <c r="R297" s="18"/>
      <c r="S297" s="14" t="str">
        <f>CONCATENATE("M 21 ",S95)</f>
      </c>
    </row>
    <row r="298">
      <c r="A298" s="14">
        <v>1</v>
      </c>
      <c r="B298" s="18"/>
      <c r="C298" s="18"/>
      <c r="D298" s="18"/>
      <c r="E298" s="18"/>
      <c r="F298" s="18"/>
      <c r="G298" s="14">
        <v>1</v>
      </c>
      <c r="M298" s="14">
        <v>1</v>
      </c>
      <c r="N298" s="18"/>
      <c r="O298" s="18"/>
      <c r="P298" s="18"/>
      <c r="Q298" s="18"/>
      <c r="R298" s="18"/>
      <c r="S298" s="14">
        <v>1</v>
      </c>
    </row>
    <row r="299">
      <c r="A299" s="14">
        <v>2</v>
      </c>
      <c r="B299" s="18"/>
      <c r="C299" s="18"/>
      <c r="D299" s="18"/>
      <c r="E299" s="18"/>
      <c r="F299" s="18"/>
      <c r="G299" s="14">
        <v>2</v>
      </c>
      <c r="M299" s="14">
        <v>2</v>
      </c>
      <c r="N299" s="18"/>
      <c r="O299" s="18"/>
      <c r="P299" s="18"/>
      <c r="Q299" s="18"/>
      <c r="R299" s="18"/>
      <c r="S299" s="14">
        <v>2</v>
      </c>
    </row>
    <row r="300">
      <c r="A300" s="14">
        <v>3</v>
      </c>
      <c r="B300" s="18"/>
      <c r="C300" s="18"/>
      <c r="D300" s="18"/>
      <c r="E300" s="18"/>
      <c r="F300" s="18"/>
      <c r="G300" s="14">
        <v>3</v>
      </c>
      <c r="M300" s="14">
        <v>3</v>
      </c>
      <c r="N300" s="18"/>
      <c r="O300" s="18"/>
      <c r="P300" s="18"/>
      <c r="Q300" s="18"/>
      <c r="R300" s="18"/>
      <c r="S300" s="14">
        <v>3</v>
      </c>
    </row>
    <row r="301">
      <c r="A301" s="14">
        <v>4</v>
      </c>
      <c r="B301" s="18"/>
      <c r="C301" s="18"/>
      <c r="D301" s="18"/>
      <c r="E301" s="18"/>
      <c r="F301" s="18"/>
      <c r="G301" s="14">
        <v>4</v>
      </c>
      <c r="M301" s="14">
        <v>4</v>
      </c>
      <c r="N301" s="18"/>
      <c r="O301" s="18"/>
      <c r="P301" s="18"/>
      <c r="Q301" s="18"/>
      <c r="R301" s="18"/>
      <c r="S301" s="14">
        <v>4</v>
      </c>
    </row>
    <row r="302">
      <c r="A302" s="14">
        <v>5</v>
      </c>
      <c r="B302" s="18"/>
      <c r="C302" s="18"/>
      <c r="D302" s="18"/>
      <c r="E302" s="18"/>
      <c r="F302" s="18"/>
      <c r="G302" s="14">
        <v>5</v>
      </c>
      <c r="M302" s="14">
        <v>5</v>
      </c>
      <c r="N302" s="18"/>
      <c r="O302" s="18"/>
      <c r="P302" s="18"/>
      <c r="Q302" s="18"/>
      <c r="R302" s="18"/>
      <c r="S302" s="14">
        <v>5</v>
      </c>
    </row>
    <row r="304">
      <c r="A304" s="14" t="str">
        <f>CONCATENATE("M 7 ",G111)</f>
      </c>
      <c r="B304" s="18" t="str">
        <f>SUMPRODUCT((UPPER(D298:D302)&lt;&gt;"X")*((LEN(SUBSTITUTE(SUBSTITUTE(SUBSTITUTE(B298:B302," ",""),"0",""),"-",""))+LEN(SUBSTITUTE(SUBSTITUTE(SUBSTITUTE(C298:C302," ",""),"0",""),"-","")))&gt;(LEN(SUBSTITUTE(SUBSTITUTE(SUBSTITUTE(E298:E302," ",""),"0",""),"-",""))+LEN(SUBSTITUTE(SUBSTITUTE(SUBSTITUTE(F298:F302," ",""),"0",""),"-",""))))*1)</f>
      </c>
      <c r="C304" s="18" t="str">
        <f>SUMPRODUCT(LEN(SUBSTITUTE(SUBSTITUTE(SUBSTITUTE(B298:B302," ",""),"0",""),"-",""))+LEN(SUBSTITUTE(SUBSTITUTE(SUBSTITUTE(C298:C302," ",""),"0",""),"-","")))</f>
      </c>
      <c r="D304" s="14"/>
      <c r="E304" s="18" t="str">
        <f>SUMPRODUCT(LEN(SUBSTITUTE(SUBSTITUTE(SUBSTITUTE(E298:E302," ",""),"0",""),"-",""))+LEN(SUBSTITUTE(SUBSTITUTE(SUBSTITUTE(F298:F302," ",""),"0",""),"-","")))</f>
      </c>
      <c r="F304" s="18" t="str">
        <f>SUMPRODUCT((UPPER(D298:D302)&lt;&gt;"X")*((LEN(SUBSTITUTE(SUBSTITUTE(SUBSTITUTE(E298:E302," ",""),"0",""),"-",""))+LEN(SUBSTITUTE(SUBSTITUTE(SUBSTITUTE(F298:F302," ",""),"0",""),"-","")))&gt;(LEN(SUBSTITUTE(SUBSTITUTE(SUBSTITUTE(B298:B302," ",""),"0",""),"-",""))+LEN(SUBSTITUTE(SUBSTITUTE(SUBSTITUTE(C298:C302," ",""),"0",""),"-",""))))*1)</f>
      </c>
      <c r="G304" s="14" t="str">
        <f>CONCATENATE("M 6 ",G95)</f>
      </c>
      <c r="M304" s="14" t="str">
        <f>CONCATENATE("M 22 ",S111)</f>
      </c>
      <c r="N304" s="18" t="str">
        <f>SUMPRODUCT((UPPER(P298:P302)&lt;&gt;"X")*((LEN(SUBSTITUTE(SUBSTITUTE(SUBSTITUTE(N298:N302," ",""),"0",""),"-",""))+LEN(SUBSTITUTE(SUBSTITUTE(SUBSTITUTE(O298:O302," ",""),"0",""),"-","")))&gt;(LEN(SUBSTITUTE(SUBSTITUTE(SUBSTITUTE(Q298:Q302," ",""),"0",""),"-",""))+LEN(SUBSTITUTE(SUBSTITUTE(SUBSTITUTE(R298:R302," ",""),"0",""),"-",""))))*1)</f>
      </c>
      <c r="O304" s="18" t="str">
        <f>SUMPRODUCT(LEN(SUBSTITUTE(SUBSTITUTE(SUBSTITUTE(N298:N302," ",""),"0",""),"-",""))+LEN(SUBSTITUTE(SUBSTITUTE(SUBSTITUTE(O298:O302," ",""),"0",""),"-","")))</f>
      </c>
      <c r="P304" s="14"/>
      <c r="Q304" s="18" t="str">
        <f>SUMPRODUCT(LEN(SUBSTITUTE(SUBSTITUTE(SUBSTITUTE(Q298:Q302," ",""),"0",""),"-",""))+LEN(SUBSTITUTE(SUBSTITUTE(SUBSTITUTE(R298:R302," ",""),"0",""),"-","")))</f>
      </c>
      <c r="R304" s="18" t="str">
        <f>SUMPRODUCT((UPPER(P298:P302)&lt;&gt;"X")*((LEN(SUBSTITUTE(SUBSTITUTE(SUBSTITUTE(Q298:Q302," ",""),"0",""),"-",""))+LEN(SUBSTITUTE(SUBSTITUTE(SUBSTITUTE(R298:R302," ",""),"0",""),"-","")))&gt;(LEN(SUBSTITUTE(SUBSTITUTE(SUBSTITUTE(N298:N302," ",""),"0",""),"-",""))+LEN(SUBSTITUTE(SUBSTITUTE(SUBSTITUTE(O298:O302," ",""),"0",""),"-",""))))*1)</f>
      </c>
      <c r="S304" s="14" t="str">
        <f>CONCATENATE("M 21 ",S95)</f>
      </c>
    </row>
    <row r="305">
      <c r="A305" s="14" t="s">
        <v>346</v>
      </c>
      <c r="B305" s="14"/>
      <c r="C305" s="14"/>
      <c r="D305" s="14"/>
      <c r="E305" s="14"/>
      <c r="F305" s="14"/>
      <c r="G305" s="14" t="s">
        <v>346</v>
      </c>
      <c r="M305" s="14" t="s">
        <v>346</v>
      </c>
      <c r="N305" s="14"/>
      <c r="O305" s="14"/>
      <c r="P305" s="14"/>
      <c r="Q305" s="14"/>
      <c r="R305" s="14"/>
      <c r="S305" s="14" t="s">
        <v>346</v>
      </c>
    </row>
    <row r="308">
      <c r="F308" t="s">
        <v>347</v>
      </c>
      <c r="G308" s="19"/>
      <c r="R308" t="s">
        <v>347</v>
      </c>
      <c r="S308" s="19"/>
    </row>
    <row r="309">
      <c r="F309" t="s">
        <v>348</v>
      </c>
      <c r="G309" s="19"/>
      <c r="R309" t="s">
        <v>348</v>
      </c>
      <c r="S309" s="19"/>
    </row>
    <row r="311">
      <c r="A311" s="13" t="s">
        <v>386</v>
      </c>
      <c r="B311" s="13"/>
      <c r="C311" s="13"/>
      <c r="D311" s="13"/>
      <c r="E311" s="13"/>
      <c r="F311" s="13"/>
      <c r="G311" s="13"/>
      <c r="M311" s="13" t="s">
        <v>387</v>
      </c>
      <c r="N311" s="13"/>
      <c r="O311" s="13"/>
      <c r="P311" s="13"/>
      <c r="Q311" s="13"/>
      <c r="R311" s="13"/>
      <c r="S311" s="13"/>
    </row>
    <row r="312">
      <c r="A312" s="17" t="s">
        <v>239</v>
      </c>
      <c r="D312" s="14" t="s">
        <v>240</v>
      </c>
      <c r="G312" s="16" t="s">
        <v>241</v>
      </c>
      <c r="M312" s="17" t="s">
        <v>239</v>
      </c>
      <c r="P312" s="14" t="s">
        <v>240</v>
      </c>
      <c r="S312" s="16" t="s">
        <v>241</v>
      </c>
    </row>
    <row r="313">
      <c r="A313" s="14" t="str">
        <f>CONCATENATE("M 9 ",G143)</f>
      </c>
      <c r="B313" s="18"/>
      <c r="C313" s="18"/>
      <c r="D313" s="18"/>
      <c r="E313" s="18"/>
      <c r="F313" s="18"/>
      <c r="G313" s="14" t="str">
        <f>CONCATENATE("M 8 ",G127)</f>
      </c>
      <c r="M313" s="14" t="str">
        <f>CONCATENATE("M 24 ",S143)</f>
      </c>
      <c r="N313" s="18"/>
      <c r="O313" s="18"/>
      <c r="P313" s="18"/>
      <c r="Q313" s="18"/>
      <c r="R313" s="18"/>
      <c r="S313" s="14" t="str">
        <f>CONCATENATE("M 23 ",S127)</f>
      </c>
    </row>
    <row r="314">
      <c r="A314" s="14">
        <v>1</v>
      </c>
      <c r="B314" s="18"/>
      <c r="C314" s="18"/>
      <c r="D314" s="18"/>
      <c r="E314" s="18"/>
      <c r="F314" s="18"/>
      <c r="G314" s="14">
        <v>1</v>
      </c>
      <c r="M314" s="14">
        <v>1</v>
      </c>
      <c r="N314" s="18"/>
      <c r="O314" s="18"/>
      <c r="P314" s="18"/>
      <c r="Q314" s="18"/>
      <c r="R314" s="18"/>
      <c r="S314" s="14">
        <v>1</v>
      </c>
    </row>
    <row r="315">
      <c r="A315" s="14">
        <v>2</v>
      </c>
      <c r="B315" s="18"/>
      <c r="C315" s="18"/>
      <c r="D315" s="18"/>
      <c r="E315" s="18"/>
      <c r="F315" s="18"/>
      <c r="G315" s="14">
        <v>2</v>
      </c>
      <c r="M315" s="14">
        <v>2</v>
      </c>
      <c r="N315" s="18"/>
      <c r="O315" s="18"/>
      <c r="P315" s="18"/>
      <c r="Q315" s="18"/>
      <c r="R315" s="18"/>
      <c r="S315" s="14">
        <v>2</v>
      </c>
    </row>
    <row r="316">
      <c r="A316" s="14">
        <v>3</v>
      </c>
      <c r="B316" s="18"/>
      <c r="C316" s="18"/>
      <c r="D316" s="18"/>
      <c r="E316" s="18"/>
      <c r="F316" s="18"/>
      <c r="G316" s="14">
        <v>3</v>
      </c>
      <c r="M316" s="14">
        <v>3</v>
      </c>
      <c r="N316" s="18"/>
      <c r="O316" s="18"/>
      <c r="P316" s="18"/>
      <c r="Q316" s="18"/>
      <c r="R316" s="18"/>
      <c r="S316" s="14">
        <v>3</v>
      </c>
    </row>
    <row r="317">
      <c r="A317" s="14">
        <v>4</v>
      </c>
      <c r="B317" s="18"/>
      <c r="C317" s="18"/>
      <c r="D317" s="18"/>
      <c r="E317" s="18"/>
      <c r="F317" s="18"/>
      <c r="G317" s="14">
        <v>4</v>
      </c>
      <c r="M317" s="14">
        <v>4</v>
      </c>
      <c r="N317" s="18"/>
      <c r="O317" s="18"/>
      <c r="P317" s="18"/>
      <c r="Q317" s="18"/>
      <c r="R317" s="18"/>
      <c r="S317" s="14">
        <v>4</v>
      </c>
    </row>
    <row r="318">
      <c r="A318" s="14">
        <v>5</v>
      </c>
      <c r="B318" s="18"/>
      <c r="C318" s="18"/>
      <c r="D318" s="18"/>
      <c r="E318" s="18"/>
      <c r="F318" s="18"/>
      <c r="G318" s="14">
        <v>5</v>
      </c>
      <c r="M318" s="14">
        <v>5</v>
      </c>
      <c r="N318" s="18"/>
      <c r="O318" s="18"/>
      <c r="P318" s="18"/>
      <c r="Q318" s="18"/>
      <c r="R318" s="18"/>
      <c r="S318" s="14">
        <v>5</v>
      </c>
    </row>
    <row r="320">
      <c r="A320" s="14" t="str">
        <f>CONCATENATE("M 9 ",G143)</f>
      </c>
      <c r="B320" s="18" t="str">
        <f>SUMPRODUCT((UPPER(D314:D318)&lt;&gt;"X")*((LEN(SUBSTITUTE(SUBSTITUTE(SUBSTITUTE(B314:B318," ",""),"0",""),"-",""))+LEN(SUBSTITUTE(SUBSTITUTE(SUBSTITUTE(C314:C318," ",""),"0",""),"-","")))&gt;(LEN(SUBSTITUTE(SUBSTITUTE(SUBSTITUTE(E314:E318," ",""),"0",""),"-",""))+LEN(SUBSTITUTE(SUBSTITUTE(SUBSTITUTE(F314:F318," ",""),"0",""),"-",""))))*1)</f>
      </c>
      <c r="C320" s="18" t="str">
        <f>SUMPRODUCT(LEN(SUBSTITUTE(SUBSTITUTE(SUBSTITUTE(B314:B318," ",""),"0",""),"-",""))+LEN(SUBSTITUTE(SUBSTITUTE(SUBSTITUTE(C314:C318," ",""),"0",""),"-","")))</f>
      </c>
      <c r="D320" s="14"/>
      <c r="E320" s="18" t="str">
        <f>SUMPRODUCT(LEN(SUBSTITUTE(SUBSTITUTE(SUBSTITUTE(E314:E318," ",""),"0",""),"-",""))+LEN(SUBSTITUTE(SUBSTITUTE(SUBSTITUTE(F314:F318," ",""),"0",""),"-","")))</f>
      </c>
      <c r="F320" s="18" t="str">
        <f>SUMPRODUCT((UPPER(D314:D318)&lt;&gt;"X")*((LEN(SUBSTITUTE(SUBSTITUTE(SUBSTITUTE(E314:E318," ",""),"0",""),"-",""))+LEN(SUBSTITUTE(SUBSTITUTE(SUBSTITUTE(F314:F318," ",""),"0",""),"-","")))&gt;(LEN(SUBSTITUTE(SUBSTITUTE(SUBSTITUTE(B314:B318," ",""),"0",""),"-",""))+LEN(SUBSTITUTE(SUBSTITUTE(SUBSTITUTE(C314:C318," ",""),"0",""),"-",""))))*1)</f>
      </c>
      <c r="G320" s="14" t="str">
        <f>CONCATENATE("M 8 ",G127)</f>
      </c>
      <c r="M320" s="14" t="str">
        <f>CONCATENATE("M 24 ",S143)</f>
      </c>
      <c r="N320" s="18" t="str">
        <f>SUMPRODUCT((UPPER(P314:P318)&lt;&gt;"X")*((LEN(SUBSTITUTE(SUBSTITUTE(SUBSTITUTE(N314:N318," ",""),"0",""),"-",""))+LEN(SUBSTITUTE(SUBSTITUTE(SUBSTITUTE(O314:O318," ",""),"0",""),"-","")))&gt;(LEN(SUBSTITUTE(SUBSTITUTE(SUBSTITUTE(Q314:Q318," ",""),"0",""),"-",""))+LEN(SUBSTITUTE(SUBSTITUTE(SUBSTITUTE(R314:R318," ",""),"0",""),"-",""))))*1)</f>
      </c>
      <c r="O320" s="18" t="str">
        <f>SUMPRODUCT(LEN(SUBSTITUTE(SUBSTITUTE(SUBSTITUTE(N314:N318," ",""),"0",""),"-",""))+LEN(SUBSTITUTE(SUBSTITUTE(SUBSTITUTE(O314:O318," ",""),"0",""),"-","")))</f>
      </c>
      <c r="P320" s="14"/>
      <c r="Q320" s="18" t="str">
        <f>SUMPRODUCT(LEN(SUBSTITUTE(SUBSTITUTE(SUBSTITUTE(Q314:Q318," ",""),"0",""),"-",""))+LEN(SUBSTITUTE(SUBSTITUTE(SUBSTITUTE(R314:R318," ",""),"0",""),"-","")))</f>
      </c>
      <c r="R320" s="18" t="str">
        <f>SUMPRODUCT((UPPER(P314:P318)&lt;&gt;"X")*((LEN(SUBSTITUTE(SUBSTITUTE(SUBSTITUTE(Q314:Q318," ",""),"0",""),"-",""))+LEN(SUBSTITUTE(SUBSTITUTE(SUBSTITUTE(R314:R318," ",""),"0",""),"-","")))&gt;(LEN(SUBSTITUTE(SUBSTITUTE(SUBSTITUTE(N314:N318," ",""),"0",""),"-",""))+LEN(SUBSTITUTE(SUBSTITUTE(SUBSTITUTE(O314:O318," ",""),"0",""),"-",""))))*1)</f>
      </c>
      <c r="S320" s="14" t="str">
        <f>CONCATENATE("M 23 ",S127)</f>
      </c>
    </row>
    <row r="321">
      <c r="A321" s="14" t="s">
        <v>346</v>
      </c>
      <c r="B321" s="14"/>
      <c r="C321" s="14"/>
      <c r="D321" s="14"/>
      <c r="E321" s="14"/>
      <c r="F321" s="14"/>
      <c r="G321" s="14" t="s">
        <v>346</v>
      </c>
      <c r="M321" s="14" t="s">
        <v>346</v>
      </c>
      <c r="N321" s="14"/>
      <c r="O321" s="14"/>
      <c r="P321" s="14"/>
      <c r="Q321" s="14"/>
      <c r="R321" s="14"/>
      <c r="S321" s="14" t="s">
        <v>346</v>
      </c>
    </row>
    <row r="324">
      <c r="F324" t="s">
        <v>347</v>
      </c>
      <c r="G324" s="19"/>
      <c r="R324" t="s">
        <v>347</v>
      </c>
      <c r="S324" s="19"/>
    </row>
    <row r="325">
      <c r="F325" t="s">
        <v>348</v>
      </c>
      <c r="G325" s="19"/>
      <c r="R325" t="s">
        <v>348</v>
      </c>
      <c r="S325" s="19"/>
    </row>
    <row r="327">
      <c r="A327" s="13" t="s">
        <v>388</v>
      </c>
      <c r="B327" s="13"/>
      <c r="C327" s="13"/>
      <c r="D327" s="13"/>
      <c r="E327" s="13"/>
      <c r="F327" s="13"/>
      <c r="G327" s="13"/>
      <c r="M327" s="13" t="s">
        <v>389</v>
      </c>
      <c r="N327" s="13"/>
      <c r="O327" s="13"/>
      <c r="P327" s="13"/>
      <c r="Q327" s="13"/>
      <c r="R327" s="13"/>
      <c r="S327" s="13"/>
    </row>
    <row r="328">
      <c r="A328" s="17" t="s">
        <v>239</v>
      </c>
      <c r="D328" s="14" t="s">
        <v>240</v>
      </c>
      <c r="G328" s="16" t="s">
        <v>241</v>
      </c>
      <c r="M328" s="17" t="s">
        <v>239</v>
      </c>
      <c r="P328" s="14" t="s">
        <v>240</v>
      </c>
      <c r="S328" s="16" t="s">
        <v>241</v>
      </c>
    </row>
    <row r="329">
      <c r="A329" s="14" t="str">
        <f>CONCATENATE("M 11 ",G175)</f>
      </c>
      <c r="B329" s="18"/>
      <c r="C329" s="18"/>
      <c r="D329" s="18"/>
      <c r="E329" s="18"/>
      <c r="F329" s="18"/>
      <c r="G329" s="14" t="str">
        <f>CONCATENATE("M 10 ",G159)</f>
      </c>
      <c r="M329" s="14" t="str">
        <f>CONCATENATE("M 26 ",S175)</f>
      </c>
      <c r="N329" s="18"/>
      <c r="O329" s="18"/>
      <c r="P329" s="18"/>
      <c r="Q329" s="18"/>
      <c r="R329" s="18"/>
      <c r="S329" s="14" t="str">
        <f>CONCATENATE("M 25 ",S159)</f>
      </c>
    </row>
    <row r="330">
      <c r="A330" s="14">
        <v>1</v>
      </c>
      <c r="B330" s="18"/>
      <c r="C330" s="18"/>
      <c r="D330" s="18"/>
      <c r="E330" s="18"/>
      <c r="F330" s="18"/>
      <c r="G330" s="14">
        <v>1</v>
      </c>
      <c r="M330" s="14">
        <v>1</v>
      </c>
      <c r="N330" s="18"/>
      <c r="O330" s="18"/>
      <c r="P330" s="18"/>
      <c r="Q330" s="18"/>
      <c r="R330" s="18"/>
      <c r="S330" s="14">
        <v>1</v>
      </c>
    </row>
    <row r="331">
      <c r="A331" s="14">
        <v>2</v>
      </c>
      <c r="B331" s="18"/>
      <c r="C331" s="18"/>
      <c r="D331" s="18"/>
      <c r="E331" s="18"/>
      <c r="F331" s="18"/>
      <c r="G331" s="14">
        <v>2</v>
      </c>
      <c r="M331" s="14">
        <v>2</v>
      </c>
      <c r="N331" s="18"/>
      <c r="O331" s="18"/>
      <c r="P331" s="18"/>
      <c r="Q331" s="18"/>
      <c r="R331" s="18"/>
      <c r="S331" s="14">
        <v>2</v>
      </c>
    </row>
    <row r="332">
      <c r="A332" s="14">
        <v>3</v>
      </c>
      <c r="B332" s="18"/>
      <c r="C332" s="18"/>
      <c r="D332" s="18"/>
      <c r="E332" s="18"/>
      <c r="F332" s="18"/>
      <c r="G332" s="14">
        <v>3</v>
      </c>
      <c r="M332" s="14">
        <v>3</v>
      </c>
      <c r="N332" s="18"/>
      <c r="O332" s="18"/>
      <c r="P332" s="18"/>
      <c r="Q332" s="18"/>
      <c r="R332" s="18"/>
      <c r="S332" s="14">
        <v>3</v>
      </c>
    </row>
    <row r="333">
      <c r="A333" s="14">
        <v>4</v>
      </c>
      <c r="B333" s="18"/>
      <c r="C333" s="18"/>
      <c r="D333" s="18"/>
      <c r="E333" s="18"/>
      <c r="F333" s="18"/>
      <c r="G333" s="14">
        <v>4</v>
      </c>
      <c r="M333" s="14">
        <v>4</v>
      </c>
      <c r="N333" s="18"/>
      <c r="O333" s="18"/>
      <c r="P333" s="18"/>
      <c r="Q333" s="18"/>
      <c r="R333" s="18"/>
      <c r="S333" s="14">
        <v>4</v>
      </c>
    </row>
    <row r="334">
      <c r="A334" s="14">
        <v>5</v>
      </c>
      <c r="B334" s="18"/>
      <c r="C334" s="18"/>
      <c r="D334" s="18"/>
      <c r="E334" s="18"/>
      <c r="F334" s="18"/>
      <c r="G334" s="14">
        <v>5</v>
      </c>
      <c r="M334" s="14">
        <v>5</v>
      </c>
      <c r="N334" s="18"/>
      <c r="O334" s="18"/>
      <c r="P334" s="18"/>
      <c r="Q334" s="18"/>
      <c r="R334" s="18"/>
      <c r="S334" s="14">
        <v>5</v>
      </c>
    </row>
    <row r="336">
      <c r="A336" s="14" t="str">
        <f>CONCATENATE("M 11 ",G175)</f>
      </c>
      <c r="B336" s="18" t="str">
        <f>SUMPRODUCT((UPPER(D330:D334)&lt;&gt;"X")*((LEN(SUBSTITUTE(SUBSTITUTE(SUBSTITUTE(B330:B334," ",""),"0",""),"-",""))+LEN(SUBSTITUTE(SUBSTITUTE(SUBSTITUTE(C330:C334," ",""),"0",""),"-","")))&gt;(LEN(SUBSTITUTE(SUBSTITUTE(SUBSTITUTE(E330:E334," ",""),"0",""),"-",""))+LEN(SUBSTITUTE(SUBSTITUTE(SUBSTITUTE(F330:F334," ",""),"0",""),"-",""))))*1)</f>
      </c>
      <c r="C336" s="18" t="str">
        <f>SUMPRODUCT(LEN(SUBSTITUTE(SUBSTITUTE(SUBSTITUTE(B330:B334," ",""),"0",""),"-",""))+LEN(SUBSTITUTE(SUBSTITUTE(SUBSTITUTE(C330:C334," ",""),"0",""),"-","")))</f>
      </c>
      <c r="D336" s="14"/>
      <c r="E336" s="18" t="str">
        <f>SUMPRODUCT(LEN(SUBSTITUTE(SUBSTITUTE(SUBSTITUTE(E330:E334," ",""),"0",""),"-",""))+LEN(SUBSTITUTE(SUBSTITUTE(SUBSTITUTE(F330:F334," ",""),"0",""),"-","")))</f>
      </c>
      <c r="F336" s="18" t="str">
        <f>SUMPRODUCT((UPPER(D330:D334)&lt;&gt;"X")*((LEN(SUBSTITUTE(SUBSTITUTE(SUBSTITUTE(E330:E334," ",""),"0",""),"-",""))+LEN(SUBSTITUTE(SUBSTITUTE(SUBSTITUTE(F330:F334," ",""),"0",""),"-","")))&gt;(LEN(SUBSTITUTE(SUBSTITUTE(SUBSTITUTE(B330:B334," ",""),"0",""),"-",""))+LEN(SUBSTITUTE(SUBSTITUTE(SUBSTITUTE(C330:C334," ",""),"0",""),"-",""))))*1)</f>
      </c>
      <c r="G336" s="14" t="str">
        <f>CONCATENATE("M 10 ",G159)</f>
      </c>
      <c r="M336" s="14" t="str">
        <f>CONCATENATE("M 26 ",S175)</f>
      </c>
      <c r="N336" s="18" t="str">
        <f>SUMPRODUCT((UPPER(P330:P334)&lt;&gt;"X")*((LEN(SUBSTITUTE(SUBSTITUTE(SUBSTITUTE(N330:N334," ",""),"0",""),"-",""))+LEN(SUBSTITUTE(SUBSTITUTE(SUBSTITUTE(O330:O334," ",""),"0",""),"-","")))&gt;(LEN(SUBSTITUTE(SUBSTITUTE(SUBSTITUTE(Q330:Q334," ",""),"0",""),"-",""))+LEN(SUBSTITUTE(SUBSTITUTE(SUBSTITUTE(R330:R334," ",""),"0",""),"-",""))))*1)</f>
      </c>
      <c r="O336" s="18" t="str">
        <f>SUMPRODUCT(LEN(SUBSTITUTE(SUBSTITUTE(SUBSTITUTE(N330:N334," ",""),"0",""),"-",""))+LEN(SUBSTITUTE(SUBSTITUTE(SUBSTITUTE(O330:O334," ",""),"0",""),"-","")))</f>
      </c>
      <c r="P336" s="14"/>
      <c r="Q336" s="18" t="str">
        <f>SUMPRODUCT(LEN(SUBSTITUTE(SUBSTITUTE(SUBSTITUTE(Q330:Q334," ",""),"0",""),"-",""))+LEN(SUBSTITUTE(SUBSTITUTE(SUBSTITUTE(R330:R334," ",""),"0",""),"-","")))</f>
      </c>
      <c r="R336" s="18" t="str">
        <f>SUMPRODUCT((UPPER(P330:P334)&lt;&gt;"X")*((LEN(SUBSTITUTE(SUBSTITUTE(SUBSTITUTE(Q330:Q334," ",""),"0",""),"-",""))+LEN(SUBSTITUTE(SUBSTITUTE(SUBSTITUTE(R330:R334," ",""),"0",""),"-","")))&gt;(LEN(SUBSTITUTE(SUBSTITUTE(SUBSTITUTE(N330:N334," ",""),"0",""),"-",""))+LEN(SUBSTITUTE(SUBSTITUTE(SUBSTITUTE(O330:O334," ",""),"0",""),"-",""))))*1)</f>
      </c>
      <c r="S336" s="14" t="str">
        <f>CONCATENATE("M 25 ",S159)</f>
      </c>
    </row>
    <row r="337">
      <c r="A337" s="14" t="s">
        <v>346</v>
      </c>
      <c r="B337" s="14"/>
      <c r="C337" s="14"/>
      <c r="D337" s="14"/>
      <c r="E337" s="14"/>
      <c r="F337" s="14"/>
      <c r="G337" s="14" t="s">
        <v>346</v>
      </c>
      <c r="M337" s="14" t="s">
        <v>346</v>
      </c>
      <c r="N337" s="14"/>
      <c r="O337" s="14"/>
      <c r="P337" s="14"/>
      <c r="Q337" s="14"/>
      <c r="R337" s="14"/>
      <c r="S337" s="14" t="s">
        <v>346</v>
      </c>
    </row>
    <row r="340">
      <c r="F340" t="s">
        <v>347</v>
      </c>
      <c r="G340" s="19"/>
      <c r="R340" t="s">
        <v>347</v>
      </c>
      <c r="S340" s="19"/>
    </row>
    <row r="341">
      <c r="F341" t="s">
        <v>348</v>
      </c>
      <c r="G341" s="19"/>
      <c r="R341" t="s">
        <v>348</v>
      </c>
      <c r="S341" s="19"/>
    </row>
    <row r="343">
      <c r="A343" s="13" t="s">
        <v>390</v>
      </c>
      <c r="B343" s="13"/>
      <c r="C343" s="13"/>
      <c r="D343" s="13"/>
      <c r="E343" s="13"/>
      <c r="F343" s="13"/>
      <c r="G343" s="13"/>
      <c r="M343" s="13" t="s">
        <v>391</v>
      </c>
      <c r="N343" s="13"/>
      <c r="O343" s="13"/>
      <c r="P343" s="13"/>
      <c r="Q343" s="13"/>
      <c r="R343" s="13"/>
      <c r="S343" s="13"/>
    </row>
    <row r="344">
      <c r="A344" s="17" t="s">
        <v>239</v>
      </c>
      <c r="D344" s="14" t="s">
        <v>240</v>
      </c>
      <c r="G344" s="16" t="s">
        <v>241</v>
      </c>
      <c r="M344" s="17" t="s">
        <v>239</v>
      </c>
      <c r="P344" s="14" t="s">
        <v>240</v>
      </c>
      <c r="S344" s="16" t="s">
        <v>241</v>
      </c>
    </row>
    <row r="345">
      <c r="A345" s="14" t="str">
        <f>CONCATENATE("M 13 ",G207)</f>
      </c>
      <c r="B345" s="18"/>
      <c r="C345" s="18"/>
      <c r="D345" s="18"/>
      <c r="E345" s="18"/>
      <c r="F345" s="18"/>
      <c r="G345" s="14" t="str">
        <f>CONCATENATE("M 12 ",G191)</f>
      </c>
      <c r="M345" s="14" t="str">
        <f>CONCATENATE("M 28 ",S207)</f>
      </c>
      <c r="N345" s="18"/>
      <c r="O345" s="18"/>
      <c r="P345" s="18"/>
      <c r="Q345" s="18"/>
      <c r="R345" s="18"/>
      <c r="S345" s="14" t="str">
        <f>CONCATENATE("M 27 ",S191)</f>
      </c>
    </row>
    <row r="346">
      <c r="A346" s="14">
        <v>1</v>
      </c>
      <c r="B346" s="18"/>
      <c r="C346" s="18"/>
      <c r="D346" s="18"/>
      <c r="E346" s="18"/>
      <c r="F346" s="18"/>
      <c r="G346" s="14">
        <v>1</v>
      </c>
      <c r="M346" s="14">
        <v>1</v>
      </c>
      <c r="N346" s="18"/>
      <c r="O346" s="18"/>
      <c r="P346" s="18"/>
      <c r="Q346" s="18"/>
      <c r="R346" s="18"/>
      <c r="S346" s="14">
        <v>1</v>
      </c>
    </row>
    <row r="347">
      <c r="A347" s="14">
        <v>2</v>
      </c>
      <c r="B347" s="18"/>
      <c r="C347" s="18"/>
      <c r="D347" s="18"/>
      <c r="E347" s="18"/>
      <c r="F347" s="18"/>
      <c r="G347" s="14">
        <v>2</v>
      </c>
      <c r="M347" s="14">
        <v>2</v>
      </c>
      <c r="N347" s="18"/>
      <c r="O347" s="18"/>
      <c r="P347" s="18"/>
      <c r="Q347" s="18"/>
      <c r="R347" s="18"/>
      <c r="S347" s="14">
        <v>2</v>
      </c>
    </row>
    <row r="348">
      <c r="A348" s="14">
        <v>3</v>
      </c>
      <c r="B348" s="18"/>
      <c r="C348" s="18"/>
      <c r="D348" s="18"/>
      <c r="E348" s="18"/>
      <c r="F348" s="18"/>
      <c r="G348" s="14">
        <v>3</v>
      </c>
      <c r="M348" s="14">
        <v>3</v>
      </c>
      <c r="N348" s="18"/>
      <c r="O348" s="18"/>
      <c r="P348" s="18"/>
      <c r="Q348" s="18"/>
      <c r="R348" s="18"/>
      <c r="S348" s="14">
        <v>3</v>
      </c>
    </row>
    <row r="349">
      <c r="A349" s="14">
        <v>4</v>
      </c>
      <c r="B349" s="18"/>
      <c r="C349" s="18"/>
      <c r="D349" s="18"/>
      <c r="E349" s="18"/>
      <c r="F349" s="18"/>
      <c r="G349" s="14">
        <v>4</v>
      </c>
      <c r="M349" s="14">
        <v>4</v>
      </c>
      <c r="N349" s="18"/>
      <c r="O349" s="18"/>
      <c r="P349" s="18"/>
      <c r="Q349" s="18"/>
      <c r="R349" s="18"/>
      <c r="S349" s="14">
        <v>4</v>
      </c>
    </row>
    <row r="350">
      <c r="A350" s="14">
        <v>5</v>
      </c>
      <c r="B350" s="18"/>
      <c r="C350" s="18"/>
      <c r="D350" s="18"/>
      <c r="E350" s="18"/>
      <c r="F350" s="18"/>
      <c r="G350" s="14">
        <v>5</v>
      </c>
      <c r="M350" s="14">
        <v>5</v>
      </c>
      <c r="N350" s="18"/>
      <c r="O350" s="18"/>
      <c r="P350" s="18"/>
      <c r="Q350" s="18"/>
      <c r="R350" s="18"/>
      <c r="S350" s="14">
        <v>5</v>
      </c>
    </row>
    <row r="352">
      <c r="A352" s="14" t="str">
        <f>CONCATENATE("M 13 ",G207)</f>
      </c>
      <c r="B352" s="18" t="str">
        <f>SUMPRODUCT((UPPER(D346:D350)&lt;&gt;"X")*((LEN(SUBSTITUTE(SUBSTITUTE(SUBSTITUTE(B346:B350," ",""),"0",""),"-",""))+LEN(SUBSTITUTE(SUBSTITUTE(SUBSTITUTE(C346:C350," ",""),"0",""),"-","")))&gt;(LEN(SUBSTITUTE(SUBSTITUTE(SUBSTITUTE(E346:E350," ",""),"0",""),"-",""))+LEN(SUBSTITUTE(SUBSTITUTE(SUBSTITUTE(F346:F350," ",""),"0",""),"-",""))))*1)</f>
      </c>
      <c r="C352" s="18" t="str">
        <f>SUMPRODUCT(LEN(SUBSTITUTE(SUBSTITUTE(SUBSTITUTE(B346:B350," ",""),"0",""),"-",""))+LEN(SUBSTITUTE(SUBSTITUTE(SUBSTITUTE(C346:C350," ",""),"0",""),"-","")))</f>
      </c>
      <c r="D352" s="14"/>
      <c r="E352" s="18" t="str">
        <f>SUMPRODUCT(LEN(SUBSTITUTE(SUBSTITUTE(SUBSTITUTE(E346:E350," ",""),"0",""),"-",""))+LEN(SUBSTITUTE(SUBSTITUTE(SUBSTITUTE(F346:F350," ",""),"0",""),"-","")))</f>
      </c>
      <c r="F352" s="18" t="str">
        <f>SUMPRODUCT((UPPER(D346:D350)&lt;&gt;"X")*((LEN(SUBSTITUTE(SUBSTITUTE(SUBSTITUTE(E346:E350," ",""),"0",""),"-",""))+LEN(SUBSTITUTE(SUBSTITUTE(SUBSTITUTE(F346:F350," ",""),"0",""),"-","")))&gt;(LEN(SUBSTITUTE(SUBSTITUTE(SUBSTITUTE(B346:B350," ",""),"0",""),"-",""))+LEN(SUBSTITUTE(SUBSTITUTE(SUBSTITUTE(C346:C350," ",""),"0",""),"-",""))))*1)</f>
      </c>
      <c r="G352" s="14" t="str">
        <f>CONCATENATE("M 12 ",G191)</f>
      </c>
      <c r="M352" s="14" t="str">
        <f>CONCATENATE("M 28 ",S207)</f>
      </c>
      <c r="N352" s="18" t="str">
        <f>SUMPRODUCT((UPPER(P346:P350)&lt;&gt;"X")*((LEN(SUBSTITUTE(SUBSTITUTE(SUBSTITUTE(N346:N350," ",""),"0",""),"-",""))+LEN(SUBSTITUTE(SUBSTITUTE(SUBSTITUTE(O346:O350," ",""),"0",""),"-","")))&gt;(LEN(SUBSTITUTE(SUBSTITUTE(SUBSTITUTE(Q346:Q350," ",""),"0",""),"-",""))+LEN(SUBSTITUTE(SUBSTITUTE(SUBSTITUTE(R346:R350," ",""),"0",""),"-",""))))*1)</f>
      </c>
      <c r="O352" s="18" t="str">
        <f>SUMPRODUCT(LEN(SUBSTITUTE(SUBSTITUTE(SUBSTITUTE(N346:N350," ",""),"0",""),"-",""))+LEN(SUBSTITUTE(SUBSTITUTE(SUBSTITUTE(O346:O350," ",""),"0",""),"-","")))</f>
      </c>
      <c r="P352" s="14"/>
      <c r="Q352" s="18" t="str">
        <f>SUMPRODUCT(LEN(SUBSTITUTE(SUBSTITUTE(SUBSTITUTE(Q346:Q350," ",""),"0",""),"-",""))+LEN(SUBSTITUTE(SUBSTITUTE(SUBSTITUTE(R346:R350," ",""),"0",""),"-","")))</f>
      </c>
      <c r="R352" s="18" t="str">
        <f>SUMPRODUCT((UPPER(P346:P350)&lt;&gt;"X")*((LEN(SUBSTITUTE(SUBSTITUTE(SUBSTITUTE(Q346:Q350," ",""),"0",""),"-",""))+LEN(SUBSTITUTE(SUBSTITUTE(SUBSTITUTE(R346:R350," ",""),"0",""),"-","")))&gt;(LEN(SUBSTITUTE(SUBSTITUTE(SUBSTITUTE(N346:N350," ",""),"0",""),"-",""))+LEN(SUBSTITUTE(SUBSTITUTE(SUBSTITUTE(O346:O350," ",""),"0",""),"-",""))))*1)</f>
      </c>
      <c r="S352" s="14" t="str">
        <f>CONCATENATE("M 27 ",S191)</f>
      </c>
    </row>
    <row r="353">
      <c r="A353" s="14" t="s">
        <v>346</v>
      </c>
      <c r="B353" s="14"/>
      <c r="C353" s="14"/>
      <c r="D353" s="14"/>
      <c r="E353" s="14"/>
      <c r="F353" s="14"/>
      <c r="G353" s="14" t="s">
        <v>346</v>
      </c>
      <c r="M353" s="14" t="s">
        <v>346</v>
      </c>
      <c r="N353" s="14"/>
      <c r="O353" s="14"/>
      <c r="P353" s="14"/>
      <c r="Q353" s="14"/>
      <c r="R353" s="14"/>
      <c r="S353" s="14" t="s">
        <v>346</v>
      </c>
    </row>
    <row r="356">
      <c r="F356" t="s">
        <v>347</v>
      </c>
      <c r="G356" s="19"/>
      <c r="R356" t="s">
        <v>347</v>
      </c>
      <c r="S356" s="19"/>
    </row>
    <row r="357">
      <c r="F357" t="s">
        <v>348</v>
      </c>
      <c r="G357" s="19"/>
      <c r="R357" t="s">
        <v>348</v>
      </c>
      <c r="S357" s="19"/>
    </row>
    <row r="359">
      <c r="A359" s="13" t="s">
        <v>392</v>
      </c>
      <c r="B359" s="13"/>
      <c r="C359" s="13"/>
      <c r="D359" s="13"/>
      <c r="E359" s="13"/>
      <c r="F359" s="13"/>
      <c r="G359" s="13"/>
      <c r="M359" s="13" t="s">
        <v>393</v>
      </c>
      <c r="N359" s="13"/>
      <c r="O359" s="13"/>
      <c r="P359" s="13"/>
      <c r="Q359" s="13"/>
      <c r="R359" s="13"/>
      <c r="S359" s="13"/>
    </row>
    <row r="360">
      <c r="A360" s="17" t="s">
        <v>239</v>
      </c>
      <c r="D360" s="14" t="s">
        <v>240</v>
      </c>
      <c r="G360" s="16" t="s">
        <v>241</v>
      </c>
      <c r="M360" s="17" t="s">
        <v>239</v>
      </c>
      <c r="P360" s="14" t="s">
        <v>240</v>
      </c>
      <c r="S360" s="16" t="s">
        <v>241</v>
      </c>
    </row>
    <row r="361">
      <c r="A361" s="14" t="str">
        <f>CONCATENATE("M 15 ",G239)</f>
      </c>
      <c r="B361" s="18"/>
      <c r="C361" s="18"/>
      <c r="D361" s="18"/>
      <c r="E361" s="18"/>
      <c r="F361" s="18"/>
      <c r="G361" s="14" t="str">
        <f>CONCATENATE("M 14 ",G223)</f>
      </c>
      <c r="M361" s="14" t="str">
        <f>CONCATENATE("M 30 ",S239)</f>
      </c>
      <c r="N361" s="18"/>
      <c r="O361" s="18"/>
      <c r="P361" s="18"/>
      <c r="Q361" s="18"/>
      <c r="R361" s="18"/>
      <c r="S361" s="14" t="str">
        <f>CONCATENATE("M 29 ",S223)</f>
      </c>
    </row>
    <row r="362">
      <c r="A362" s="14">
        <v>1</v>
      </c>
      <c r="B362" s="18"/>
      <c r="C362" s="18"/>
      <c r="D362" s="18"/>
      <c r="E362" s="18"/>
      <c r="F362" s="18"/>
      <c r="G362" s="14">
        <v>1</v>
      </c>
      <c r="M362" s="14">
        <v>1</v>
      </c>
      <c r="N362" s="18"/>
      <c r="O362" s="18"/>
      <c r="P362" s="18"/>
      <c r="Q362" s="18"/>
      <c r="R362" s="18"/>
      <c r="S362" s="14">
        <v>1</v>
      </c>
    </row>
    <row r="363">
      <c r="A363" s="14">
        <v>2</v>
      </c>
      <c r="B363" s="18"/>
      <c r="C363" s="18"/>
      <c r="D363" s="18"/>
      <c r="E363" s="18"/>
      <c r="F363" s="18"/>
      <c r="G363" s="14">
        <v>2</v>
      </c>
      <c r="M363" s="14">
        <v>2</v>
      </c>
      <c r="N363" s="18"/>
      <c r="O363" s="18"/>
      <c r="P363" s="18"/>
      <c r="Q363" s="18"/>
      <c r="R363" s="18"/>
      <c r="S363" s="14">
        <v>2</v>
      </c>
    </row>
    <row r="364">
      <c r="A364" s="14">
        <v>3</v>
      </c>
      <c r="B364" s="18"/>
      <c r="C364" s="18"/>
      <c r="D364" s="18"/>
      <c r="E364" s="18"/>
      <c r="F364" s="18"/>
      <c r="G364" s="14">
        <v>3</v>
      </c>
      <c r="M364" s="14">
        <v>3</v>
      </c>
      <c r="N364" s="18"/>
      <c r="O364" s="18"/>
      <c r="P364" s="18"/>
      <c r="Q364" s="18"/>
      <c r="R364" s="18"/>
      <c r="S364" s="14">
        <v>3</v>
      </c>
    </row>
    <row r="365">
      <c r="A365" s="14">
        <v>4</v>
      </c>
      <c r="B365" s="18"/>
      <c r="C365" s="18"/>
      <c r="D365" s="18"/>
      <c r="E365" s="18"/>
      <c r="F365" s="18"/>
      <c r="G365" s="14">
        <v>4</v>
      </c>
      <c r="M365" s="14">
        <v>4</v>
      </c>
      <c r="N365" s="18"/>
      <c r="O365" s="18"/>
      <c r="P365" s="18"/>
      <c r="Q365" s="18"/>
      <c r="R365" s="18"/>
      <c r="S365" s="14">
        <v>4</v>
      </c>
    </row>
    <row r="366">
      <c r="A366" s="14">
        <v>5</v>
      </c>
      <c r="B366" s="18"/>
      <c r="C366" s="18"/>
      <c r="D366" s="18"/>
      <c r="E366" s="18"/>
      <c r="F366" s="18"/>
      <c r="G366" s="14">
        <v>5</v>
      </c>
      <c r="M366" s="14">
        <v>5</v>
      </c>
      <c r="N366" s="18"/>
      <c r="O366" s="18"/>
      <c r="P366" s="18"/>
      <c r="Q366" s="18"/>
      <c r="R366" s="18"/>
      <c r="S366" s="14">
        <v>5</v>
      </c>
    </row>
    <row r="368">
      <c r="A368" s="14" t="str">
        <f>CONCATENATE("M 15 ",G239)</f>
      </c>
      <c r="B368" s="18" t="str">
        <f>SUMPRODUCT((UPPER(D362:D366)&lt;&gt;"X")*((LEN(SUBSTITUTE(SUBSTITUTE(SUBSTITUTE(B362:B366," ",""),"0",""),"-",""))+LEN(SUBSTITUTE(SUBSTITUTE(SUBSTITUTE(C362:C366," ",""),"0",""),"-","")))&gt;(LEN(SUBSTITUTE(SUBSTITUTE(SUBSTITUTE(E362:E366," ",""),"0",""),"-",""))+LEN(SUBSTITUTE(SUBSTITUTE(SUBSTITUTE(F362:F366," ",""),"0",""),"-",""))))*1)</f>
      </c>
      <c r="C368" s="18" t="str">
        <f>SUMPRODUCT(LEN(SUBSTITUTE(SUBSTITUTE(SUBSTITUTE(B362:B366," ",""),"0",""),"-",""))+LEN(SUBSTITUTE(SUBSTITUTE(SUBSTITUTE(C362:C366," ",""),"0",""),"-","")))</f>
      </c>
      <c r="D368" s="14"/>
      <c r="E368" s="18" t="str">
        <f>SUMPRODUCT(LEN(SUBSTITUTE(SUBSTITUTE(SUBSTITUTE(E362:E366," ",""),"0",""),"-",""))+LEN(SUBSTITUTE(SUBSTITUTE(SUBSTITUTE(F362:F366," ",""),"0",""),"-","")))</f>
      </c>
      <c r="F368" s="18" t="str">
        <f>SUMPRODUCT((UPPER(D362:D366)&lt;&gt;"X")*((LEN(SUBSTITUTE(SUBSTITUTE(SUBSTITUTE(E362:E366," ",""),"0",""),"-",""))+LEN(SUBSTITUTE(SUBSTITUTE(SUBSTITUTE(F362:F366," ",""),"0",""),"-","")))&gt;(LEN(SUBSTITUTE(SUBSTITUTE(SUBSTITUTE(B362:B366," ",""),"0",""),"-",""))+LEN(SUBSTITUTE(SUBSTITUTE(SUBSTITUTE(C362:C366," ",""),"0",""),"-",""))))*1)</f>
      </c>
      <c r="G368" s="14" t="str">
        <f>CONCATENATE("M 14 ",G223)</f>
      </c>
      <c r="M368" s="14" t="str">
        <f>CONCATENATE("M 30 ",S239)</f>
      </c>
      <c r="N368" s="18" t="str">
        <f>SUMPRODUCT((UPPER(P362:P366)&lt;&gt;"X")*((LEN(SUBSTITUTE(SUBSTITUTE(SUBSTITUTE(N362:N366," ",""),"0",""),"-",""))+LEN(SUBSTITUTE(SUBSTITUTE(SUBSTITUTE(O362:O366," ",""),"0",""),"-","")))&gt;(LEN(SUBSTITUTE(SUBSTITUTE(SUBSTITUTE(Q362:Q366," ",""),"0",""),"-",""))+LEN(SUBSTITUTE(SUBSTITUTE(SUBSTITUTE(R362:R366," ",""),"0",""),"-",""))))*1)</f>
      </c>
      <c r="O368" s="18" t="str">
        <f>SUMPRODUCT(LEN(SUBSTITUTE(SUBSTITUTE(SUBSTITUTE(N362:N366," ",""),"0",""),"-",""))+LEN(SUBSTITUTE(SUBSTITUTE(SUBSTITUTE(O362:O366," ",""),"0",""),"-","")))</f>
      </c>
      <c r="P368" s="14"/>
      <c r="Q368" s="18" t="str">
        <f>SUMPRODUCT(LEN(SUBSTITUTE(SUBSTITUTE(SUBSTITUTE(Q362:Q366," ",""),"0",""),"-",""))+LEN(SUBSTITUTE(SUBSTITUTE(SUBSTITUTE(R362:R366," ",""),"0",""),"-","")))</f>
      </c>
      <c r="R368" s="18" t="str">
        <f>SUMPRODUCT((UPPER(P362:P366)&lt;&gt;"X")*((LEN(SUBSTITUTE(SUBSTITUTE(SUBSTITUTE(Q362:Q366," ",""),"0",""),"-",""))+LEN(SUBSTITUTE(SUBSTITUTE(SUBSTITUTE(R362:R366," ",""),"0",""),"-","")))&gt;(LEN(SUBSTITUTE(SUBSTITUTE(SUBSTITUTE(N362:N366," ",""),"0",""),"-",""))+LEN(SUBSTITUTE(SUBSTITUTE(SUBSTITUTE(O362:O366," ",""),"0",""),"-",""))))*1)</f>
      </c>
      <c r="S368" s="14" t="str">
        <f>CONCATENATE("M 29 ",S223)</f>
      </c>
    </row>
    <row r="369">
      <c r="A369" s="14" t="s">
        <v>346</v>
      </c>
      <c r="B369" s="14"/>
      <c r="C369" s="14"/>
      <c r="D369" s="14"/>
      <c r="E369" s="14"/>
      <c r="F369" s="14"/>
      <c r="G369" s="14" t="s">
        <v>346</v>
      </c>
      <c r="M369" s="14" t="s">
        <v>346</v>
      </c>
      <c r="N369" s="14"/>
      <c r="O369" s="14"/>
      <c r="P369" s="14"/>
      <c r="Q369" s="14"/>
      <c r="R369" s="14"/>
      <c r="S369" s="14" t="s">
        <v>346</v>
      </c>
    </row>
    <row r="372">
      <c r="F372" t="s">
        <v>347</v>
      </c>
      <c r="G372" s="19"/>
      <c r="R372" t="s">
        <v>347</v>
      </c>
      <c r="S372" s="19"/>
    </row>
    <row r="373">
      <c r="F373" t="s">
        <v>348</v>
      </c>
      <c r="G373" s="19"/>
      <c r="R373" t="s">
        <v>348</v>
      </c>
      <c r="S373" s="19"/>
    </row>
    <row r="380">
      <c r="A380" s="13" t="s">
        <v>394</v>
      </c>
      <c r="B380" s="13"/>
      <c r="C380" s="13"/>
      <c r="D380" s="13"/>
      <c r="E380" s="13"/>
      <c r="F380" s="13"/>
      <c r="G380" s="13"/>
      <c r="M380" s="13" t="s">
        <v>395</v>
      </c>
      <c r="N380" s="13"/>
      <c r="O380" s="13"/>
      <c r="P380" s="13"/>
      <c r="Q380" s="13"/>
      <c r="R380" s="13"/>
      <c r="S380" s="13"/>
    </row>
    <row r="381">
      <c r="A381" s="17" t="s">
        <v>239</v>
      </c>
      <c r="D381" s="14" t="s">
        <v>240</v>
      </c>
      <c r="G381" s="16" t="s">
        <v>241</v>
      </c>
      <c r="M381" s="17" t="s">
        <v>239</v>
      </c>
      <c r="P381" s="14" t="s">
        <v>240</v>
      </c>
      <c r="S381" s="16" t="s">
        <v>241</v>
      </c>
    </row>
    <row r="382">
      <c r="A382" s="14" t="str">
        <f>CONCATENATE("M 32 ",G276)</f>
      </c>
      <c r="B382" s="18"/>
      <c r="C382" s="18"/>
      <c r="D382" s="18"/>
      <c r="E382" s="18"/>
      <c r="F382" s="18"/>
      <c r="G382" s="14" t="str">
        <f>CONCATENATE("M 31 ",G260)</f>
      </c>
      <c r="M382" s="14" t="str">
        <f>CONCATENATE("M 40 ",S276)</f>
      </c>
      <c r="N382" s="18"/>
      <c r="O382" s="18"/>
      <c r="P382" s="18"/>
      <c r="Q382" s="18"/>
      <c r="R382" s="18"/>
      <c r="S382" s="14" t="str">
        <f>CONCATENATE("M 39 ",S260)</f>
      </c>
    </row>
    <row r="383">
      <c r="A383" s="14">
        <v>1</v>
      </c>
      <c r="B383" s="18"/>
      <c r="C383" s="18"/>
      <c r="D383" s="18"/>
      <c r="E383" s="18"/>
      <c r="F383" s="18"/>
      <c r="G383" s="14">
        <v>1</v>
      </c>
      <c r="M383" s="14">
        <v>1</v>
      </c>
      <c r="N383" s="18"/>
      <c r="O383" s="18"/>
      <c r="P383" s="18"/>
      <c r="Q383" s="18"/>
      <c r="R383" s="18"/>
      <c r="S383" s="14">
        <v>1</v>
      </c>
    </row>
    <row r="384">
      <c r="A384" s="14">
        <v>2</v>
      </c>
      <c r="B384" s="18"/>
      <c r="C384" s="18"/>
      <c r="D384" s="18"/>
      <c r="E384" s="18"/>
      <c r="F384" s="18"/>
      <c r="G384" s="14">
        <v>2</v>
      </c>
      <c r="M384" s="14">
        <v>2</v>
      </c>
      <c r="N384" s="18"/>
      <c r="O384" s="18"/>
      <c r="P384" s="18"/>
      <c r="Q384" s="18"/>
      <c r="R384" s="18"/>
      <c r="S384" s="14">
        <v>2</v>
      </c>
    </row>
    <row r="385">
      <c r="A385" s="14">
        <v>3</v>
      </c>
      <c r="B385" s="18"/>
      <c r="C385" s="18"/>
      <c r="D385" s="18"/>
      <c r="E385" s="18"/>
      <c r="F385" s="18"/>
      <c r="G385" s="14">
        <v>3</v>
      </c>
      <c r="M385" s="14">
        <v>3</v>
      </c>
      <c r="N385" s="18"/>
      <c r="O385" s="18"/>
      <c r="P385" s="18"/>
      <c r="Q385" s="18"/>
      <c r="R385" s="18"/>
      <c r="S385" s="14">
        <v>3</v>
      </c>
    </row>
    <row r="386">
      <c r="A386" s="14">
        <v>4</v>
      </c>
      <c r="B386" s="18"/>
      <c r="C386" s="18"/>
      <c r="D386" s="18"/>
      <c r="E386" s="18"/>
      <c r="F386" s="18"/>
      <c r="G386" s="14">
        <v>4</v>
      </c>
      <c r="M386" s="14">
        <v>4</v>
      </c>
      <c r="N386" s="18"/>
      <c r="O386" s="18"/>
      <c r="P386" s="18"/>
      <c r="Q386" s="18"/>
      <c r="R386" s="18"/>
      <c r="S386" s="14">
        <v>4</v>
      </c>
    </row>
    <row r="387">
      <c r="A387" s="14">
        <v>5</v>
      </c>
      <c r="B387" s="18"/>
      <c r="C387" s="18"/>
      <c r="D387" s="18"/>
      <c r="E387" s="18"/>
      <c r="F387" s="18"/>
      <c r="G387" s="14">
        <v>5</v>
      </c>
      <c r="M387" s="14">
        <v>5</v>
      </c>
      <c r="N387" s="18"/>
      <c r="O387" s="18"/>
      <c r="P387" s="18"/>
      <c r="Q387" s="18"/>
      <c r="R387" s="18"/>
      <c r="S387" s="14">
        <v>5</v>
      </c>
    </row>
    <row r="389">
      <c r="A389" s="14" t="str">
        <f>CONCATENATE("M 32 ",G276)</f>
      </c>
      <c r="B389" s="18" t="str">
        <f>SUMPRODUCT((UPPER(D383:D387)&lt;&gt;"X")*((LEN(SUBSTITUTE(SUBSTITUTE(SUBSTITUTE(B383:B387," ",""),"0",""),"-",""))+LEN(SUBSTITUTE(SUBSTITUTE(SUBSTITUTE(C383:C387," ",""),"0",""),"-","")))&gt;(LEN(SUBSTITUTE(SUBSTITUTE(SUBSTITUTE(E383:E387," ",""),"0",""),"-",""))+LEN(SUBSTITUTE(SUBSTITUTE(SUBSTITUTE(F383:F387," ",""),"0",""),"-",""))))*1)</f>
      </c>
      <c r="C389" s="18" t="str">
        <f>SUMPRODUCT(LEN(SUBSTITUTE(SUBSTITUTE(SUBSTITUTE(B383:B387," ",""),"0",""),"-",""))+LEN(SUBSTITUTE(SUBSTITUTE(SUBSTITUTE(C383:C387," ",""),"0",""),"-","")))</f>
      </c>
      <c r="D389" s="14"/>
      <c r="E389" s="18" t="str">
        <f>SUMPRODUCT(LEN(SUBSTITUTE(SUBSTITUTE(SUBSTITUTE(E383:E387," ",""),"0",""),"-",""))+LEN(SUBSTITUTE(SUBSTITUTE(SUBSTITUTE(F383:F387," ",""),"0",""),"-","")))</f>
      </c>
      <c r="F389" s="18" t="str">
        <f>SUMPRODUCT((UPPER(D383:D387)&lt;&gt;"X")*((LEN(SUBSTITUTE(SUBSTITUTE(SUBSTITUTE(E383:E387," ",""),"0",""),"-",""))+LEN(SUBSTITUTE(SUBSTITUTE(SUBSTITUTE(F383:F387," ",""),"0",""),"-","")))&gt;(LEN(SUBSTITUTE(SUBSTITUTE(SUBSTITUTE(B383:B387," ",""),"0",""),"-",""))+LEN(SUBSTITUTE(SUBSTITUTE(SUBSTITUTE(C383:C387," ",""),"0",""),"-",""))))*1)</f>
      </c>
      <c r="G389" s="14" t="str">
        <f>CONCATENATE("M 31 ",G260)</f>
      </c>
      <c r="M389" s="14" t="str">
        <f>CONCATENATE("M 40 ",S276)</f>
      </c>
      <c r="N389" s="18" t="str">
        <f>SUMPRODUCT((UPPER(P383:P387)&lt;&gt;"X")*((LEN(SUBSTITUTE(SUBSTITUTE(SUBSTITUTE(N383:N387," ",""),"0",""),"-",""))+LEN(SUBSTITUTE(SUBSTITUTE(SUBSTITUTE(O383:O387," ",""),"0",""),"-","")))&gt;(LEN(SUBSTITUTE(SUBSTITUTE(SUBSTITUTE(Q383:Q387," ",""),"0",""),"-",""))+LEN(SUBSTITUTE(SUBSTITUTE(SUBSTITUTE(R383:R387," ",""),"0",""),"-",""))))*1)</f>
      </c>
      <c r="O389" s="18" t="str">
        <f>SUMPRODUCT(LEN(SUBSTITUTE(SUBSTITUTE(SUBSTITUTE(N383:N387," ",""),"0",""),"-",""))+LEN(SUBSTITUTE(SUBSTITUTE(SUBSTITUTE(O383:O387," ",""),"0",""),"-","")))</f>
      </c>
      <c r="P389" s="14"/>
      <c r="Q389" s="18" t="str">
        <f>SUMPRODUCT(LEN(SUBSTITUTE(SUBSTITUTE(SUBSTITUTE(Q383:Q387," ",""),"0",""),"-",""))+LEN(SUBSTITUTE(SUBSTITUTE(SUBSTITUTE(R383:R387," ",""),"0",""),"-","")))</f>
      </c>
      <c r="R389" s="18" t="str">
        <f>SUMPRODUCT((UPPER(P383:P387)&lt;&gt;"X")*((LEN(SUBSTITUTE(SUBSTITUTE(SUBSTITUTE(Q383:Q387," ",""),"0",""),"-",""))+LEN(SUBSTITUTE(SUBSTITUTE(SUBSTITUTE(R383:R387," ",""),"0",""),"-","")))&gt;(LEN(SUBSTITUTE(SUBSTITUTE(SUBSTITUTE(N383:N387," ",""),"0",""),"-",""))+LEN(SUBSTITUTE(SUBSTITUTE(SUBSTITUTE(O383:O387," ",""),"0",""),"-",""))))*1)</f>
      </c>
      <c r="S389" s="14" t="str">
        <f>CONCATENATE("M 39 ",S260)</f>
      </c>
    </row>
    <row r="390">
      <c r="A390" s="14" t="s">
        <v>346</v>
      </c>
      <c r="B390" s="14"/>
      <c r="C390" s="14"/>
      <c r="D390" s="14"/>
      <c r="E390" s="14"/>
      <c r="F390" s="14"/>
      <c r="G390" s="14" t="s">
        <v>346</v>
      </c>
      <c r="M390" s="14" t="s">
        <v>346</v>
      </c>
      <c r="N390" s="14"/>
      <c r="O390" s="14"/>
      <c r="P390" s="14"/>
      <c r="Q390" s="14"/>
      <c r="R390" s="14"/>
      <c r="S390" s="14" t="s">
        <v>346</v>
      </c>
    </row>
    <row r="393">
      <c r="F393" t="s">
        <v>347</v>
      </c>
      <c r="G393" s="19"/>
      <c r="R393" t="s">
        <v>347</v>
      </c>
      <c r="S393" s="19"/>
    </row>
    <row r="394">
      <c r="F394" t="s">
        <v>348</v>
      </c>
      <c r="G394" s="19"/>
      <c r="R394" t="s">
        <v>348</v>
      </c>
      <c r="S394" s="19"/>
    </row>
    <row r="396">
      <c r="A396" s="13" t="s">
        <v>396</v>
      </c>
      <c r="B396" s="13"/>
      <c r="C396" s="13"/>
      <c r="D396" s="13"/>
      <c r="E396" s="13"/>
      <c r="F396" s="13"/>
      <c r="G396" s="13"/>
      <c r="M396" s="13" t="s">
        <v>397</v>
      </c>
      <c r="N396" s="13"/>
      <c r="O396" s="13"/>
      <c r="P396" s="13"/>
      <c r="Q396" s="13"/>
      <c r="R396" s="13"/>
      <c r="S396" s="13"/>
    </row>
    <row r="397">
      <c r="A397" s="17" t="s">
        <v>239</v>
      </c>
      <c r="D397" s="14" t="s">
        <v>240</v>
      </c>
      <c r="G397" s="16" t="s">
        <v>241</v>
      </c>
      <c r="M397" s="17" t="s">
        <v>239</v>
      </c>
      <c r="P397" s="14" t="s">
        <v>240</v>
      </c>
      <c r="S397" s="16" t="s">
        <v>241</v>
      </c>
    </row>
    <row r="398">
      <c r="A398" s="14" t="str">
        <f>CONCATENATE("M 34 ",G308)</f>
      </c>
      <c r="B398" s="18"/>
      <c r="C398" s="18"/>
      <c r="D398" s="18"/>
      <c r="E398" s="18"/>
      <c r="F398" s="18"/>
      <c r="G398" s="14" t="str">
        <f>CONCATENATE("M 33 ",G292)</f>
      </c>
      <c r="M398" s="14" t="str">
        <f>CONCATENATE("M 42 ",S308)</f>
      </c>
      <c r="N398" s="18"/>
      <c r="O398" s="18"/>
      <c r="P398" s="18"/>
      <c r="Q398" s="18"/>
      <c r="R398" s="18"/>
      <c r="S398" s="14" t="str">
        <f>CONCATENATE("M 41 ",S292)</f>
      </c>
    </row>
    <row r="399">
      <c r="A399" s="14">
        <v>1</v>
      </c>
      <c r="B399" s="18"/>
      <c r="C399" s="18"/>
      <c r="D399" s="18"/>
      <c r="E399" s="18"/>
      <c r="F399" s="18"/>
      <c r="G399" s="14">
        <v>1</v>
      </c>
      <c r="M399" s="14">
        <v>1</v>
      </c>
      <c r="N399" s="18"/>
      <c r="O399" s="18"/>
      <c r="P399" s="18"/>
      <c r="Q399" s="18"/>
      <c r="R399" s="18"/>
      <c r="S399" s="14">
        <v>1</v>
      </c>
    </row>
    <row r="400">
      <c r="A400" s="14">
        <v>2</v>
      </c>
      <c r="B400" s="18"/>
      <c r="C400" s="18"/>
      <c r="D400" s="18"/>
      <c r="E400" s="18"/>
      <c r="F400" s="18"/>
      <c r="G400" s="14">
        <v>2</v>
      </c>
      <c r="M400" s="14">
        <v>2</v>
      </c>
      <c r="N400" s="18"/>
      <c r="O400" s="18"/>
      <c r="P400" s="18"/>
      <c r="Q400" s="18"/>
      <c r="R400" s="18"/>
      <c r="S400" s="14">
        <v>2</v>
      </c>
    </row>
    <row r="401">
      <c r="A401" s="14">
        <v>3</v>
      </c>
      <c r="B401" s="18"/>
      <c r="C401" s="18"/>
      <c r="D401" s="18"/>
      <c r="E401" s="18"/>
      <c r="F401" s="18"/>
      <c r="G401" s="14">
        <v>3</v>
      </c>
      <c r="M401" s="14">
        <v>3</v>
      </c>
      <c r="N401" s="18"/>
      <c r="O401" s="18"/>
      <c r="P401" s="18"/>
      <c r="Q401" s="18"/>
      <c r="R401" s="18"/>
      <c r="S401" s="14">
        <v>3</v>
      </c>
    </row>
    <row r="402">
      <c r="A402" s="14">
        <v>4</v>
      </c>
      <c r="B402" s="18"/>
      <c r="C402" s="18"/>
      <c r="D402" s="18"/>
      <c r="E402" s="18"/>
      <c r="F402" s="18"/>
      <c r="G402" s="14">
        <v>4</v>
      </c>
      <c r="M402" s="14">
        <v>4</v>
      </c>
      <c r="N402" s="18"/>
      <c r="O402" s="18"/>
      <c r="P402" s="18"/>
      <c r="Q402" s="18"/>
      <c r="R402" s="18"/>
      <c r="S402" s="14">
        <v>4</v>
      </c>
    </row>
    <row r="403">
      <c r="A403" s="14">
        <v>5</v>
      </c>
      <c r="B403" s="18"/>
      <c r="C403" s="18"/>
      <c r="D403" s="18"/>
      <c r="E403" s="18"/>
      <c r="F403" s="18"/>
      <c r="G403" s="14">
        <v>5</v>
      </c>
      <c r="M403" s="14">
        <v>5</v>
      </c>
      <c r="N403" s="18"/>
      <c r="O403" s="18"/>
      <c r="P403" s="18"/>
      <c r="Q403" s="18"/>
      <c r="R403" s="18"/>
      <c r="S403" s="14">
        <v>5</v>
      </c>
    </row>
    <row r="405">
      <c r="A405" s="14" t="str">
        <f>CONCATENATE("M 34 ",G308)</f>
      </c>
      <c r="B405" s="18" t="str">
        <f>SUMPRODUCT((UPPER(D399:D403)&lt;&gt;"X")*((LEN(SUBSTITUTE(SUBSTITUTE(SUBSTITUTE(B399:B403," ",""),"0",""),"-",""))+LEN(SUBSTITUTE(SUBSTITUTE(SUBSTITUTE(C399:C403," ",""),"0",""),"-","")))&gt;(LEN(SUBSTITUTE(SUBSTITUTE(SUBSTITUTE(E399:E403," ",""),"0",""),"-",""))+LEN(SUBSTITUTE(SUBSTITUTE(SUBSTITUTE(F399:F403," ",""),"0",""),"-",""))))*1)</f>
      </c>
      <c r="C405" s="18" t="str">
        <f>SUMPRODUCT(LEN(SUBSTITUTE(SUBSTITUTE(SUBSTITUTE(B399:B403," ",""),"0",""),"-",""))+LEN(SUBSTITUTE(SUBSTITUTE(SUBSTITUTE(C399:C403," ",""),"0",""),"-","")))</f>
      </c>
      <c r="D405" s="14"/>
      <c r="E405" s="18" t="str">
        <f>SUMPRODUCT(LEN(SUBSTITUTE(SUBSTITUTE(SUBSTITUTE(E399:E403," ",""),"0",""),"-",""))+LEN(SUBSTITUTE(SUBSTITUTE(SUBSTITUTE(F399:F403," ",""),"0",""),"-","")))</f>
      </c>
      <c r="F405" s="18" t="str">
        <f>SUMPRODUCT((UPPER(D399:D403)&lt;&gt;"X")*((LEN(SUBSTITUTE(SUBSTITUTE(SUBSTITUTE(E399:E403," ",""),"0",""),"-",""))+LEN(SUBSTITUTE(SUBSTITUTE(SUBSTITUTE(F399:F403," ",""),"0",""),"-","")))&gt;(LEN(SUBSTITUTE(SUBSTITUTE(SUBSTITUTE(B399:B403," ",""),"0",""),"-",""))+LEN(SUBSTITUTE(SUBSTITUTE(SUBSTITUTE(C399:C403," ",""),"0",""),"-",""))))*1)</f>
      </c>
      <c r="G405" s="14" t="str">
        <f>CONCATENATE("M 33 ",G292)</f>
      </c>
      <c r="M405" s="14" t="str">
        <f>CONCATENATE("M 42 ",S308)</f>
      </c>
      <c r="N405" s="18" t="str">
        <f>SUMPRODUCT((UPPER(P399:P403)&lt;&gt;"X")*((LEN(SUBSTITUTE(SUBSTITUTE(SUBSTITUTE(N399:N403," ",""),"0",""),"-",""))+LEN(SUBSTITUTE(SUBSTITUTE(SUBSTITUTE(O399:O403," ",""),"0",""),"-","")))&gt;(LEN(SUBSTITUTE(SUBSTITUTE(SUBSTITUTE(Q399:Q403," ",""),"0",""),"-",""))+LEN(SUBSTITUTE(SUBSTITUTE(SUBSTITUTE(R399:R403," ",""),"0",""),"-",""))))*1)</f>
      </c>
      <c r="O405" s="18" t="str">
        <f>SUMPRODUCT(LEN(SUBSTITUTE(SUBSTITUTE(SUBSTITUTE(N399:N403," ",""),"0",""),"-",""))+LEN(SUBSTITUTE(SUBSTITUTE(SUBSTITUTE(O399:O403," ",""),"0",""),"-","")))</f>
      </c>
      <c r="P405" s="14"/>
      <c r="Q405" s="18" t="str">
        <f>SUMPRODUCT(LEN(SUBSTITUTE(SUBSTITUTE(SUBSTITUTE(Q399:Q403," ",""),"0",""),"-",""))+LEN(SUBSTITUTE(SUBSTITUTE(SUBSTITUTE(R399:R403," ",""),"0",""),"-","")))</f>
      </c>
      <c r="R405" s="18" t="str">
        <f>SUMPRODUCT((UPPER(P399:P403)&lt;&gt;"X")*((LEN(SUBSTITUTE(SUBSTITUTE(SUBSTITUTE(Q399:Q403," ",""),"0",""),"-",""))+LEN(SUBSTITUTE(SUBSTITUTE(SUBSTITUTE(R399:R403," ",""),"0",""),"-","")))&gt;(LEN(SUBSTITUTE(SUBSTITUTE(SUBSTITUTE(N399:N403," ",""),"0",""),"-",""))+LEN(SUBSTITUTE(SUBSTITUTE(SUBSTITUTE(O399:O403," ",""),"0",""),"-",""))))*1)</f>
      </c>
      <c r="S405" s="14" t="str">
        <f>CONCATENATE("M 41 ",S292)</f>
      </c>
    </row>
    <row r="406">
      <c r="A406" s="14" t="s">
        <v>346</v>
      </c>
      <c r="B406" s="14"/>
      <c r="C406" s="14"/>
      <c r="D406" s="14"/>
      <c r="E406" s="14"/>
      <c r="F406" s="14"/>
      <c r="G406" s="14" t="s">
        <v>346</v>
      </c>
      <c r="M406" s="14" t="s">
        <v>346</v>
      </c>
      <c r="N406" s="14"/>
      <c r="O406" s="14"/>
      <c r="P406" s="14"/>
      <c r="Q406" s="14"/>
      <c r="R406" s="14"/>
      <c r="S406" s="14" t="s">
        <v>346</v>
      </c>
    </row>
    <row r="409">
      <c r="F409" t="s">
        <v>347</v>
      </c>
      <c r="G409" s="19"/>
      <c r="R409" t="s">
        <v>347</v>
      </c>
      <c r="S409" s="19"/>
    </row>
    <row r="410">
      <c r="F410" t="s">
        <v>348</v>
      </c>
      <c r="G410" s="19"/>
      <c r="R410" t="s">
        <v>348</v>
      </c>
      <c r="S410" s="19"/>
    </row>
    <row r="412">
      <c r="A412" s="13" t="s">
        <v>398</v>
      </c>
      <c r="B412" s="13"/>
      <c r="C412" s="13"/>
      <c r="D412" s="13"/>
      <c r="E412" s="13"/>
      <c r="F412" s="13"/>
      <c r="G412" s="13"/>
      <c r="M412" s="13" t="s">
        <v>399</v>
      </c>
      <c r="N412" s="13"/>
      <c r="O412" s="13"/>
      <c r="P412" s="13"/>
      <c r="Q412" s="13"/>
      <c r="R412" s="13"/>
      <c r="S412" s="13"/>
    </row>
    <row r="413">
      <c r="A413" s="17" t="s">
        <v>239</v>
      </c>
      <c r="D413" s="14" t="s">
        <v>240</v>
      </c>
      <c r="G413" s="16" t="s">
        <v>241</v>
      </c>
      <c r="M413" s="17" t="s">
        <v>239</v>
      </c>
      <c r="P413" s="14" t="s">
        <v>240</v>
      </c>
      <c r="S413" s="16" t="s">
        <v>241</v>
      </c>
    </row>
    <row r="414">
      <c r="A414" s="14" t="str">
        <f>CONCATENATE("M 36 ",G340)</f>
      </c>
      <c r="B414" s="18"/>
      <c r="C414" s="18"/>
      <c r="D414" s="18"/>
      <c r="E414" s="18"/>
      <c r="F414" s="18"/>
      <c r="G414" s="14" t="str">
        <f>CONCATENATE("M 35 ",G324)</f>
      </c>
      <c r="M414" s="14" t="str">
        <f>CONCATENATE("M 44 ",S340)</f>
      </c>
      <c r="N414" s="18"/>
      <c r="O414" s="18"/>
      <c r="P414" s="18"/>
      <c r="Q414" s="18"/>
      <c r="R414" s="18"/>
      <c r="S414" s="14" t="str">
        <f>CONCATENATE("M 43 ",S324)</f>
      </c>
    </row>
    <row r="415">
      <c r="A415" s="14">
        <v>1</v>
      </c>
      <c r="B415" s="18"/>
      <c r="C415" s="18"/>
      <c r="D415" s="18"/>
      <c r="E415" s="18"/>
      <c r="F415" s="18"/>
      <c r="G415" s="14">
        <v>1</v>
      </c>
      <c r="M415" s="14">
        <v>1</v>
      </c>
      <c r="N415" s="18"/>
      <c r="O415" s="18"/>
      <c r="P415" s="18"/>
      <c r="Q415" s="18"/>
      <c r="R415" s="18"/>
      <c r="S415" s="14">
        <v>1</v>
      </c>
    </row>
    <row r="416">
      <c r="A416" s="14">
        <v>2</v>
      </c>
      <c r="B416" s="18"/>
      <c r="C416" s="18"/>
      <c r="D416" s="18"/>
      <c r="E416" s="18"/>
      <c r="F416" s="18"/>
      <c r="G416" s="14">
        <v>2</v>
      </c>
      <c r="M416" s="14">
        <v>2</v>
      </c>
      <c r="N416" s="18"/>
      <c r="O416" s="18"/>
      <c r="P416" s="18"/>
      <c r="Q416" s="18"/>
      <c r="R416" s="18"/>
      <c r="S416" s="14">
        <v>2</v>
      </c>
    </row>
    <row r="417">
      <c r="A417" s="14">
        <v>3</v>
      </c>
      <c r="B417" s="18"/>
      <c r="C417" s="18"/>
      <c r="D417" s="18"/>
      <c r="E417" s="18"/>
      <c r="F417" s="18"/>
      <c r="G417" s="14">
        <v>3</v>
      </c>
      <c r="M417" s="14">
        <v>3</v>
      </c>
      <c r="N417" s="18"/>
      <c r="O417" s="18"/>
      <c r="P417" s="18"/>
      <c r="Q417" s="18"/>
      <c r="R417" s="18"/>
      <c r="S417" s="14">
        <v>3</v>
      </c>
    </row>
    <row r="418">
      <c r="A418" s="14">
        <v>4</v>
      </c>
      <c r="B418" s="18"/>
      <c r="C418" s="18"/>
      <c r="D418" s="18"/>
      <c r="E418" s="18"/>
      <c r="F418" s="18"/>
      <c r="G418" s="14">
        <v>4</v>
      </c>
      <c r="M418" s="14">
        <v>4</v>
      </c>
      <c r="N418" s="18"/>
      <c r="O418" s="18"/>
      <c r="P418" s="18"/>
      <c r="Q418" s="18"/>
      <c r="R418" s="18"/>
      <c r="S418" s="14">
        <v>4</v>
      </c>
    </row>
    <row r="419">
      <c r="A419" s="14">
        <v>5</v>
      </c>
      <c r="B419" s="18"/>
      <c r="C419" s="18"/>
      <c r="D419" s="18"/>
      <c r="E419" s="18"/>
      <c r="F419" s="18"/>
      <c r="G419" s="14">
        <v>5</v>
      </c>
      <c r="M419" s="14">
        <v>5</v>
      </c>
      <c r="N419" s="18"/>
      <c r="O419" s="18"/>
      <c r="P419" s="18"/>
      <c r="Q419" s="18"/>
      <c r="R419" s="18"/>
      <c r="S419" s="14">
        <v>5</v>
      </c>
    </row>
    <row r="421">
      <c r="A421" s="14" t="str">
        <f>CONCATENATE("M 36 ",G340)</f>
      </c>
      <c r="B421" s="18" t="str">
        <f>SUMPRODUCT((UPPER(D415:D419)&lt;&gt;"X")*((LEN(SUBSTITUTE(SUBSTITUTE(SUBSTITUTE(B415:B419," ",""),"0",""),"-",""))+LEN(SUBSTITUTE(SUBSTITUTE(SUBSTITUTE(C415:C419," ",""),"0",""),"-","")))&gt;(LEN(SUBSTITUTE(SUBSTITUTE(SUBSTITUTE(E415:E419," ",""),"0",""),"-",""))+LEN(SUBSTITUTE(SUBSTITUTE(SUBSTITUTE(F415:F419," ",""),"0",""),"-",""))))*1)</f>
      </c>
      <c r="C421" s="18" t="str">
        <f>SUMPRODUCT(LEN(SUBSTITUTE(SUBSTITUTE(SUBSTITUTE(B415:B419," ",""),"0",""),"-",""))+LEN(SUBSTITUTE(SUBSTITUTE(SUBSTITUTE(C415:C419," ",""),"0",""),"-","")))</f>
      </c>
      <c r="D421" s="14"/>
      <c r="E421" s="18" t="str">
        <f>SUMPRODUCT(LEN(SUBSTITUTE(SUBSTITUTE(SUBSTITUTE(E415:E419," ",""),"0",""),"-",""))+LEN(SUBSTITUTE(SUBSTITUTE(SUBSTITUTE(F415:F419," ",""),"0",""),"-","")))</f>
      </c>
      <c r="F421" s="18" t="str">
        <f>SUMPRODUCT((UPPER(D415:D419)&lt;&gt;"X")*((LEN(SUBSTITUTE(SUBSTITUTE(SUBSTITUTE(E415:E419," ",""),"0",""),"-",""))+LEN(SUBSTITUTE(SUBSTITUTE(SUBSTITUTE(F415:F419," ",""),"0",""),"-","")))&gt;(LEN(SUBSTITUTE(SUBSTITUTE(SUBSTITUTE(B415:B419," ",""),"0",""),"-",""))+LEN(SUBSTITUTE(SUBSTITUTE(SUBSTITUTE(C415:C419," ",""),"0",""),"-",""))))*1)</f>
      </c>
      <c r="G421" s="14" t="str">
        <f>CONCATENATE("M 35 ",G324)</f>
      </c>
      <c r="M421" s="14" t="str">
        <f>CONCATENATE("M 44 ",S340)</f>
      </c>
      <c r="N421" s="18" t="str">
        <f>SUMPRODUCT((UPPER(P415:P419)&lt;&gt;"X")*((LEN(SUBSTITUTE(SUBSTITUTE(SUBSTITUTE(N415:N419," ",""),"0",""),"-",""))+LEN(SUBSTITUTE(SUBSTITUTE(SUBSTITUTE(O415:O419," ",""),"0",""),"-","")))&gt;(LEN(SUBSTITUTE(SUBSTITUTE(SUBSTITUTE(Q415:Q419," ",""),"0",""),"-",""))+LEN(SUBSTITUTE(SUBSTITUTE(SUBSTITUTE(R415:R419," ",""),"0",""),"-",""))))*1)</f>
      </c>
      <c r="O421" s="18" t="str">
        <f>SUMPRODUCT(LEN(SUBSTITUTE(SUBSTITUTE(SUBSTITUTE(N415:N419," ",""),"0",""),"-",""))+LEN(SUBSTITUTE(SUBSTITUTE(SUBSTITUTE(O415:O419," ",""),"0",""),"-","")))</f>
      </c>
      <c r="P421" s="14"/>
      <c r="Q421" s="18" t="str">
        <f>SUMPRODUCT(LEN(SUBSTITUTE(SUBSTITUTE(SUBSTITUTE(Q415:Q419," ",""),"0",""),"-",""))+LEN(SUBSTITUTE(SUBSTITUTE(SUBSTITUTE(R415:R419," ",""),"0",""),"-","")))</f>
      </c>
      <c r="R421" s="18" t="str">
        <f>SUMPRODUCT((UPPER(P415:P419)&lt;&gt;"X")*((LEN(SUBSTITUTE(SUBSTITUTE(SUBSTITUTE(Q415:Q419," ",""),"0",""),"-",""))+LEN(SUBSTITUTE(SUBSTITUTE(SUBSTITUTE(R415:R419," ",""),"0",""),"-","")))&gt;(LEN(SUBSTITUTE(SUBSTITUTE(SUBSTITUTE(N415:N419," ",""),"0",""),"-",""))+LEN(SUBSTITUTE(SUBSTITUTE(SUBSTITUTE(O415:O419," ",""),"0",""),"-",""))))*1)</f>
      </c>
      <c r="S421" s="14" t="str">
        <f>CONCATENATE("M 43 ",S324)</f>
      </c>
    </row>
    <row r="422">
      <c r="A422" s="14" t="s">
        <v>346</v>
      </c>
      <c r="B422" s="14"/>
      <c r="C422" s="14"/>
      <c r="D422" s="14"/>
      <c r="E422" s="14"/>
      <c r="F422" s="14"/>
      <c r="G422" s="14" t="s">
        <v>346</v>
      </c>
      <c r="M422" s="14" t="s">
        <v>346</v>
      </c>
      <c r="N422" s="14"/>
      <c r="O422" s="14"/>
      <c r="P422" s="14"/>
      <c r="Q422" s="14"/>
      <c r="R422" s="14"/>
      <c r="S422" s="14" t="s">
        <v>346</v>
      </c>
    </row>
    <row r="425">
      <c r="F425" t="s">
        <v>347</v>
      </c>
      <c r="G425" s="19"/>
      <c r="R425" t="s">
        <v>347</v>
      </c>
      <c r="S425" s="19"/>
    </row>
    <row r="426">
      <c r="F426" t="s">
        <v>348</v>
      </c>
      <c r="G426" s="19"/>
      <c r="R426" t="s">
        <v>348</v>
      </c>
      <c r="S426" s="19"/>
    </row>
    <row r="428">
      <c r="A428" s="13" t="s">
        <v>400</v>
      </c>
      <c r="B428" s="13"/>
      <c r="C428" s="13"/>
      <c r="D428" s="13"/>
      <c r="E428" s="13"/>
      <c r="F428" s="13"/>
      <c r="G428" s="13"/>
      <c r="M428" s="13" t="s">
        <v>401</v>
      </c>
      <c r="N428" s="13"/>
      <c r="O428" s="13"/>
      <c r="P428" s="13"/>
      <c r="Q428" s="13"/>
      <c r="R428" s="13"/>
      <c r="S428" s="13"/>
    </row>
    <row r="429">
      <c r="A429" s="17" t="s">
        <v>239</v>
      </c>
      <c r="D429" s="14" t="s">
        <v>240</v>
      </c>
      <c r="G429" s="16" t="s">
        <v>241</v>
      </c>
      <c r="M429" s="17" t="s">
        <v>239</v>
      </c>
      <c r="P429" s="14" t="s">
        <v>240</v>
      </c>
      <c r="S429" s="16" t="s">
        <v>241</v>
      </c>
    </row>
    <row r="430">
      <c r="A430" s="14" t="str">
        <f>CONCATENATE("M 38 ",G372)</f>
      </c>
      <c r="B430" s="18"/>
      <c r="C430" s="18"/>
      <c r="D430" s="18"/>
      <c r="E430" s="18"/>
      <c r="F430" s="18"/>
      <c r="G430" s="14" t="str">
        <f>CONCATENATE("M 37 ",G356)</f>
      </c>
      <c r="M430" s="14" t="str">
        <f>CONCATENATE("M 46 ",S372)</f>
      </c>
      <c r="N430" s="18"/>
      <c r="O430" s="18"/>
      <c r="P430" s="18"/>
      <c r="Q430" s="18"/>
      <c r="R430" s="18"/>
      <c r="S430" s="14" t="str">
        <f>CONCATENATE("M 45 ",S356)</f>
      </c>
    </row>
    <row r="431">
      <c r="A431" s="14">
        <v>1</v>
      </c>
      <c r="B431" s="18"/>
      <c r="C431" s="18"/>
      <c r="D431" s="18"/>
      <c r="E431" s="18"/>
      <c r="F431" s="18"/>
      <c r="G431" s="14">
        <v>1</v>
      </c>
      <c r="M431" s="14">
        <v>1</v>
      </c>
      <c r="N431" s="18"/>
      <c r="O431" s="18"/>
      <c r="P431" s="18"/>
      <c r="Q431" s="18"/>
      <c r="R431" s="18"/>
      <c r="S431" s="14">
        <v>1</v>
      </c>
    </row>
    <row r="432">
      <c r="A432" s="14">
        <v>2</v>
      </c>
      <c r="B432" s="18"/>
      <c r="C432" s="18"/>
      <c r="D432" s="18"/>
      <c r="E432" s="18"/>
      <c r="F432" s="18"/>
      <c r="G432" s="14">
        <v>2</v>
      </c>
      <c r="M432" s="14">
        <v>2</v>
      </c>
      <c r="N432" s="18"/>
      <c r="O432" s="18"/>
      <c r="P432" s="18"/>
      <c r="Q432" s="18"/>
      <c r="R432" s="18"/>
      <c r="S432" s="14">
        <v>2</v>
      </c>
    </row>
    <row r="433">
      <c r="A433" s="14">
        <v>3</v>
      </c>
      <c r="B433" s="18"/>
      <c r="C433" s="18"/>
      <c r="D433" s="18"/>
      <c r="E433" s="18"/>
      <c r="F433" s="18"/>
      <c r="G433" s="14">
        <v>3</v>
      </c>
      <c r="M433" s="14">
        <v>3</v>
      </c>
      <c r="N433" s="18"/>
      <c r="O433" s="18"/>
      <c r="P433" s="18"/>
      <c r="Q433" s="18"/>
      <c r="R433" s="18"/>
      <c r="S433" s="14">
        <v>3</v>
      </c>
    </row>
    <row r="434">
      <c r="A434" s="14">
        <v>4</v>
      </c>
      <c r="B434" s="18"/>
      <c r="C434" s="18"/>
      <c r="D434" s="18"/>
      <c r="E434" s="18"/>
      <c r="F434" s="18"/>
      <c r="G434" s="14">
        <v>4</v>
      </c>
      <c r="M434" s="14">
        <v>4</v>
      </c>
      <c r="N434" s="18"/>
      <c r="O434" s="18"/>
      <c r="P434" s="18"/>
      <c r="Q434" s="18"/>
      <c r="R434" s="18"/>
      <c r="S434" s="14">
        <v>4</v>
      </c>
    </row>
    <row r="435">
      <c r="A435" s="14">
        <v>5</v>
      </c>
      <c r="B435" s="18"/>
      <c r="C435" s="18"/>
      <c r="D435" s="18"/>
      <c r="E435" s="18"/>
      <c r="F435" s="18"/>
      <c r="G435" s="14">
        <v>5</v>
      </c>
      <c r="M435" s="14">
        <v>5</v>
      </c>
      <c r="N435" s="18"/>
      <c r="O435" s="18"/>
      <c r="P435" s="18"/>
      <c r="Q435" s="18"/>
      <c r="R435" s="18"/>
      <c r="S435" s="14">
        <v>5</v>
      </c>
    </row>
    <row r="437">
      <c r="A437" s="14" t="str">
        <f>CONCATENATE("M 38 ",G372)</f>
      </c>
      <c r="B437" s="18" t="str">
        <f>SUMPRODUCT((UPPER(D431:D435)&lt;&gt;"X")*((LEN(SUBSTITUTE(SUBSTITUTE(SUBSTITUTE(B431:B435," ",""),"0",""),"-",""))+LEN(SUBSTITUTE(SUBSTITUTE(SUBSTITUTE(C431:C435," ",""),"0",""),"-","")))&gt;(LEN(SUBSTITUTE(SUBSTITUTE(SUBSTITUTE(E431:E435," ",""),"0",""),"-",""))+LEN(SUBSTITUTE(SUBSTITUTE(SUBSTITUTE(F431:F435," ",""),"0",""),"-",""))))*1)</f>
      </c>
      <c r="C437" s="18" t="str">
        <f>SUMPRODUCT(LEN(SUBSTITUTE(SUBSTITUTE(SUBSTITUTE(B431:B435," ",""),"0",""),"-",""))+LEN(SUBSTITUTE(SUBSTITUTE(SUBSTITUTE(C431:C435," ",""),"0",""),"-","")))</f>
      </c>
      <c r="D437" s="14"/>
      <c r="E437" s="18" t="str">
        <f>SUMPRODUCT(LEN(SUBSTITUTE(SUBSTITUTE(SUBSTITUTE(E431:E435," ",""),"0",""),"-",""))+LEN(SUBSTITUTE(SUBSTITUTE(SUBSTITUTE(F431:F435," ",""),"0",""),"-","")))</f>
      </c>
      <c r="F437" s="18" t="str">
        <f>SUMPRODUCT((UPPER(D431:D435)&lt;&gt;"X")*((LEN(SUBSTITUTE(SUBSTITUTE(SUBSTITUTE(E431:E435," ",""),"0",""),"-",""))+LEN(SUBSTITUTE(SUBSTITUTE(SUBSTITUTE(F431:F435," ",""),"0",""),"-","")))&gt;(LEN(SUBSTITUTE(SUBSTITUTE(SUBSTITUTE(B431:B435," ",""),"0",""),"-",""))+LEN(SUBSTITUTE(SUBSTITUTE(SUBSTITUTE(C431:C435," ",""),"0",""),"-",""))))*1)</f>
      </c>
      <c r="G437" s="14" t="str">
        <f>CONCATENATE("M 37 ",G356)</f>
      </c>
      <c r="M437" s="14" t="str">
        <f>CONCATENATE("M 46 ",S372)</f>
      </c>
      <c r="N437" s="18" t="str">
        <f>SUMPRODUCT((UPPER(P431:P435)&lt;&gt;"X")*((LEN(SUBSTITUTE(SUBSTITUTE(SUBSTITUTE(N431:N435," ",""),"0",""),"-",""))+LEN(SUBSTITUTE(SUBSTITUTE(SUBSTITUTE(O431:O435," ",""),"0",""),"-","")))&gt;(LEN(SUBSTITUTE(SUBSTITUTE(SUBSTITUTE(Q431:Q435," ",""),"0",""),"-",""))+LEN(SUBSTITUTE(SUBSTITUTE(SUBSTITUTE(R431:R435," ",""),"0",""),"-",""))))*1)</f>
      </c>
      <c r="O437" s="18" t="str">
        <f>SUMPRODUCT(LEN(SUBSTITUTE(SUBSTITUTE(SUBSTITUTE(N431:N435," ",""),"0",""),"-",""))+LEN(SUBSTITUTE(SUBSTITUTE(SUBSTITUTE(O431:O435," ",""),"0",""),"-","")))</f>
      </c>
      <c r="P437" s="14"/>
      <c r="Q437" s="18" t="str">
        <f>SUMPRODUCT(LEN(SUBSTITUTE(SUBSTITUTE(SUBSTITUTE(Q431:Q435," ",""),"0",""),"-",""))+LEN(SUBSTITUTE(SUBSTITUTE(SUBSTITUTE(R431:R435," ",""),"0",""),"-","")))</f>
      </c>
      <c r="R437" s="18" t="str">
        <f>SUMPRODUCT((UPPER(P431:P435)&lt;&gt;"X")*((LEN(SUBSTITUTE(SUBSTITUTE(SUBSTITUTE(Q431:Q435," ",""),"0",""),"-",""))+LEN(SUBSTITUTE(SUBSTITUTE(SUBSTITUTE(R431:R435," ",""),"0",""),"-","")))&gt;(LEN(SUBSTITUTE(SUBSTITUTE(SUBSTITUTE(N431:N435," ",""),"0",""),"-",""))+LEN(SUBSTITUTE(SUBSTITUTE(SUBSTITUTE(O431:O435," ",""),"0",""),"-",""))))*1)</f>
      </c>
      <c r="S437" s="14" t="str">
        <f>CONCATENATE("M 45 ",S356)</f>
      </c>
    </row>
    <row r="438">
      <c r="A438" s="14" t="s">
        <v>346</v>
      </c>
      <c r="B438" s="14"/>
      <c r="C438" s="14"/>
      <c r="D438" s="14"/>
      <c r="E438" s="14"/>
      <c r="F438" s="14"/>
      <c r="G438" s="14" t="s">
        <v>346</v>
      </c>
      <c r="M438" s="14" t="s">
        <v>346</v>
      </c>
      <c r="N438" s="14"/>
      <c r="O438" s="14"/>
      <c r="P438" s="14"/>
      <c r="Q438" s="14"/>
      <c r="R438" s="14"/>
      <c r="S438" s="14" t="s">
        <v>346</v>
      </c>
    </row>
    <row r="441">
      <c r="F441" t="s">
        <v>347</v>
      </c>
      <c r="G441" s="19"/>
      <c r="R441" t="s">
        <v>347</v>
      </c>
      <c r="S441" s="19"/>
    </row>
    <row r="442">
      <c r="F442" t="s">
        <v>348</v>
      </c>
      <c r="G442" s="19"/>
      <c r="R442" t="s">
        <v>348</v>
      </c>
      <c r="S442" s="19"/>
    </row>
    <row r="449">
      <c r="A449" s="13" t="s">
        <v>402</v>
      </c>
      <c r="B449" s="13"/>
      <c r="C449" s="13"/>
      <c r="D449" s="13"/>
      <c r="E449" s="13"/>
      <c r="F449" s="13"/>
      <c r="G449" s="13"/>
      <c r="M449" s="13" t="s">
        <v>403</v>
      </c>
      <c r="N449" s="13"/>
      <c r="O449" s="13"/>
      <c r="P449" s="13"/>
      <c r="Q449" s="13"/>
      <c r="R449" s="13"/>
      <c r="S449" s="13"/>
    </row>
    <row r="450">
      <c r="A450" s="17" t="s">
        <v>239</v>
      </c>
      <c r="D450" s="14" t="s">
        <v>240</v>
      </c>
      <c r="G450" s="16" t="s">
        <v>241</v>
      </c>
      <c r="M450" s="17" t="s">
        <v>239</v>
      </c>
      <c r="P450" s="14" t="s">
        <v>240</v>
      </c>
      <c r="S450" s="16" t="s">
        <v>241</v>
      </c>
    </row>
    <row r="451">
      <c r="A451" s="14" t="str">
        <f>CONCATENATE("M 48 ",G409)</f>
      </c>
      <c r="B451" s="18"/>
      <c r="C451" s="18"/>
      <c r="D451" s="18"/>
      <c r="E451" s="18"/>
      <c r="F451" s="18"/>
      <c r="G451" s="14" t="str">
        <f>CONCATENATE("M 47 ",G393)</f>
      </c>
      <c r="M451" s="14" t="str">
        <f>CONCATENATE("M 52 ",S409)</f>
      </c>
      <c r="N451" s="18"/>
      <c r="O451" s="18"/>
      <c r="P451" s="18"/>
      <c r="Q451" s="18"/>
      <c r="R451" s="18"/>
      <c r="S451" s="14" t="str">
        <f>CONCATENATE("M 51 ",S393)</f>
      </c>
    </row>
    <row r="452">
      <c r="A452" s="14">
        <v>1</v>
      </c>
      <c r="B452" s="18"/>
      <c r="C452" s="18"/>
      <c r="D452" s="18"/>
      <c r="E452" s="18"/>
      <c r="F452" s="18"/>
      <c r="G452" s="14">
        <v>1</v>
      </c>
      <c r="M452" s="14">
        <v>1</v>
      </c>
      <c r="N452" s="18"/>
      <c r="O452" s="18"/>
      <c r="P452" s="18"/>
      <c r="Q452" s="18"/>
      <c r="R452" s="18"/>
      <c r="S452" s="14">
        <v>1</v>
      </c>
    </row>
    <row r="453">
      <c r="A453" s="14">
        <v>2</v>
      </c>
      <c r="B453" s="18"/>
      <c r="C453" s="18"/>
      <c r="D453" s="18"/>
      <c r="E453" s="18"/>
      <c r="F453" s="18"/>
      <c r="G453" s="14">
        <v>2</v>
      </c>
      <c r="M453" s="14">
        <v>2</v>
      </c>
      <c r="N453" s="18"/>
      <c r="O453" s="18"/>
      <c r="P453" s="18"/>
      <c r="Q453" s="18"/>
      <c r="R453" s="18"/>
      <c r="S453" s="14">
        <v>2</v>
      </c>
    </row>
    <row r="454">
      <c r="A454" s="14">
        <v>3</v>
      </c>
      <c r="B454" s="18"/>
      <c r="C454" s="18"/>
      <c r="D454" s="18"/>
      <c r="E454" s="18"/>
      <c r="F454" s="18"/>
      <c r="G454" s="14">
        <v>3</v>
      </c>
      <c r="M454" s="14">
        <v>3</v>
      </c>
      <c r="N454" s="18"/>
      <c r="O454" s="18"/>
      <c r="P454" s="18"/>
      <c r="Q454" s="18"/>
      <c r="R454" s="18"/>
      <c r="S454" s="14">
        <v>3</v>
      </c>
    </row>
    <row r="455">
      <c r="A455" s="14">
        <v>4</v>
      </c>
      <c r="B455" s="18"/>
      <c r="C455" s="18"/>
      <c r="D455" s="18"/>
      <c r="E455" s="18"/>
      <c r="F455" s="18"/>
      <c r="G455" s="14">
        <v>4</v>
      </c>
      <c r="M455" s="14">
        <v>4</v>
      </c>
      <c r="N455" s="18"/>
      <c r="O455" s="18"/>
      <c r="P455" s="18"/>
      <c r="Q455" s="18"/>
      <c r="R455" s="18"/>
      <c r="S455" s="14">
        <v>4</v>
      </c>
    </row>
    <row r="456">
      <c r="A456" s="14">
        <v>5</v>
      </c>
      <c r="B456" s="18"/>
      <c r="C456" s="18"/>
      <c r="D456" s="18"/>
      <c r="E456" s="18"/>
      <c r="F456" s="18"/>
      <c r="G456" s="14">
        <v>5</v>
      </c>
      <c r="M456" s="14">
        <v>5</v>
      </c>
      <c r="N456" s="18"/>
      <c r="O456" s="18"/>
      <c r="P456" s="18"/>
      <c r="Q456" s="18"/>
      <c r="R456" s="18"/>
      <c r="S456" s="14">
        <v>5</v>
      </c>
    </row>
    <row r="458">
      <c r="A458" s="14" t="str">
        <f>CONCATENATE("M 48 ",G409)</f>
      </c>
      <c r="B458" s="18" t="str">
        <f>SUMPRODUCT((UPPER(D452:D456)&lt;&gt;"X")*((LEN(SUBSTITUTE(SUBSTITUTE(SUBSTITUTE(B452:B456," ",""),"0",""),"-",""))+LEN(SUBSTITUTE(SUBSTITUTE(SUBSTITUTE(C452:C456," ",""),"0",""),"-","")))&gt;(LEN(SUBSTITUTE(SUBSTITUTE(SUBSTITUTE(E452:E456," ",""),"0",""),"-",""))+LEN(SUBSTITUTE(SUBSTITUTE(SUBSTITUTE(F452:F456," ",""),"0",""),"-",""))))*1)</f>
      </c>
      <c r="C458" s="18" t="str">
        <f>SUMPRODUCT(LEN(SUBSTITUTE(SUBSTITUTE(SUBSTITUTE(B452:B456," ",""),"0",""),"-",""))+LEN(SUBSTITUTE(SUBSTITUTE(SUBSTITUTE(C452:C456," ",""),"0",""),"-","")))</f>
      </c>
      <c r="D458" s="14"/>
      <c r="E458" s="18" t="str">
        <f>SUMPRODUCT(LEN(SUBSTITUTE(SUBSTITUTE(SUBSTITUTE(E452:E456," ",""),"0",""),"-",""))+LEN(SUBSTITUTE(SUBSTITUTE(SUBSTITUTE(F452:F456," ",""),"0",""),"-","")))</f>
      </c>
      <c r="F458" s="18" t="str">
        <f>SUMPRODUCT((UPPER(D452:D456)&lt;&gt;"X")*((LEN(SUBSTITUTE(SUBSTITUTE(SUBSTITUTE(E452:E456," ",""),"0",""),"-",""))+LEN(SUBSTITUTE(SUBSTITUTE(SUBSTITUTE(F452:F456," ",""),"0",""),"-","")))&gt;(LEN(SUBSTITUTE(SUBSTITUTE(SUBSTITUTE(B452:B456," ",""),"0",""),"-",""))+LEN(SUBSTITUTE(SUBSTITUTE(SUBSTITUTE(C452:C456," ",""),"0",""),"-",""))))*1)</f>
      </c>
      <c r="G458" s="14" t="str">
        <f>CONCATENATE("M 47 ",G393)</f>
      </c>
      <c r="M458" s="14" t="str">
        <f>CONCATENATE("M 52 ",S409)</f>
      </c>
      <c r="N458" s="18" t="str">
        <f>SUMPRODUCT((UPPER(P452:P456)&lt;&gt;"X")*((LEN(SUBSTITUTE(SUBSTITUTE(SUBSTITUTE(N452:N456," ",""),"0",""),"-",""))+LEN(SUBSTITUTE(SUBSTITUTE(SUBSTITUTE(O452:O456," ",""),"0",""),"-","")))&gt;(LEN(SUBSTITUTE(SUBSTITUTE(SUBSTITUTE(Q452:Q456," ",""),"0",""),"-",""))+LEN(SUBSTITUTE(SUBSTITUTE(SUBSTITUTE(R452:R456," ",""),"0",""),"-",""))))*1)</f>
      </c>
      <c r="O458" s="18" t="str">
        <f>SUMPRODUCT(LEN(SUBSTITUTE(SUBSTITUTE(SUBSTITUTE(N452:N456," ",""),"0",""),"-",""))+LEN(SUBSTITUTE(SUBSTITUTE(SUBSTITUTE(O452:O456," ",""),"0",""),"-","")))</f>
      </c>
      <c r="P458" s="14"/>
      <c r="Q458" s="18" t="str">
        <f>SUMPRODUCT(LEN(SUBSTITUTE(SUBSTITUTE(SUBSTITUTE(Q452:Q456," ",""),"0",""),"-",""))+LEN(SUBSTITUTE(SUBSTITUTE(SUBSTITUTE(R452:R456," ",""),"0",""),"-","")))</f>
      </c>
      <c r="R458" s="18" t="str">
        <f>SUMPRODUCT((UPPER(P452:P456)&lt;&gt;"X")*((LEN(SUBSTITUTE(SUBSTITUTE(SUBSTITUTE(Q452:Q456," ",""),"0",""),"-",""))+LEN(SUBSTITUTE(SUBSTITUTE(SUBSTITUTE(R452:R456," ",""),"0",""),"-","")))&gt;(LEN(SUBSTITUTE(SUBSTITUTE(SUBSTITUTE(N452:N456," ",""),"0",""),"-",""))+LEN(SUBSTITUTE(SUBSTITUTE(SUBSTITUTE(O452:O456," ",""),"0",""),"-",""))))*1)</f>
      </c>
      <c r="S458" s="14" t="str">
        <f>CONCATENATE("M 51 ",S393)</f>
      </c>
    </row>
    <row r="459">
      <c r="A459" s="14" t="s">
        <v>346</v>
      </c>
      <c r="B459" s="14"/>
      <c r="C459" s="14"/>
      <c r="D459" s="14"/>
      <c r="E459" s="14"/>
      <c r="F459" s="14"/>
      <c r="G459" s="14" t="s">
        <v>346</v>
      </c>
      <c r="M459" s="14" t="s">
        <v>346</v>
      </c>
      <c r="N459" s="14"/>
      <c r="O459" s="14"/>
      <c r="P459" s="14"/>
      <c r="Q459" s="14"/>
      <c r="R459" s="14"/>
      <c r="S459" s="14" t="s">
        <v>346</v>
      </c>
    </row>
    <row r="462">
      <c r="F462" t="s">
        <v>347</v>
      </c>
      <c r="G462" s="19"/>
      <c r="R462" t="s">
        <v>347</v>
      </c>
      <c r="S462" s="19"/>
    </row>
    <row r="463">
      <c r="F463" t="s">
        <v>348</v>
      </c>
      <c r="G463" s="19"/>
      <c r="R463" t="s">
        <v>348</v>
      </c>
      <c r="S463" s="19"/>
    </row>
    <row r="465">
      <c r="A465" s="13" t="s">
        <v>404</v>
      </c>
      <c r="B465" s="13"/>
      <c r="C465" s="13"/>
      <c r="D465" s="13"/>
      <c r="E465" s="13"/>
      <c r="F465" s="13"/>
      <c r="G465" s="13"/>
      <c r="M465" s="13" t="s">
        <v>405</v>
      </c>
      <c r="N465" s="13"/>
      <c r="O465" s="13"/>
      <c r="P465" s="13"/>
      <c r="Q465" s="13"/>
      <c r="R465" s="13"/>
      <c r="S465" s="13"/>
    </row>
    <row r="466">
      <c r="A466" s="17" t="s">
        <v>239</v>
      </c>
      <c r="D466" s="14" t="s">
        <v>240</v>
      </c>
      <c r="G466" s="16" t="s">
        <v>241</v>
      </c>
      <c r="M466" s="17" t="s">
        <v>239</v>
      </c>
      <c r="P466" s="14" t="s">
        <v>240</v>
      </c>
      <c r="S466" s="16" t="s">
        <v>241</v>
      </c>
    </row>
    <row r="467">
      <c r="A467" s="14" t="str">
        <f>CONCATENATE("M 50 ",G441)</f>
      </c>
      <c r="B467" s="18"/>
      <c r="C467" s="18"/>
      <c r="D467" s="18"/>
      <c r="E467" s="18"/>
      <c r="F467" s="18"/>
      <c r="G467" s="14" t="str">
        <f>CONCATENATE("M 49 ",G425)</f>
      </c>
      <c r="M467" s="14" t="str">
        <f>CONCATENATE("M 54 ",S441)</f>
      </c>
      <c r="N467" s="18"/>
      <c r="O467" s="18"/>
      <c r="P467" s="18"/>
      <c r="Q467" s="18"/>
      <c r="R467" s="18"/>
      <c r="S467" s="14" t="str">
        <f>CONCATENATE("M 53 ",S425)</f>
      </c>
    </row>
    <row r="468">
      <c r="A468" s="14">
        <v>1</v>
      </c>
      <c r="B468" s="18"/>
      <c r="C468" s="18"/>
      <c r="D468" s="18"/>
      <c r="E468" s="18"/>
      <c r="F468" s="18"/>
      <c r="G468" s="14">
        <v>1</v>
      </c>
      <c r="M468" s="14">
        <v>1</v>
      </c>
      <c r="N468" s="18"/>
      <c r="O468" s="18"/>
      <c r="P468" s="18"/>
      <c r="Q468" s="18"/>
      <c r="R468" s="18"/>
      <c r="S468" s="14">
        <v>1</v>
      </c>
    </row>
    <row r="469">
      <c r="A469" s="14">
        <v>2</v>
      </c>
      <c r="B469" s="18"/>
      <c r="C469" s="18"/>
      <c r="D469" s="18"/>
      <c r="E469" s="18"/>
      <c r="F469" s="18"/>
      <c r="G469" s="14">
        <v>2</v>
      </c>
      <c r="M469" s="14">
        <v>2</v>
      </c>
      <c r="N469" s="18"/>
      <c r="O469" s="18"/>
      <c r="P469" s="18"/>
      <c r="Q469" s="18"/>
      <c r="R469" s="18"/>
      <c r="S469" s="14">
        <v>2</v>
      </c>
    </row>
    <row r="470">
      <c r="A470" s="14">
        <v>3</v>
      </c>
      <c r="B470" s="18"/>
      <c r="C470" s="18"/>
      <c r="D470" s="18"/>
      <c r="E470" s="18"/>
      <c r="F470" s="18"/>
      <c r="G470" s="14">
        <v>3</v>
      </c>
      <c r="M470" s="14">
        <v>3</v>
      </c>
      <c r="N470" s="18"/>
      <c r="O470" s="18"/>
      <c r="P470" s="18"/>
      <c r="Q470" s="18"/>
      <c r="R470" s="18"/>
      <c r="S470" s="14">
        <v>3</v>
      </c>
    </row>
    <row r="471">
      <c r="A471" s="14">
        <v>4</v>
      </c>
      <c r="B471" s="18"/>
      <c r="C471" s="18"/>
      <c r="D471" s="18"/>
      <c r="E471" s="18"/>
      <c r="F471" s="18"/>
      <c r="G471" s="14">
        <v>4</v>
      </c>
      <c r="M471" s="14">
        <v>4</v>
      </c>
      <c r="N471" s="18"/>
      <c r="O471" s="18"/>
      <c r="P471" s="18"/>
      <c r="Q471" s="18"/>
      <c r="R471" s="18"/>
      <c r="S471" s="14">
        <v>4</v>
      </c>
    </row>
    <row r="472">
      <c r="A472" s="14">
        <v>5</v>
      </c>
      <c r="B472" s="18"/>
      <c r="C472" s="18"/>
      <c r="D472" s="18"/>
      <c r="E472" s="18"/>
      <c r="F472" s="18"/>
      <c r="G472" s="14">
        <v>5</v>
      </c>
      <c r="M472" s="14">
        <v>5</v>
      </c>
      <c r="N472" s="18"/>
      <c r="O472" s="18"/>
      <c r="P472" s="18"/>
      <c r="Q472" s="18"/>
      <c r="R472" s="18"/>
      <c r="S472" s="14">
        <v>5</v>
      </c>
    </row>
    <row r="474">
      <c r="A474" s="14" t="str">
        <f>CONCATENATE("M 50 ",G441)</f>
      </c>
      <c r="B474" s="18" t="str">
        <f>SUMPRODUCT((UPPER(D468:D472)&lt;&gt;"X")*((LEN(SUBSTITUTE(SUBSTITUTE(SUBSTITUTE(B468:B472," ",""),"0",""),"-",""))+LEN(SUBSTITUTE(SUBSTITUTE(SUBSTITUTE(C468:C472," ",""),"0",""),"-","")))&gt;(LEN(SUBSTITUTE(SUBSTITUTE(SUBSTITUTE(E468:E472," ",""),"0",""),"-",""))+LEN(SUBSTITUTE(SUBSTITUTE(SUBSTITUTE(F468:F472," ",""),"0",""),"-",""))))*1)</f>
      </c>
      <c r="C474" s="18" t="str">
        <f>SUMPRODUCT(LEN(SUBSTITUTE(SUBSTITUTE(SUBSTITUTE(B468:B472," ",""),"0",""),"-",""))+LEN(SUBSTITUTE(SUBSTITUTE(SUBSTITUTE(C468:C472," ",""),"0",""),"-","")))</f>
      </c>
      <c r="D474" s="14"/>
      <c r="E474" s="18" t="str">
        <f>SUMPRODUCT(LEN(SUBSTITUTE(SUBSTITUTE(SUBSTITUTE(E468:E472," ",""),"0",""),"-",""))+LEN(SUBSTITUTE(SUBSTITUTE(SUBSTITUTE(F468:F472," ",""),"0",""),"-","")))</f>
      </c>
      <c r="F474" s="18" t="str">
        <f>SUMPRODUCT((UPPER(D468:D472)&lt;&gt;"X")*((LEN(SUBSTITUTE(SUBSTITUTE(SUBSTITUTE(E468:E472," ",""),"0",""),"-",""))+LEN(SUBSTITUTE(SUBSTITUTE(SUBSTITUTE(F468:F472," ",""),"0",""),"-","")))&gt;(LEN(SUBSTITUTE(SUBSTITUTE(SUBSTITUTE(B468:B472," ",""),"0",""),"-",""))+LEN(SUBSTITUTE(SUBSTITUTE(SUBSTITUTE(C468:C472," ",""),"0",""),"-",""))))*1)</f>
      </c>
      <c r="G474" s="14" t="str">
        <f>CONCATENATE("M 49 ",G425)</f>
      </c>
      <c r="M474" s="14" t="str">
        <f>CONCATENATE("M 54 ",S441)</f>
      </c>
      <c r="N474" s="18" t="str">
        <f>SUMPRODUCT((UPPER(P468:P472)&lt;&gt;"X")*((LEN(SUBSTITUTE(SUBSTITUTE(SUBSTITUTE(N468:N472," ",""),"0",""),"-",""))+LEN(SUBSTITUTE(SUBSTITUTE(SUBSTITUTE(O468:O472," ",""),"0",""),"-","")))&gt;(LEN(SUBSTITUTE(SUBSTITUTE(SUBSTITUTE(Q468:Q472," ",""),"0",""),"-",""))+LEN(SUBSTITUTE(SUBSTITUTE(SUBSTITUTE(R468:R472," ",""),"0",""),"-",""))))*1)</f>
      </c>
      <c r="O474" s="18" t="str">
        <f>SUMPRODUCT(LEN(SUBSTITUTE(SUBSTITUTE(SUBSTITUTE(N468:N472," ",""),"0",""),"-",""))+LEN(SUBSTITUTE(SUBSTITUTE(SUBSTITUTE(O468:O472," ",""),"0",""),"-","")))</f>
      </c>
      <c r="P474" s="14"/>
      <c r="Q474" s="18" t="str">
        <f>SUMPRODUCT(LEN(SUBSTITUTE(SUBSTITUTE(SUBSTITUTE(Q468:Q472," ",""),"0",""),"-",""))+LEN(SUBSTITUTE(SUBSTITUTE(SUBSTITUTE(R468:R472," ",""),"0",""),"-","")))</f>
      </c>
      <c r="R474" s="18" t="str">
        <f>SUMPRODUCT((UPPER(P468:P472)&lt;&gt;"X")*((LEN(SUBSTITUTE(SUBSTITUTE(SUBSTITUTE(Q468:Q472," ",""),"0",""),"-",""))+LEN(SUBSTITUTE(SUBSTITUTE(SUBSTITUTE(R468:R472," ",""),"0",""),"-","")))&gt;(LEN(SUBSTITUTE(SUBSTITUTE(SUBSTITUTE(N468:N472," ",""),"0",""),"-",""))+LEN(SUBSTITUTE(SUBSTITUTE(SUBSTITUTE(O468:O472," ",""),"0",""),"-",""))))*1)</f>
      </c>
      <c r="S474" s="14" t="str">
        <f>CONCATENATE("M 53 ",S425)</f>
      </c>
    </row>
    <row r="475">
      <c r="A475" s="14" t="s">
        <v>346</v>
      </c>
      <c r="B475" s="14"/>
      <c r="C475" s="14"/>
      <c r="D475" s="14"/>
      <c r="E475" s="14"/>
      <c r="F475" s="14"/>
      <c r="G475" s="14" t="s">
        <v>346</v>
      </c>
      <c r="M475" s="14" t="s">
        <v>346</v>
      </c>
      <c r="N475" s="14"/>
      <c r="O475" s="14"/>
      <c r="P475" s="14"/>
      <c r="Q475" s="14"/>
      <c r="R475" s="14"/>
      <c r="S475" s="14" t="s">
        <v>346</v>
      </c>
    </row>
    <row r="478">
      <c r="F478" t="s">
        <v>347</v>
      </c>
      <c r="G478" s="19"/>
      <c r="R478" t="s">
        <v>347</v>
      </c>
      <c r="S478" s="19"/>
    </row>
    <row r="479">
      <c r="F479" t="s">
        <v>348</v>
      </c>
      <c r="G479" s="19"/>
      <c r="R479" t="s">
        <v>348</v>
      </c>
      <c r="S479" s="19"/>
    </row>
    <row r="486">
      <c r="A486" s="13" t="s">
        <v>406</v>
      </c>
      <c r="B486" s="13"/>
      <c r="C486" s="13"/>
      <c r="D486" s="13"/>
      <c r="E486" s="13"/>
      <c r="F486" s="13"/>
      <c r="G486" s="13"/>
      <c r="M486" s="13" t="s">
        <v>407</v>
      </c>
      <c r="N486" s="13"/>
      <c r="O486" s="13"/>
      <c r="P486" s="13"/>
      <c r="Q486" s="13"/>
      <c r="R486" s="13"/>
      <c r="S486" s="13"/>
    </row>
    <row r="487">
      <c r="A487" s="17" t="s">
        <v>239</v>
      </c>
      <c r="D487" s="14" t="s">
        <v>240</v>
      </c>
      <c r="G487" s="16" t="s">
        <v>241</v>
      </c>
      <c r="M487" s="17" t="s">
        <v>239</v>
      </c>
      <c r="P487" s="14" t="s">
        <v>240</v>
      </c>
      <c r="S487" s="16" t="s">
        <v>241</v>
      </c>
    </row>
    <row r="488">
      <c r="A488" s="14" t="str">
        <f>CONCATENATE("M 56 ",G478)</f>
      </c>
      <c r="B488" s="18"/>
      <c r="C488" s="18"/>
      <c r="D488" s="18"/>
      <c r="E488" s="18"/>
      <c r="F488" s="18"/>
      <c r="G488" s="14" t="str">
        <f>CONCATENATE("M 55 ",G462)</f>
      </c>
      <c r="M488" s="14" t="str">
        <f>CONCATENATE("M 58 ",S478)</f>
      </c>
      <c r="N488" s="18"/>
      <c r="O488" s="18"/>
      <c r="P488" s="18"/>
      <c r="Q488" s="18"/>
      <c r="R488" s="18"/>
      <c r="S488" s="14" t="str">
        <f>CONCATENATE("M 57 ",S462)</f>
      </c>
    </row>
    <row r="489">
      <c r="A489" s="14">
        <v>1</v>
      </c>
      <c r="B489" s="18"/>
      <c r="C489" s="18"/>
      <c r="D489" s="18"/>
      <c r="E489" s="18"/>
      <c r="F489" s="18"/>
      <c r="G489" s="14">
        <v>1</v>
      </c>
      <c r="M489" s="14">
        <v>1</v>
      </c>
      <c r="N489" s="18"/>
      <c r="O489" s="18"/>
      <c r="P489" s="18"/>
      <c r="Q489" s="18"/>
      <c r="R489" s="18"/>
      <c r="S489" s="14">
        <v>1</v>
      </c>
    </row>
    <row r="490">
      <c r="A490" s="14">
        <v>2</v>
      </c>
      <c r="B490" s="18"/>
      <c r="C490" s="18"/>
      <c r="D490" s="18"/>
      <c r="E490" s="18"/>
      <c r="F490" s="18"/>
      <c r="G490" s="14">
        <v>2</v>
      </c>
      <c r="M490" s="14">
        <v>2</v>
      </c>
      <c r="N490" s="18"/>
      <c r="O490" s="18"/>
      <c r="P490" s="18"/>
      <c r="Q490" s="18"/>
      <c r="R490" s="18"/>
      <c r="S490" s="14">
        <v>2</v>
      </c>
    </row>
    <row r="491">
      <c r="A491" s="14">
        <v>3</v>
      </c>
      <c r="B491" s="18"/>
      <c r="C491" s="18"/>
      <c r="D491" s="18"/>
      <c r="E491" s="18"/>
      <c r="F491" s="18"/>
      <c r="G491" s="14">
        <v>3</v>
      </c>
      <c r="M491" s="14">
        <v>3</v>
      </c>
      <c r="N491" s="18"/>
      <c r="O491" s="18"/>
      <c r="P491" s="18"/>
      <c r="Q491" s="18"/>
      <c r="R491" s="18"/>
      <c r="S491" s="14">
        <v>3</v>
      </c>
    </row>
    <row r="492">
      <c r="A492" s="14">
        <v>4</v>
      </c>
      <c r="B492" s="18"/>
      <c r="C492" s="18"/>
      <c r="D492" s="18"/>
      <c r="E492" s="18"/>
      <c r="F492" s="18"/>
      <c r="G492" s="14">
        <v>4</v>
      </c>
      <c r="M492" s="14">
        <v>4</v>
      </c>
      <c r="N492" s="18"/>
      <c r="O492" s="18"/>
      <c r="P492" s="18"/>
      <c r="Q492" s="18"/>
      <c r="R492" s="18"/>
      <c r="S492" s="14">
        <v>4</v>
      </c>
    </row>
    <row r="493">
      <c r="A493" s="14">
        <v>5</v>
      </c>
      <c r="B493" s="18"/>
      <c r="C493" s="18"/>
      <c r="D493" s="18"/>
      <c r="E493" s="18"/>
      <c r="F493" s="18"/>
      <c r="G493" s="14">
        <v>5</v>
      </c>
      <c r="M493" s="14">
        <v>5</v>
      </c>
      <c r="N493" s="18"/>
      <c r="O493" s="18"/>
      <c r="P493" s="18"/>
      <c r="Q493" s="18"/>
      <c r="R493" s="18"/>
      <c r="S493" s="14">
        <v>5</v>
      </c>
    </row>
    <row r="495">
      <c r="A495" s="14" t="str">
        <f>CONCATENATE("M 56 ",G478)</f>
      </c>
      <c r="B495" s="18" t="str">
        <f>SUMPRODUCT((UPPER(D489:D493)&lt;&gt;"X")*((LEN(SUBSTITUTE(SUBSTITUTE(SUBSTITUTE(B489:B493," ",""),"0",""),"-",""))+LEN(SUBSTITUTE(SUBSTITUTE(SUBSTITUTE(C489:C493," ",""),"0",""),"-","")))&gt;(LEN(SUBSTITUTE(SUBSTITUTE(SUBSTITUTE(E489:E493," ",""),"0",""),"-",""))+LEN(SUBSTITUTE(SUBSTITUTE(SUBSTITUTE(F489:F493," ",""),"0",""),"-",""))))*1)</f>
      </c>
      <c r="C495" s="18" t="str">
        <f>SUMPRODUCT(LEN(SUBSTITUTE(SUBSTITUTE(SUBSTITUTE(B489:B493," ",""),"0",""),"-",""))+LEN(SUBSTITUTE(SUBSTITUTE(SUBSTITUTE(C489:C493," ",""),"0",""),"-","")))</f>
      </c>
      <c r="D495" s="14"/>
      <c r="E495" s="18" t="str">
        <f>SUMPRODUCT(LEN(SUBSTITUTE(SUBSTITUTE(SUBSTITUTE(E489:E493," ",""),"0",""),"-",""))+LEN(SUBSTITUTE(SUBSTITUTE(SUBSTITUTE(F489:F493," ",""),"0",""),"-","")))</f>
      </c>
      <c r="F495" s="18" t="str">
        <f>SUMPRODUCT((UPPER(D489:D493)&lt;&gt;"X")*((LEN(SUBSTITUTE(SUBSTITUTE(SUBSTITUTE(E489:E493," ",""),"0",""),"-",""))+LEN(SUBSTITUTE(SUBSTITUTE(SUBSTITUTE(F489:F493," ",""),"0",""),"-","")))&gt;(LEN(SUBSTITUTE(SUBSTITUTE(SUBSTITUTE(B489:B493," ",""),"0",""),"-",""))+LEN(SUBSTITUTE(SUBSTITUTE(SUBSTITUTE(C489:C493," ",""),"0",""),"-",""))))*1)</f>
      </c>
      <c r="G495" s="14" t="str">
        <f>CONCATENATE("M 55 ",G462)</f>
      </c>
      <c r="M495" s="14" t="str">
        <f>CONCATENATE("M 58 ",S478)</f>
      </c>
      <c r="N495" s="18" t="str">
        <f>SUMPRODUCT((UPPER(P489:P493)&lt;&gt;"X")*((LEN(SUBSTITUTE(SUBSTITUTE(SUBSTITUTE(N489:N493," ",""),"0",""),"-",""))+LEN(SUBSTITUTE(SUBSTITUTE(SUBSTITUTE(O489:O493," ",""),"0",""),"-","")))&gt;(LEN(SUBSTITUTE(SUBSTITUTE(SUBSTITUTE(Q489:Q493," ",""),"0",""),"-",""))+LEN(SUBSTITUTE(SUBSTITUTE(SUBSTITUTE(R489:R493," ",""),"0",""),"-",""))))*1)</f>
      </c>
      <c r="O495" s="18" t="str">
        <f>SUMPRODUCT(LEN(SUBSTITUTE(SUBSTITUTE(SUBSTITUTE(N489:N493," ",""),"0",""),"-",""))+LEN(SUBSTITUTE(SUBSTITUTE(SUBSTITUTE(O489:O493," ",""),"0",""),"-","")))</f>
      </c>
      <c r="P495" s="14"/>
      <c r="Q495" s="18" t="str">
        <f>SUMPRODUCT(LEN(SUBSTITUTE(SUBSTITUTE(SUBSTITUTE(Q489:Q493," ",""),"0",""),"-",""))+LEN(SUBSTITUTE(SUBSTITUTE(SUBSTITUTE(R489:R493," ",""),"0",""),"-","")))</f>
      </c>
      <c r="R495" s="18" t="str">
        <f>SUMPRODUCT((UPPER(P489:P493)&lt;&gt;"X")*((LEN(SUBSTITUTE(SUBSTITUTE(SUBSTITUTE(Q489:Q493," ",""),"0",""),"-",""))+LEN(SUBSTITUTE(SUBSTITUTE(SUBSTITUTE(R489:R493," ",""),"0",""),"-","")))&gt;(LEN(SUBSTITUTE(SUBSTITUTE(SUBSTITUTE(N489:N493," ",""),"0",""),"-",""))+LEN(SUBSTITUTE(SUBSTITUTE(SUBSTITUTE(O489:O493," ",""),"0",""),"-",""))))*1)</f>
      </c>
      <c r="S495" s="14" t="str">
        <f>CONCATENATE("M 57 ",S462)</f>
      </c>
    </row>
    <row r="496">
      <c r="A496" s="14" t="s">
        <v>346</v>
      </c>
      <c r="B496" s="14"/>
      <c r="C496" s="14"/>
      <c r="D496" s="14"/>
      <c r="E496" s="14"/>
      <c r="F496" s="14"/>
      <c r="G496" s="14" t="s">
        <v>346</v>
      </c>
      <c r="M496" s="14" t="s">
        <v>346</v>
      </c>
      <c r="N496" s="14"/>
      <c r="O496" s="14"/>
      <c r="P496" s="14"/>
      <c r="Q496" s="14"/>
      <c r="R496" s="14"/>
      <c r="S496" s="14" t="s">
        <v>346</v>
      </c>
    </row>
    <row r="499">
      <c r="F499" t="s">
        <v>347</v>
      </c>
      <c r="G499" s="19"/>
      <c r="R499" t="s">
        <v>347</v>
      </c>
      <c r="S499" s="19"/>
    </row>
    <row r="500">
      <c r="F500" t="s">
        <v>348</v>
      </c>
      <c r="G500" s="19"/>
      <c r="R500" t="s">
        <v>348</v>
      </c>
      <c r="S500" s="19"/>
    </row>
    <row r="507">
      <c r="A507" s="13" t="s">
        <v>408</v>
      </c>
      <c r="B507" s="13"/>
      <c r="C507" s="13"/>
      <c r="D507" s="13"/>
      <c r="E507" s="13"/>
      <c r="F507" s="13"/>
      <c r="G507" s="13"/>
    </row>
    <row r="508">
      <c r="A508" s="17" t="s">
        <v>239</v>
      </c>
      <c r="D508" s="14" t="s">
        <v>240</v>
      </c>
      <c r="G508" s="16" t="s">
        <v>241</v>
      </c>
    </row>
    <row r="509">
      <c r="A509" s="14" t="str">
        <f>CONCATENATE("M 60 ",S499)</f>
      </c>
      <c r="B509" s="18"/>
      <c r="C509" s="18"/>
      <c r="D509" s="18"/>
      <c r="E509" s="18"/>
      <c r="F509" s="18"/>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",S499)</f>
      </c>
      <c r="B516" s="18" t="str">
        <f>SUMPRODUCT((UPPER(D510:D514)&lt;&gt;"X")*((LEN(SUBSTITUTE(SUBSTITUTE(SUBSTITUTE(B510:B514," ",""),"0",""),"-",""))+LEN(SUBSTITUTE(SUBSTITUTE(SUBSTITUTE(C510:C514," ",""),"0",""),"-","")))&gt;(LEN(SUBSTITUTE(SUBSTITUTE(SUBSTITUTE(E510:E514," ",""),"0",""),"-",""))+LEN(SUBSTITUTE(SUBSTITUTE(SUBSTITUTE(F510:F514," ",""),"0",""),"-",""))))*1)</f>
      </c>
      <c r="C516" s="18" t="str">
        <f>SUMPRODUCT(LEN(SUBSTITUTE(SUBSTITUTE(SUBSTITUTE(B510:B514," ",""),"0",""),"-",""))+LEN(SUBSTITUTE(SUBSTITUTE(SUBSTITUTE(C510:C514," ",""),"0",""),"-","")))</f>
      </c>
      <c r="D516" s="14"/>
      <c r="E516" s="18" t="str">
        <f>SUMPRODUCT(LEN(SUBSTITUTE(SUBSTITUTE(SUBSTITUTE(E510:E514," ",""),"0",""),"-",""))+LEN(SUBSTITUTE(SUBSTITUTE(SUBSTITUTE(F510:F514," ",""),"0",""),"-","")))</f>
      </c>
      <c r="F516" s="18" t="str">
        <f>SUMPRODUCT((UPPER(D510:D514)&lt;&gt;"X")*((LEN(SUBSTITUTE(SUBSTITUTE(SUBSTITUTE(E510:E514," ",""),"0",""),"-",""))+LEN(SUBSTITUTE(SUBSTITUTE(SUBSTITUTE(F510:F514," ",""),"0",""),"-","")))&gt;(LEN(SUBSTITUTE(SUBSTITUTE(SUBSTITUTE(B510:B514," ",""),"0",""),"-",""))+LEN(SUBSTITUTE(SUBSTITUTE(SUBSTITUTE(C510:C514," ",""),"0",""),"-",""))))*1)</f>
      </c>
      <c r="G516" s="14" t="str">
        <f>CONCATENATE("M 59 ",G499)</f>
      </c>
    </row>
    <row r="517">
      <c r="A517" s="14" t="s">
        <v>346</v>
      </c>
      <c r="B517" s="14"/>
      <c r="C517" s="14"/>
      <c r="D517" s="14"/>
      <c r="E517" s="14"/>
      <c r="F517" s="14"/>
      <c r="G517" s="14" t="s">
        <v>346</v>
      </c>
    </row>
    <row r="520">
      <c r="F520" t="s">
        <v>347</v>
      </c>
      <c r="G520" s="19"/>
    </row>
    <row r="521">
      <c r="F521" t="s">
        <v>348</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M2:S2"/>
    <mergeCell ref="A18:G18"/>
    <mergeCell ref="M18:S18"/>
    <mergeCell ref="A34:G34"/>
    <mergeCell ref="M34:S34"/>
    <mergeCell ref="A50:G50"/>
    <mergeCell ref="M50:S50"/>
    <mergeCell ref="A66:G66"/>
    <mergeCell ref="M66:S66"/>
    <mergeCell ref="A82:G82"/>
    <mergeCell ref="M82:S82"/>
    <mergeCell ref="A98:G98"/>
    <mergeCell ref="M98:S98"/>
    <mergeCell ref="A114:G114"/>
    <mergeCell ref="M114:S114"/>
    <mergeCell ref="A130:G130"/>
    <mergeCell ref="M130:S130"/>
    <mergeCell ref="A146:G146"/>
    <mergeCell ref="M146:S146"/>
    <mergeCell ref="A162:G162"/>
    <mergeCell ref="M162:S162"/>
    <mergeCell ref="A178:G178"/>
    <mergeCell ref="M178:S178"/>
    <mergeCell ref="A194:G194"/>
    <mergeCell ref="M194:S194"/>
    <mergeCell ref="A210:G210"/>
    <mergeCell ref="M210:S210"/>
    <mergeCell ref="A226:G226"/>
    <mergeCell ref="M226:S226"/>
    <mergeCell ref="A247:G247"/>
    <mergeCell ref="M247:S247"/>
    <mergeCell ref="A263:G263"/>
    <mergeCell ref="M263:S263"/>
    <mergeCell ref="A279:G279"/>
    <mergeCell ref="M279:S279"/>
    <mergeCell ref="A295:G295"/>
    <mergeCell ref="M295:S295"/>
    <mergeCell ref="A311:G311"/>
    <mergeCell ref="M311:S311"/>
    <mergeCell ref="A327:G327"/>
    <mergeCell ref="M327:S327"/>
    <mergeCell ref="A343:G343"/>
    <mergeCell ref="M343:S343"/>
    <mergeCell ref="A359:G359"/>
    <mergeCell ref="M359:S359"/>
    <mergeCell ref="A380:G380"/>
    <mergeCell ref="M380:S380"/>
    <mergeCell ref="A396:G396"/>
    <mergeCell ref="M396:S396"/>
    <mergeCell ref="A412:G412"/>
    <mergeCell ref="M412:S412"/>
    <mergeCell ref="A428:G428"/>
    <mergeCell ref="M428:S428"/>
    <mergeCell ref="A449:G449"/>
    <mergeCell ref="M449:S449"/>
    <mergeCell ref="A465:G465"/>
    <mergeCell ref="M465:S465"/>
    <mergeCell ref="A486:G486"/>
    <mergeCell ref="M486:S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Matches'!G124)</f>
      </c>
      <c r="G9" s="20"/>
      <c r="H9" s="22"/>
      <c r="I9" s="20"/>
    </row>
    <row r="10">
      <c r="A10" s="25" t="str">
        <f>"1. " &amp; data!$B$6</f>
      </c>
      <c r="D10" s="22"/>
      <c r="E10" s="21">
        <v>1</v>
      </c>
      <c r="F10" s="15"/>
      <c r="G10" s="20"/>
      <c r="I10" s="20"/>
    </row>
    <row r="11">
      <c r="A11" s="26" t="str">
        <f>"2. " &amp; data!$B$7</f>
      </c>
      <c r="C11" s="23" t="str">
        <f>CONCATENATE("Pool B-2nd ",'Pool Matches'!G83)</f>
      </c>
      <c r="D11" s="15"/>
      <c r="E11" s="20"/>
      <c r="I11" s="20"/>
    </row>
    <row r="12">
      <c r="A12" s="27" t="str">
        <f>"3. " &amp; data!$B$8</f>
      </c>
      <c r="I12" s="21">
        <v>47</v>
      </c>
    </row>
    <row r="13">
      <c r="A13" s="22"/>
      <c r="C13" s="23" t="str">
        <f>CONCATENATE("Pool E-1st ",'Pool Matches'!G208)</f>
      </c>
      <c r="I13" s="20"/>
      <c r="J13" s="22"/>
      <c r="K13" s="20"/>
    </row>
    <row r="14">
      <c r="A14" s="24" t="str">
        <f>data!$A$11</f>
      </c>
      <c r="D14" s="22"/>
      <c r="E14" s="21">
        <v>2</v>
      </c>
      <c r="I14" s="20"/>
      <c r="K14" s="20"/>
    </row>
    <row r="15">
      <c r="A15" s="25" t="str">
        <f>"1. " &amp; data!$B$9</f>
      </c>
      <c r="C15" s="23" t="str">
        <f>CONCATENATE("Pool D-2nd ",'Pool Matches'!G167)</f>
      </c>
      <c r="D15" s="15"/>
      <c r="E15" s="20"/>
      <c r="F15" s="22"/>
      <c r="G15" s="20"/>
      <c r="I15" s="20"/>
      <c r="K15" s="20"/>
    </row>
    <row r="16">
      <c r="A16" s="26" t="str">
        <f>"2. " &amp; data!$B$10</f>
      </c>
      <c r="G16" s="21">
        <v>32</v>
      </c>
      <c r="H16" s="15"/>
      <c r="I16" s="20"/>
      <c r="K16" s="20"/>
    </row>
    <row r="17">
      <c r="A17" s="27" t="str">
        <f>"3. " &amp; data!$B$11</f>
      </c>
      <c r="C17" s="23" t="str">
        <f>CONCATENATE("Pool G-1st ",'Pool Matches'!G292)</f>
      </c>
      <c r="G17" s="20"/>
      <c r="K17" s="20"/>
    </row>
    <row r="18">
      <c r="A18" s="22"/>
      <c r="D18" s="22"/>
      <c r="E18" s="21">
        <v>3</v>
      </c>
      <c r="F18" s="15"/>
      <c r="G18" s="20"/>
      <c r="K18" s="20"/>
    </row>
    <row r="19">
      <c r="A19" s="24" t="str">
        <f>data!$A$14</f>
      </c>
      <c r="C19" s="23" t="str">
        <f>CONCATENATE("Pool F-2nd ",'Pool Matches'!G251)</f>
      </c>
      <c r="D19" s="15"/>
      <c r="E19" s="20"/>
      <c r="K19" s="20"/>
    </row>
    <row r="20">
      <c r="A20" s="25" t="str">
        <f>"1. " &amp; data!$B$12</f>
      </c>
      <c r="K20" s="21">
        <v>55</v>
      </c>
    </row>
    <row r="21">
      <c r="A21" s="26" t="str">
        <f>"2. " &amp; data!$B$13</f>
      </c>
      <c r="C21" s="23" t="str">
        <f>CONCATENATE("Pool I-1st ",'Pool Matches'!G376)</f>
      </c>
      <c r="K21" s="20"/>
    </row>
    <row r="22">
      <c r="A22" s="27" t="str">
        <f>"3. " &amp; data!$B$14</f>
      </c>
      <c r="D22" s="22"/>
      <c r="E22" s="21">
        <v>4</v>
      </c>
      <c r="K22" s="20"/>
    </row>
    <row r="23">
      <c r="A23" s="22"/>
      <c r="C23" s="23" t="str">
        <f>CONCATENATE("Pool H-2nd ",'Pool Matches'!G335)</f>
      </c>
      <c r="D23" s="15"/>
      <c r="E23" s="20"/>
      <c r="F23" s="22"/>
      <c r="G23" s="20"/>
      <c r="K23" s="20"/>
    </row>
    <row r="24">
      <c r="A24" s="24" t="str">
        <f>data!$A$17</f>
      </c>
      <c r="G24" s="21">
        <v>33</v>
      </c>
      <c r="K24" s="20"/>
    </row>
    <row r="25">
      <c r="A25" s="25" t="str">
        <f>"1. " &amp; data!$B$15</f>
      </c>
      <c r="C25" s="23" t="str">
        <f>CONCATENATE("Pool K-1st ",'Pool Matches'!G460)</f>
      </c>
      <c r="G25" s="20"/>
      <c r="H25" s="22"/>
      <c r="I25" s="20"/>
      <c r="K25" s="20"/>
    </row>
    <row r="26">
      <c r="A26" s="26" t="str">
        <f>"2. " &amp; data!$B$16</f>
      </c>
      <c r="D26" s="22"/>
      <c r="E26" s="21">
        <v>5</v>
      </c>
      <c r="F26" s="15"/>
      <c r="G26" s="20"/>
      <c r="I26" s="20"/>
      <c r="K26" s="20"/>
    </row>
    <row r="27">
      <c r="A27" s="27" t="str">
        <f>"3. " &amp; data!$B$17</f>
      </c>
      <c r="C27" s="23" t="str">
        <f>CONCATENATE("Pool J-2nd ",'Pool Matches'!G419)</f>
      </c>
      <c r="D27" s="15"/>
      <c r="E27" s="20"/>
      <c r="I27" s="20"/>
      <c r="K27" s="20"/>
    </row>
    <row r="28">
      <c r="A28" s="22"/>
      <c r="I28" s="21">
        <v>48</v>
      </c>
      <c r="J28" s="15"/>
      <c r="K28" s="20"/>
    </row>
    <row r="29">
      <c r="A29" s="24" t="str">
        <f>data!$A$20</f>
      </c>
      <c r="C29" s="23" t="str">
        <f>CONCATENATE("Pool M-1st ",'Pool Matches'!G544)</f>
      </c>
      <c r="I29" s="20"/>
    </row>
    <row r="30">
      <c r="A30" s="25" t="str">
        <f>"1. " &amp; data!$B$18</f>
      </c>
      <c r="D30" s="22"/>
      <c r="E30" s="21">
        <v>6</v>
      </c>
      <c r="I30" s="20"/>
    </row>
    <row r="31">
      <c r="A31" s="26" t="str">
        <f>"2. " &amp; data!$B$19</f>
      </c>
      <c r="C31" s="23" t="str">
        <f>CONCATENATE("Pool L-2nd ",'Pool Matches'!G503)</f>
      </c>
      <c r="D31" s="15"/>
      <c r="E31" s="20"/>
      <c r="F31" s="22"/>
      <c r="G31" s="20"/>
      <c r="I31" s="20"/>
    </row>
    <row r="32">
      <c r="A32" s="27" t="str">
        <f>"3. " &amp; data!$B$20</f>
      </c>
      <c r="G32" s="21">
        <v>34</v>
      </c>
      <c r="H32" s="15"/>
      <c r="I32" s="20"/>
    </row>
    <row r="33">
      <c r="A33" s="22"/>
      <c r="C33" s="23" t="str">
        <f>CONCATENATE("Pool O-1st ",'Pool Matches'!G628)</f>
      </c>
      <c r="G33" s="20"/>
    </row>
    <row r="34">
      <c r="A34" s="24" t="str">
        <f>data!$A$23</f>
      </c>
      <c r="D34" s="22"/>
      <c r="E34" s="21">
        <v>7</v>
      </c>
      <c r="F34" s="15"/>
      <c r="G34" s="20"/>
    </row>
    <row r="35">
      <c r="A35" s="25" t="str">
        <f>"1. " &amp; data!$B$21</f>
      </c>
      <c r="C35" s="23" t="str">
        <f>CONCATENATE("Pool N-2nd ",'Pool Matches'!G587)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Matches'!G653)</f>
      </c>
      <c r="D7" s="15"/>
      <c r="E7" s="20"/>
      <c r="F7" s="22"/>
      <c r="G7" s="20"/>
    </row>
    <row r="8">
      <c r="A8" s="22"/>
      <c r="G8" s="21">
        <v>35</v>
      </c>
    </row>
    <row r="9">
      <c r="A9" s="24" t="str">
        <f>data!$A$32</f>
      </c>
      <c r="C9" s="23" t="str">
        <f>CONCATENATE("Pool S-1st ",'Pool Matches'!O124)</f>
      </c>
      <c r="G9" s="20"/>
      <c r="H9" s="22"/>
      <c r="I9" s="20"/>
    </row>
    <row r="10">
      <c r="A10" s="25" t="str">
        <f>"1. " &amp; data!$B$30</f>
      </c>
      <c r="D10" s="22"/>
      <c r="E10" s="21">
        <v>9</v>
      </c>
      <c r="F10" s="15"/>
      <c r="G10" s="20"/>
      <c r="I10" s="20"/>
    </row>
    <row r="11">
      <c r="A11" s="26" t="str">
        <f>"2. " &amp; data!$B$31</f>
      </c>
      <c r="C11" s="23" t="str">
        <f>CONCATENATE("Pool R-2nd ",'Pool Matches'!O83)</f>
      </c>
      <c r="D11" s="15"/>
      <c r="E11" s="20"/>
      <c r="I11" s="20"/>
    </row>
    <row r="12">
      <c r="A12" s="27" t="str">
        <f>"3. " &amp; data!$B$32</f>
      </c>
      <c r="I12" s="21">
        <v>49</v>
      </c>
    </row>
    <row r="13">
      <c r="A13" s="22"/>
      <c r="C13" s="23" t="str">
        <f>CONCATENATE("Pool U-1st ",'Pool Matches'!O208)</f>
      </c>
      <c r="I13" s="20"/>
      <c r="J13" s="22"/>
      <c r="K13" s="20"/>
    </row>
    <row r="14">
      <c r="A14" s="24" t="str">
        <f>data!$A$35</f>
      </c>
      <c r="D14" s="22"/>
      <c r="E14" s="21">
        <v>10</v>
      </c>
      <c r="I14" s="20"/>
      <c r="K14" s="20"/>
    </row>
    <row r="15">
      <c r="A15" s="25" t="str">
        <f>"1. " &amp; data!$B$33</f>
      </c>
      <c r="C15" s="23" t="str">
        <f>CONCATENATE("Pool T-2nd ",'Pool Matches'!O167)</f>
      </c>
      <c r="D15" s="15"/>
      <c r="E15" s="20"/>
      <c r="F15" s="22"/>
      <c r="G15" s="20"/>
      <c r="I15" s="20"/>
      <c r="K15" s="20"/>
    </row>
    <row r="16">
      <c r="A16" s="26" t="str">
        <f>"2. " &amp; data!$B$34</f>
      </c>
      <c r="G16" s="21">
        <v>36</v>
      </c>
      <c r="H16" s="15"/>
      <c r="I16" s="20"/>
      <c r="K16" s="20"/>
    </row>
    <row r="17">
      <c r="A17" s="27" t="str">
        <f>"3. " &amp; data!$B$35</f>
      </c>
      <c r="C17" s="23" t="str">
        <f>CONCATENATE("Pool W-1st ",'Pool Matches'!O292)</f>
      </c>
      <c r="G17" s="20"/>
      <c r="K17" s="20"/>
    </row>
    <row r="18">
      <c r="A18" s="22"/>
      <c r="D18" s="22"/>
      <c r="E18" s="21">
        <v>11</v>
      </c>
      <c r="F18" s="15"/>
      <c r="G18" s="20"/>
      <c r="K18" s="20"/>
    </row>
    <row r="19">
      <c r="A19" s="24" t="str">
        <f>data!$A$38</f>
      </c>
      <c r="C19" s="23" t="str">
        <f>CONCATENATE("Pool V-2nd ",'Pool Matches'!O251)</f>
      </c>
      <c r="D19" s="15"/>
      <c r="E19" s="20"/>
      <c r="K19" s="20"/>
    </row>
    <row r="20">
      <c r="A20" s="25" t="str">
        <f>"1. " &amp; data!$B$36</f>
      </c>
      <c r="K20" s="21">
        <v>56</v>
      </c>
    </row>
    <row r="21">
      <c r="A21" s="26" t="str">
        <f>"2. " &amp; data!$B$37</f>
      </c>
      <c r="C21" s="23" t="str">
        <f>CONCATENATE("Pool Y-1st ",'Pool Matches'!O376)</f>
      </c>
      <c r="K21" s="20"/>
    </row>
    <row r="22">
      <c r="A22" s="27" t="str">
        <f>"3. " &amp; data!$B$38</f>
      </c>
      <c r="D22" s="22"/>
      <c r="E22" s="21">
        <v>12</v>
      </c>
      <c r="K22" s="20"/>
    </row>
    <row r="23">
      <c r="A23" s="22"/>
      <c r="C23" s="23" t="str">
        <f>CONCATENATE("Pool X-2nd ",'Pool Matches'!O335)</f>
      </c>
      <c r="D23" s="15"/>
      <c r="E23" s="20"/>
      <c r="F23" s="22"/>
      <c r="G23" s="20"/>
      <c r="K23" s="20"/>
    </row>
    <row r="24">
      <c r="A24" s="24" t="str">
        <f>data!$A$41</f>
      </c>
      <c r="G24" s="21">
        <v>37</v>
      </c>
      <c r="K24" s="20"/>
    </row>
    <row r="25">
      <c r="A25" s="25" t="str">
        <f>"1. " &amp; data!$B$39</f>
      </c>
      <c r="C25" s="23" t="str">
        <f>CONCATENATE("Pool AA-1st ",'Pool Matches'!O460)</f>
      </c>
      <c r="G25" s="20"/>
      <c r="H25" s="22"/>
      <c r="I25" s="20"/>
      <c r="K25" s="20"/>
    </row>
    <row r="26">
      <c r="A26" s="26" t="str">
        <f>"2. " &amp; data!$B$40</f>
      </c>
      <c r="D26" s="22"/>
      <c r="E26" s="21">
        <v>13</v>
      </c>
      <c r="F26" s="15"/>
      <c r="G26" s="20"/>
      <c r="I26" s="20"/>
      <c r="K26" s="20"/>
    </row>
    <row r="27">
      <c r="A27" s="27" t="str">
        <f>"3. " &amp; data!$B$41</f>
      </c>
      <c r="C27" s="23" t="str">
        <f>CONCATENATE("Pool Z-2nd ",'Pool Matches'!O419)</f>
      </c>
      <c r="D27" s="15"/>
      <c r="E27" s="20"/>
      <c r="I27" s="20"/>
      <c r="K27" s="20"/>
    </row>
    <row r="28">
      <c r="A28" s="22"/>
      <c r="I28" s="21">
        <v>50</v>
      </c>
      <c r="J28" s="15"/>
      <c r="K28" s="20"/>
    </row>
    <row r="29">
      <c r="A29" s="24" t="str">
        <f>data!$A$44</f>
      </c>
      <c r="C29" s="23" t="str">
        <f>CONCATENATE("Pool CC-1st ",'Pool Matches'!O544)</f>
      </c>
      <c r="I29" s="20"/>
    </row>
    <row r="30">
      <c r="A30" s="25" t="str">
        <f>"1. " &amp; data!$B$42</f>
      </c>
      <c r="D30" s="22"/>
      <c r="E30" s="21">
        <v>14</v>
      </c>
      <c r="I30" s="20"/>
    </row>
    <row r="31">
      <c r="A31" s="26" t="str">
        <f>"2. " &amp; data!$B$43</f>
      </c>
      <c r="C31" s="23" t="str">
        <f>CONCATENATE("Pool BB-2nd ",'Pool Matches'!O503)</f>
      </c>
      <c r="D31" s="15"/>
      <c r="E31" s="20"/>
      <c r="F31" s="22"/>
      <c r="G31" s="20"/>
      <c r="I31" s="20"/>
    </row>
    <row r="32">
      <c r="A32" s="27" t="str">
        <f>"3. " &amp; data!$B$44</f>
      </c>
      <c r="G32" s="21">
        <v>38</v>
      </c>
      <c r="H32" s="15"/>
      <c r="I32" s="20"/>
    </row>
    <row r="33">
      <c r="A33" s="22"/>
      <c r="C33" s="23" t="str">
        <f>CONCATENATE("Pool EE-1st ",'Pool Matches'!O626)</f>
      </c>
      <c r="G33" s="20"/>
    </row>
    <row r="34">
      <c r="A34" s="24" t="str">
        <f>data!$A$47</f>
      </c>
      <c r="D34" s="22"/>
      <c r="E34" s="21">
        <v>15</v>
      </c>
      <c r="F34" s="15"/>
      <c r="G34" s="20"/>
    </row>
    <row r="35">
      <c r="A35" s="25" t="str">
        <f>"1. " &amp; data!$B$45</f>
      </c>
      <c r="C35" s="23" t="str">
        <f>CONCATENATE("Pool DD-2nd ",'Pool Matches'!O587)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Matches'!G82)</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Matches'!G125)</f>
      </c>
      <c r="D11" s="15"/>
      <c r="E11" s="20"/>
      <c r="I11" s="20"/>
    </row>
    <row r="12">
      <c r="A12" s="27" t="str">
        <f>"3. " &amp; data!$B$55</f>
      </c>
      <c r="I12" s="21">
        <v>51</v>
      </c>
    </row>
    <row r="13">
      <c r="A13" s="22"/>
      <c r="C13" s="23" t="str">
        <f>CONCATENATE("Pool D-1st ",'Pool Matches'!G166)</f>
      </c>
      <c r="I13" s="20"/>
      <c r="J13" s="22"/>
      <c r="K13" s="20"/>
    </row>
    <row r="14">
      <c r="A14" s="24" t="str">
        <f>data!$A$58</f>
      </c>
      <c r="D14" s="22"/>
      <c r="E14" s="21">
        <v>17</v>
      </c>
      <c r="I14" s="20"/>
      <c r="K14" s="20"/>
    </row>
    <row r="15">
      <c r="A15" s="25" t="str">
        <f>"1. " &amp; data!$B$56</f>
      </c>
      <c r="C15" s="23" t="str">
        <f>CONCATENATE("Pool E-2nd ",'Pool Matches'!G209)</f>
      </c>
      <c r="D15" s="15"/>
      <c r="E15" s="20"/>
      <c r="F15" s="22"/>
      <c r="G15" s="20"/>
      <c r="I15" s="20"/>
      <c r="K15" s="20"/>
    </row>
    <row r="16">
      <c r="A16" s="26" t="str">
        <f>"2. " &amp; data!$B$57</f>
      </c>
      <c r="G16" s="21">
        <v>40</v>
      </c>
      <c r="H16" s="15"/>
      <c r="I16" s="20"/>
      <c r="K16" s="20"/>
    </row>
    <row r="17">
      <c r="A17" s="27" t="str">
        <f>"3. " &amp; data!$B$58</f>
      </c>
      <c r="C17" s="23" t="str">
        <f>CONCATENATE("Pool F-1st ",'Pool Matches'!G250)</f>
      </c>
      <c r="G17" s="20"/>
      <c r="K17" s="20"/>
    </row>
    <row r="18">
      <c r="A18" s="22"/>
      <c r="D18" s="22"/>
      <c r="E18" s="21">
        <v>18</v>
      </c>
      <c r="F18" s="15"/>
      <c r="G18" s="20"/>
      <c r="K18" s="20"/>
    </row>
    <row r="19">
      <c r="A19" s="24" t="str">
        <f>data!$A$61</f>
      </c>
      <c r="C19" s="23" t="str">
        <f>CONCATENATE("Pool G-2nd ",'Pool Matches'!G293)</f>
      </c>
      <c r="D19" s="15"/>
      <c r="E19" s="20"/>
      <c r="K19" s="20"/>
    </row>
    <row r="20">
      <c r="A20" s="25" t="str">
        <f>"1. " &amp; data!$B$59</f>
      </c>
      <c r="K20" s="21">
        <v>57</v>
      </c>
    </row>
    <row r="21">
      <c r="A21" s="26" t="str">
        <f>"2. " &amp; data!$B$60</f>
      </c>
      <c r="C21" s="23" t="str">
        <f>CONCATENATE("Pool H-1st ",'Pool Matches'!G334)</f>
      </c>
      <c r="K21" s="20"/>
    </row>
    <row r="22">
      <c r="A22" s="27" t="str">
        <f>"3. " &amp; data!$B$61</f>
      </c>
      <c r="D22" s="22"/>
      <c r="E22" s="21">
        <v>19</v>
      </c>
      <c r="K22" s="20"/>
    </row>
    <row r="23">
      <c r="A23" s="22"/>
      <c r="C23" s="23" t="str">
        <f>CONCATENATE("Pool I-2nd ",'Pool Matches'!G377)</f>
      </c>
      <c r="D23" s="15"/>
      <c r="E23" s="20"/>
      <c r="F23" s="22"/>
      <c r="G23" s="20"/>
      <c r="K23" s="20"/>
    </row>
    <row r="24">
      <c r="A24" s="24" t="str">
        <f>data!$A$64</f>
      </c>
      <c r="G24" s="21">
        <v>41</v>
      </c>
      <c r="K24" s="20"/>
    </row>
    <row r="25">
      <c r="A25" s="25" t="str">
        <f>"1. " &amp; data!$B$62</f>
      </c>
      <c r="C25" s="23" t="str">
        <f>CONCATENATE("Pool J-1st ",'Pool Matches'!G418)</f>
      </c>
      <c r="G25" s="20"/>
      <c r="H25" s="22"/>
      <c r="I25" s="20"/>
      <c r="K25" s="20"/>
    </row>
    <row r="26">
      <c r="A26" s="26" t="str">
        <f>"2. " &amp; data!$B$63</f>
      </c>
      <c r="D26" s="22"/>
      <c r="E26" s="21">
        <v>20</v>
      </c>
      <c r="F26" s="15"/>
      <c r="G26" s="20"/>
      <c r="I26" s="20"/>
      <c r="K26" s="20"/>
    </row>
    <row r="27">
      <c r="A27" s="27" t="str">
        <f>"3. " &amp; data!$B$64</f>
      </c>
      <c r="C27" s="23" t="str">
        <f>CONCATENATE("Pool K-2nd ",'Pool Matches'!G461)</f>
      </c>
      <c r="D27" s="15"/>
      <c r="E27" s="20"/>
      <c r="I27" s="20"/>
      <c r="K27" s="20"/>
    </row>
    <row r="28">
      <c r="A28" s="22"/>
      <c r="I28" s="21">
        <v>52</v>
      </c>
      <c r="J28" s="15"/>
      <c r="K28" s="20"/>
    </row>
    <row r="29">
      <c r="A29" s="24" t="str">
        <f>data!$A$67</f>
      </c>
      <c r="C29" s="23" t="str">
        <f>CONCATENATE("Pool L-1st ",'Pool Matches'!G502)</f>
      </c>
      <c r="I29" s="20"/>
    </row>
    <row r="30">
      <c r="A30" s="25" t="str">
        <f>"1. " &amp; data!$B$65</f>
      </c>
      <c r="D30" s="22"/>
      <c r="E30" s="21">
        <v>21</v>
      </c>
      <c r="I30" s="20"/>
    </row>
    <row r="31">
      <c r="A31" s="26" t="str">
        <f>"2. " &amp; data!$B$66</f>
      </c>
      <c r="C31" s="23" t="str">
        <f>CONCATENATE("Pool M-2nd ",'Pool Matches'!G545)</f>
      </c>
      <c r="D31" s="15"/>
      <c r="E31" s="20"/>
      <c r="F31" s="22"/>
      <c r="G31" s="20"/>
      <c r="I31" s="20"/>
    </row>
    <row r="32">
      <c r="A32" s="27" t="str">
        <f>"3. " &amp; data!$B$67</f>
      </c>
      <c r="G32" s="21">
        <v>42</v>
      </c>
      <c r="H32" s="15"/>
      <c r="I32" s="20"/>
    </row>
    <row r="33">
      <c r="A33" s="22"/>
      <c r="C33" s="23" t="str">
        <f>CONCATENATE("Pool N-1st ",'Pool Matches'!G586)</f>
      </c>
      <c r="G33" s="20"/>
    </row>
    <row r="34">
      <c r="A34" s="24" t="str">
        <f>data!$A$70</f>
      </c>
      <c r="D34" s="22"/>
      <c r="E34" s="21">
        <v>22</v>
      </c>
      <c r="F34" s="15"/>
      <c r="G34" s="20"/>
    </row>
    <row r="35">
      <c r="A35" s="25" t="str">
        <f>"1. " &amp; data!$B$68</f>
      </c>
      <c r="C35" s="23" t="str">
        <f>CONCATENATE("Pool O-2nd ",'Pool Matches'!G629)</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Matches'!G652)</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Matches'!O82)</f>
      </c>
      <c r="G9" s="20"/>
      <c r="H9" s="22"/>
      <c r="I9" s="20"/>
    </row>
    <row r="10">
      <c r="A10" s="25" t="str">
        <f>"1. " &amp; data!$B$77</f>
      </c>
      <c r="D10" s="22"/>
      <c r="E10" s="21">
        <v>24</v>
      </c>
      <c r="F10" s="15"/>
      <c r="G10" s="20"/>
      <c r="I10" s="20"/>
    </row>
    <row r="11">
      <c r="A11" s="26" t="str">
        <f>"2. " &amp; data!$B$78</f>
      </c>
      <c r="C11" s="23" t="str">
        <f>CONCATENATE("Pool S-2nd ",'Pool Matches'!O125)</f>
      </c>
      <c r="D11" s="15"/>
      <c r="E11" s="20"/>
      <c r="I11" s="20"/>
    </row>
    <row r="12">
      <c r="A12" s="27" t="str">
        <f>"3. " &amp; data!$B$79</f>
      </c>
      <c r="I12" s="21">
        <v>53</v>
      </c>
    </row>
    <row r="13">
      <c r="A13" s="22"/>
      <c r="C13" s="23" t="str">
        <f>CONCATENATE("Pool T-1st ",'Pool Matches'!O166)</f>
      </c>
      <c r="I13" s="20"/>
      <c r="J13" s="22"/>
      <c r="K13" s="20"/>
    </row>
    <row r="14">
      <c r="A14" s="24" t="str">
        <f>data!$A$82</f>
      </c>
      <c r="D14" s="22"/>
      <c r="E14" s="21">
        <v>25</v>
      </c>
      <c r="I14" s="20"/>
      <c r="K14" s="20"/>
    </row>
    <row r="15">
      <c r="A15" s="25" t="str">
        <f>"1. " &amp; data!$B$80</f>
      </c>
      <c r="C15" s="23" t="str">
        <f>CONCATENATE("Pool U-2nd ",'Pool Matches'!O209)</f>
      </c>
      <c r="D15" s="15"/>
      <c r="E15" s="20"/>
      <c r="F15" s="22"/>
      <c r="G15" s="20"/>
      <c r="I15" s="20"/>
      <c r="K15" s="20"/>
    </row>
    <row r="16">
      <c r="A16" s="26" t="str">
        <f>"2. " &amp; data!$B$81</f>
      </c>
      <c r="G16" s="21">
        <v>44</v>
      </c>
      <c r="H16" s="15"/>
      <c r="I16" s="20"/>
      <c r="K16" s="20"/>
    </row>
    <row r="17">
      <c r="A17" s="27" t="str">
        <f>"3. " &amp; data!$B$82</f>
      </c>
      <c r="C17" s="23" t="str">
        <f>CONCATENATE("Pool V-1st ",'Pool Matches'!O250)</f>
      </c>
      <c r="G17" s="20"/>
      <c r="K17" s="20"/>
    </row>
    <row r="18">
      <c r="A18" s="22"/>
      <c r="D18" s="22"/>
      <c r="E18" s="21">
        <v>26</v>
      </c>
      <c r="F18" s="15"/>
      <c r="G18" s="20"/>
      <c r="K18" s="20"/>
    </row>
    <row r="19">
      <c r="A19" s="24" t="str">
        <f>data!$A$85</f>
      </c>
      <c r="C19" s="23" t="str">
        <f>CONCATENATE("Pool W-2nd ",'Pool Matches'!O293)</f>
      </c>
      <c r="D19" s="15"/>
      <c r="E19" s="20"/>
      <c r="K19" s="20"/>
    </row>
    <row r="20">
      <c r="A20" s="25" t="str">
        <f>"1. " &amp; data!$B$83</f>
      </c>
      <c r="K20" s="21">
        <v>58</v>
      </c>
    </row>
    <row r="21">
      <c r="A21" s="26" t="str">
        <f>"2. " &amp; data!$B$84</f>
      </c>
      <c r="C21" s="23" t="str">
        <f>CONCATENATE("Pool X-1st ",'Pool Matches'!O334)</f>
      </c>
      <c r="K21" s="20"/>
    </row>
    <row r="22">
      <c r="A22" s="27" t="str">
        <f>"3. " &amp; data!$B$85</f>
      </c>
      <c r="D22" s="22"/>
      <c r="E22" s="21">
        <v>27</v>
      </c>
      <c r="K22" s="20"/>
    </row>
    <row r="23">
      <c r="A23" s="22"/>
      <c r="C23" s="23" t="str">
        <f>CONCATENATE("Pool Y-2nd ",'Pool Matches'!O377)</f>
      </c>
      <c r="D23" s="15"/>
      <c r="E23" s="20"/>
      <c r="F23" s="22"/>
      <c r="G23" s="20"/>
      <c r="K23" s="20"/>
    </row>
    <row r="24">
      <c r="A24" s="24" t="str">
        <f>data!$A$88</f>
      </c>
      <c r="G24" s="21">
        <v>45</v>
      </c>
      <c r="K24" s="20"/>
    </row>
    <row r="25">
      <c r="A25" s="25" t="str">
        <f>"1. " &amp; data!$B$86</f>
      </c>
      <c r="C25" s="23" t="str">
        <f>CONCATENATE("Pool Z-1st ",'Pool Matches'!O418)</f>
      </c>
      <c r="G25" s="20"/>
      <c r="H25" s="22"/>
      <c r="I25" s="20"/>
      <c r="K25" s="20"/>
    </row>
    <row r="26">
      <c r="A26" s="26" t="str">
        <f>"2. " &amp; data!$B$87</f>
      </c>
      <c r="D26" s="22"/>
      <c r="E26" s="21">
        <v>28</v>
      </c>
      <c r="F26" s="15"/>
      <c r="G26" s="20"/>
      <c r="I26" s="20"/>
      <c r="K26" s="20"/>
    </row>
    <row r="27">
      <c r="A27" s="27" t="str">
        <f>"3. " &amp; data!$B$88</f>
      </c>
      <c r="C27" s="23" t="str">
        <f>CONCATENATE("Pool AA-2nd ",'Pool Matches'!O461)</f>
      </c>
      <c r="D27" s="15"/>
      <c r="E27" s="20"/>
      <c r="I27" s="20"/>
      <c r="K27" s="20"/>
    </row>
    <row r="28">
      <c r="A28" s="22"/>
      <c r="I28" s="21">
        <v>54</v>
      </c>
      <c r="J28" s="15"/>
      <c r="K28" s="20"/>
    </row>
    <row r="29">
      <c r="A29" s="24" t="str">
        <f>data!$A$91</f>
      </c>
      <c r="C29" s="23" t="str">
        <f>CONCATENATE("Pool BB-1st ",'Pool Matches'!O502)</f>
      </c>
      <c r="I29" s="20"/>
    </row>
    <row r="30">
      <c r="A30" s="25" t="str">
        <f>"1. " &amp; data!$B$89</f>
      </c>
      <c r="D30" s="22"/>
      <c r="E30" s="21">
        <v>29</v>
      </c>
      <c r="I30" s="20"/>
    </row>
    <row r="31">
      <c r="A31" s="26" t="str">
        <f>"2. " &amp; data!$B$90</f>
      </c>
      <c r="C31" s="23" t="str">
        <f>CONCATENATE("Pool CC-2nd ",'Pool Matches'!O545)</f>
      </c>
      <c r="D31" s="15"/>
      <c r="E31" s="20"/>
      <c r="F31" s="22"/>
      <c r="G31" s="20"/>
      <c r="I31" s="20"/>
    </row>
    <row r="32">
      <c r="A32" s="27" t="str">
        <f>"3. " &amp; data!$B$91</f>
      </c>
      <c r="G32" s="21">
        <v>46</v>
      </c>
      <c r="H32" s="15"/>
      <c r="I32" s="20"/>
    </row>
    <row r="33">
      <c r="A33" s="22"/>
      <c r="C33" s="23" t="str">
        <f>CONCATENATE("Pool DD-1st ",'Pool Matches'!O586)</f>
      </c>
      <c r="G33" s="20"/>
    </row>
    <row r="34">
      <c r="A34" s="24" t="str">
        <f>data!$A$93</f>
      </c>
      <c r="D34" s="22"/>
      <c r="E34" s="21">
        <v>30</v>
      </c>
      <c r="F34" s="15"/>
      <c r="G34" s="20"/>
    </row>
    <row r="35">
      <c r="A35" s="25" t="str">
        <f>"1. " &amp; data!$B$92</f>
      </c>
      <c r="C35" s="23" t="str">
        <f>CONCATENATE("Pool EE-2nd ",'Pool Matches'!O627)</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254</v>
      </c>
      <c r="B1" s="29" t="str">
        <f>data!D3</f>
      </c>
    </row>
    <row r="2" ht="270" customHeight="true">
      <c r="A2" s="28" t="s">
        <v>255</v>
      </c>
      <c r="B2" s="29" t="str">
        <f>data!D4</f>
      </c>
    </row>
    <row r="3" ht="270" customHeight="true">
      <c r="A3" s="28" t="s">
        <v>256</v>
      </c>
      <c r="B3" s="29" t="str">
        <f>data!D5</f>
      </c>
    </row>
    <row r="4" ht="270" customHeight="true">
      <c r="A4" s="28" t="s">
        <v>257</v>
      </c>
      <c r="B4" s="29" t="str">
        <f>data!D6</f>
      </c>
    </row>
    <row r="5" ht="270" customHeight="true">
      <c r="A5" s="28" t="s">
        <v>258</v>
      </c>
      <c r="B5" s="29" t="str">
        <f>data!D7</f>
      </c>
    </row>
    <row r="6" ht="270" customHeight="true">
      <c r="A6" s="28" t="s">
        <v>259</v>
      </c>
      <c r="B6" s="29" t="str">
        <f>data!D8</f>
      </c>
    </row>
    <row r="7" ht="270" customHeight="true">
      <c r="A7" s="28" t="s">
        <v>260</v>
      </c>
      <c r="B7" s="29" t="str">
        <f>data!D9</f>
      </c>
    </row>
    <row r="8" ht="270" customHeight="true">
      <c r="A8" s="28" t="s">
        <v>261</v>
      </c>
      <c r="B8" s="29" t="str">
        <f>data!D10</f>
      </c>
    </row>
    <row r="9" ht="270" customHeight="true">
      <c r="A9" s="28" t="s">
        <v>262</v>
      </c>
      <c r="B9" s="29" t="str">
        <f>data!D11</f>
      </c>
    </row>
    <row r="10" ht="270" customHeight="true">
      <c r="A10" s="28" t="s">
        <v>263</v>
      </c>
      <c r="B10" s="29" t="str">
        <f>data!D12</f>
      </c>
    </row>
    <row r="11" ht="270" customHeight="true">
      <c r="A11" s="28" t="s">
        <v>264</v>
      </c>
      <c r="B11" s="29" t="str">
        <f>data!D13</f>
      </c>
    </row>
    <row r="12" ht="270" customHeight="true">
      <c r="A12" s="28" t="s">
        <v>265</v>
      </c>
      <c r="B12" s="29" t="str">
        <f>data!D14</f>
      </c>
    </row>
    <row r="13" ht="270" customHeight="true">
      <c r="A13" s="28" t="s">
        <v>266</v>
      </c>
      <c r="B13" s="29" t="str">
        <f>data!D15</f>
      </c>
    </row>
    <row r="14" ht="270" customHeight="true">
      <c r="A14" s="28" t="s">
        <v>267</v>
      </c>
      <c r="B14" s="29" t="str">
        <f>data!D16</f>
      </c>
    </row>
    <row r="15" ht="270" customHeight="true">
      <c r="A15" s="28" t="s">
        <v>268</v>
      </c>
      <c r="B15" s="29" t="str">
        <f>data!D17</f>
      </c>
    </row>
    <row r="16" ht="270" customHeight="true">
      <c r="A16" s="28" t="s">
        <v>269</v>
      </c>
      <c r="B16" s="29" t="str">
        <f>data!D18</f>
      </c>
    </row>
    <row r="17" ht="270" customHeight="true">
      <c r="A17" s="28" t="s">
        <v>270</v>
      </c>
      <c r="B17" s="29" t="str">
        <f>data!D19</f>
      </c>
    </row>
    <row r="18" ht="270" customHeight="true">
      <c r="A18" s="28" t="s">
        <v>271</v>
      </c>
      <c r="B18" s="29" t="str">
        <f>data!D20</f>
      </c>
    </row>
    <row r="19" ht="270" customHeight="true">
      <c r="A19" s="28" t="s">
        <v>272</v>
      </c>
      <c r="B19" s="29" t="str">
        <f>data!D21</f>
      </c>
    </row>
    <row r="20" ht="270" customHeight="true">
      <c r="A20" s="28" t="s">
        <v>273</v>
      </c>
      <c r="B20" s="29" t="str">
        <f>data!D22</f>
      </c>
    </row>
    <row r="21" ht="270" customHeight="true">
      <c r="A21" s="28" t="s">
        <v>274</v>
      </c>
      <c r="B21" s="29" t="str">
        <f>data!D23</f>
      </c>
    </row>
    <row r="22" ht="270" customHeight="true">
      <c r="A22" s="28" t="s">
        <v>275</v>
      </c>
      <c r="B22" s="29" t="str">
        <f>data!D24</f>
      </c>
    </row>
    <row r="23" ht="270" customHeight="true">
      <c r="A23" s="28" t="s">
        <v>276</v>
      </c>
      <c r="B23" s="29" t="str">
        <f>data!D25</f>
      </c>
    </row>
    <row r="24" ht="270" customHeight="true">
      <c r="A24" s="28" t="s">
        <v>277</v>
      </c>
      <c r="B24" s="29" t="str">
        <f>data!D26</f>
      </c>
    </row>
    <row r="25" ht="270" customHeight="true">
      <c r="A25" s="28" t="s">
        <v>278</v>
      </c>
      <c r="B25" s="29" t="str">
        <f>data!D27</f>
      </c>
    </row>
    <row r="26" ht="270" customHeight="true">
      <c r="A26" s="28" t="s">
        <v>279</v>
      </c>
      <c r="B26" s="29" t="str">
        <f>data!D28</f>
      </c>
    </row>
    <row r="27" ht="270" customHeight="true">
      <c r="A27" s="28" t="s">
        <v>280</v>
      </c>
      <c r="B27" s="29" t="str">
        <f>data!D29</f>
      </c>
    </row>
    <row r="28" ht="270" customHeight="true">
      <c r="A28" s="28" t="s">
        <v>281</v>
      </c>
      <c r="B28" s="29" t="str">
        <f>data!D30</f>
      </c>
    </row>
    <row r="29" ht="270" customHeight="true">
      <c r="A29" s="28" t="s">
        <v>282</v>
      </c>
      <c r="B29" s="29" t="str">
        <f>data!D31</f>
      </c>
    </row>
    <row r="30" ht="270" customHeight="true">
      <c r="A30" s="28" t="s">
        <v>283</v>
      </c>
      <c r="B30" s="29" t="str">
        <f>data!D32</f>
      </c>
    </row>
    <row r="31" ht="270" customHeight="true">
      <c r="A31" s="28" t="s">
        <v>284</v>
      </c>
      <c r="B31" s="29" t="str">
        <f>data!D33</f>
      </c>
    </row>
    <row r="32" ht="270" customHeight="true">
      <c r="A32" s="28" t="s">
        <v>285</v>
      </c>
      <c r="B32" s="29" t="str">
        <f>data!D34</f>
      </c>
    </row>
    <row r="33" ht="270" customHeight="true">
      <c r="A33" s="28" t="s">
        <v>286</v>
      </c>
      <c r="B33" s="29" t="str">
        <f>data!D35</f>
      </c>
    </row>
    <row r="34" ht="270" customHeight="true">
      <c r="A34" s="28" t="s">
        <v>287</v>
      </c>
      <c r="B34" s="29" t="str">
        <f>data!D36</f>
      </c>
    </row>
    <row r="35" ht="270" customHeight="true">
      <c r="A35" s="28" t="s">
        <v>288</v>
      </c>
      <c r="B35" s="29" t="str">
        <f>data!D37</f>
      </c>
    </row>
    <row r="36" ht="270" customHeight="true">
      <c r="A36" s="28" t="s">
        <v>289</v>
      </c>
      <c r="B36" s="29" t="str">
        <f>data!D38</f>
      </c>
    </row>
    <row r="37" ht="270" customHeight="true">
      <c r="A37" s="28" t="s">
        <v>290</v>
      </c>
      <c r="B37" s="29" t="str">
        <f>data!D39</f>
      </c>
    </row>
    <row r="38" ht="270" customHeight="true">
      <c r="A38" s="28" t="s">
        <v>291</v>
      </c>
      <c r="B38" s="29" t="str">
        <f>data!D40</f>
      </c>
    </row>
    <row r="39" ht="270" customHeight="true">
      <c r="A39" s="28" t="s">
        <v>292</v>
      </c>
      <c r="B39" s="29" t="str">
        <f>data!D41</f>
      </c>
    </row>
    <row r="40" ht="270" customHeight="true">
      <c r="A40" s="28" t="s">
        <v>293</v>
      </c>
      <c r="B40" s="29" t="str">
        <f>data!D42</f>
      </c>
    </row>
    <row r="41" ht="270" customHeight="true">
      <c r="A41" s="28" t="s">
        <v>294</v>
      </c>
      <c r="B41" s="29" t="str">
        <f>data!D43</f>
      </c>
    </row>
    <row r="42" ht="270" customHeight="true">
      <c r="A42" s="28" t="s">
        <v>295</v>
      </c>
      <c r="B42" s="29" t="str">
        <f>data!D44</f>
      </c>
    </row>
    <row r="43" ht="270" customHeight="true">
      <c r="A43" s="28" t="s">
        <v>296</v>
      </c>
      <c r="B43" s="29" t="str">
        <f>data!D45</f>
      </c>
    </row>
    <row r="44" ht="270" customHeight="true">
      <c r="A44" s="28" t="s">
        <v>297</v>
      </c>
      <c r="B44" s="29" t="str">
        <f>data!D46</f>
      </c>
    </row>
    <row r="45" ht="270" customHeight="true">
      <c r="A45" s="28" t="s">
        <v>298</v>
      </c>
      <c r="B45" s="29" t="str">
        <f>data!D47</f>
      </c>
    </row>
    <row r="46" ht="270" customHeight="true">
      <c r="A46" s="28" t="s">
        <v>299</v>
      </c>
      <c r="B46" s="29" t="str">
        <f>data!D48</f>
      </c>
    </row>
    <row r="47" ht="270" customHeight="true">
      <c r="A47" s="28" t="s">
        <v>300</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301</v>
      </c>
      <c r="B1" s="29" t="str">
        <f>data!D50</f>
      </c>
    </row>
    <row r="2" ht="270" customHeight="true">
      <c r="A2" s="28" t="s">
        <v>302</v>
      </c>
      <c r="B2" s="29" t="str">
        <f>data!D51</f>
      </c>
    </row>
    <row r="3" ht="270" customHeight="true">
      <c r="A3" s="28" t="s">
        <v>303</v>
      </c>
      <c r="B3" s="29" t="str">
        <f>data!D52</f>
      </c>
    </row>
    <row r="4" ht="270" customHeight="true">
      <c r="A4" s="28" t="s">
        <v>304</v>
      </c>
      <c r="B4" s="29" t="str">
        <f>data!D53</f>
      </c>
    </row>
    <row r="5" ht="270" customHeight="true">
      <c r="A5" s="28" t="s">
        <v>305</v>
      </c>
      <c r="B5" s="29" t="str">
        <f>data!D54</f>
      </c>
    </row>
    <row r="6" ht="270" customHeight="true">
      <c r="A6" s="28" t="s">
        <v>306</v>
      </c>
      <c r="B6" s="29" t="str">
        <f>data!D55</f>
      </c>
    </row>
    <row r="7" ht="270" customHeight="true">
      <c r="A7" s="28" t="s">
        <v>307</v>
      </c>
      <c r="B7" s="29" t="str">
        <f>data!D56</f>
      </c>
    </row>
    <row r="8" ht="270" customHeight="true">
      <c r="A8" s="28" t="s">
        <v>308</v>
      </c>
      <c r="B8" s="29" t="str">
        <f>data!D57</f>
      </c>
    </row>
    <row r="9" ht="270" customHeight="true">
      <c r="A9" s="28" t="s">
        <v>309</v>
      </c>
      <c r="B9" s="29" t="str">
        <f>data!D58</f>
      </c>
    </row>
    <row r="10" ht="270" customHeight="true">
      <c r="A10" s="28" t="s">
        <v>310</v>
      </c>
      <c r="B10" s="29" t="str">
        <f>data!D59</f>
      </c>
    </row>
    <row r="11" ht="270" customHeight="true">
      <c r="A11" s="28" t="s">
        <v>311</v>
      </c>
      <c r="B11" s="29" t="str">
        <f>data!D60</f>
      </c>
    </row>
    <row r="12" ht="270" customHeight="true">
      <c r="A12" s="28" t="s">
        <v>312</v>
      </c>
      <c r="B12" s="29" t="str">
        <f>data!D61</f>
      </c>
    </row>
    <row r="13" ht="270" customHeight="true">
      <c r="A13" s="28" t="s">
        <v>313</v>
      </c>
      <c r="B13" s="29" t="str">
        <f>data!D62</f>
      </c>
    </row>
    <row r="14" ht="270" customHeight="true">
      <c r="A14" s="28" t="s">
        <v>314</v>
      </c>
      <c r="B14" s="29" t="str">
        <f>data!D63</f>
      </c>
    </row>
    <row r="15" ht="270" customHeight="true">
      <c r="A15" s="28" t="s">
        <v>315</v>
      </c>
      <c r="B15" s="29" t="str">
        <f>data!D64</f>
      </c>
    </row>
    <row r="16" ht="270" customHeight="true">
      <c r="A16" s="28" t="s">
        <v>316</v>
      </c>
      <c r="B16" s="29" t="str">
        <f>data!D65</f>
      </c>
    </row>
    <row r="17" ht="270" customHeight="true">
      <c r="A17" s="28" t="s">
        <v>317</v>
      </c>
      <c r="B17" s="29" t="str">
        <f>data!D66</f>
      </c>
    </row>
    <row r="18" ht="270" customHeight="true">
      <c r="A18" s="28" t="s">
        <v>318</v>
      </c>
      <c r="B18" s="29" t="str">
        <f>data!D67</f>
      </c>
    </row>
    <row r="19" ht="270" customHeight="true">
      <c r="A19" s="28" t="s">
        <v>319</v>
      </c>
      <c r="B19" s="29" t="str">
        <f>data!D68</f>
      </c>
    </row>
    <row r="20" ht="270" customHeight="true">
      <c r="A20" s="28" t="s">
        <v>320</v>
      </c>
      <c r="B20" s="29" t="str">
        <f>data!D69</f>
      </c>
    </row>
    <row r="21" ht="270" customHeight="true">
      <c r="A21" s="28" t="s">
        <v>321</v>
      </c>
      <c r="B21" s="29" t="str">
        <f>data!D70</f>
      </c>
    </row>
    <row r="22" ht="270" customHeight="true">
      <c r="A22" s="28" t="s">
        <v>322</v>
      </c>
      <c r="B22" s="29" t="str">
        <f>data!D71</f>
      </c>
    </row>
    <row r="23" ht="270" customHeight="true">
      <c r="A23" s="28" t="s">
        <v>323</v>
      </c>
      <c r="B23" s="29" t="str">
        <f>data!D72</f>
      </c>
    </row>
    <row r="24" ht="270" customHeight="true">
      <c r="A24" s="28" t="s">
        <v>324</v>
      </c>
      <c r="B24" s="29" t="str">
        <f>data!D73</f>
      </c>
    </row>
    <row r="25" ht="270" customHeight="true">
      <c r="A25" s="28" t="s">
        <v>325</v>
      </c>
      <c r="B25" s="29" t="str">
        <f>data!D74</f>
      </c>
    </row>
    <row r="26" ht="270" customHeight="true">
      <c r="A26" s="28" t="s">
        <v>326</v>
      </c>
      <c r="B26" s="29" t="str">
        <f>data!D75</f>
      </c>
    </row>
    <row r="27" ht="270" customHeight="true">
      <c r="A27" s="28" t="s">
        <v>327</v>
      </c>
      <c r="B27" s="29" t="str">
        <f>data!D76</f>
      </c>
    </row>
    <row r="28" ht="270" customHeight="true">
      <c r="A28" s="28" t="s">
        <v>328</v>
      </c>
      <c r="B28" s="29" t="str">
        <f>data!D77</f>
      </c>
    </row>
    <row r="29" ht="270" customHeight="true">
      <c r="A29" s="28" t="s">
        <v>329</v>
      </c>
      <c r="B29" s="29" t="str">
        <f>data!D78</f>
      </c>
    </row>
    <row r="30" ht="270" customHeight="true">
      <c r="A30" s="28" t="s">
        <v>330</v>
      </c>
      <c r="B30" s="29" t="str">
        <f>data!D79</f>
      </c>
    </row>
    <row r="31" ht="270" customHeight="true">
      <c r="A31" s="28" t="s">
        <v>331</v>
      </c>
      <c r="B31" s="29" t="str">
        <f>data!D80</f>
      </c>
    </row>
    <row r="32" ht="270" customHeight="true">
      <c r="A32" s="28" t="s">
        <v>332</v>
      </c>
      <c r="B32" s="29" t="str">
        <f>data!D81</f>
      </c>
    </row>
    <row r="33" ht="270" customHeight="true">
      <c r="A33" s="28" t="s">
        <v>333</v>
      </c>
      <c r="B33" s="29" t="str">
        <f>data!D82</f>
      </c>
    </row>
    <row r="34" ht="270" customHeight="true">
      <c r="A34" s="28" t="s">
        <v>334</v>
      </c>
      <c r="B34" s="29" t="str">
        <f>data!D83</f>
      </c>
    </row>
    <row r="35" ht="270" customHeight="true">
      <c r="A35" s="28" t="s">
        <v>335</v>
      </c>
      <c r="B35" s="29" t="str">
        <f>data!D84</f>
      </c>
    </row>
    <row r="36" ht="270" customHeight="true">
      <c r="A36" s="28" t="s">
        <v>336</v>
      </c>
      <c r="B36" s="29" t="str">
        <f>data!D85</f>
      </c>
    </row>
    <row r="37" ht="270" customHeight="true">
      <c r="A37" s="28" t="s">
        <v>337</v>
      </c>
      <c r="B37" s="29" t="str">
        <f>data!D86</f>
      </c>
    </row>
    <row r="38" ht="270" customHeight="true">
      <c r="A38" s="28" t="s">
        <v>338</v>
      </c>
      <c r="B38" s="29" t="str">
        <f>data!D87</f>
      </c>
    </row>
    <row r="39" ht="270" customHeight="true">
      <c r="A39" s="28" t="s">
        <v>339</v>
      </c>
      <c r="B39" s="29" t="str">
        <f>data!D88</f>
      </c>
    </row>
    <row r="40" ht="270" customHeight="true">
      <c r="A40" s="28" t="s">
        <v>340</v>
      </c>
      <c r="B40" s="29" t="str">
        <f>data!D89</f>
      </c>
    </row>
    <row r="41" ht="270" customHeight="true">
      <c r="A41" s="28" t="s">
        <v>341</v>
      </c>
      <c r="B41" s="29" t="str">
        <f>data!D90</f>
      </c>
    </row>
    <row r="42" ht="270" customHeight="true">
      <c r="A42" s="28" t="s">
        <v>342</v>
      </c>
      <c r="B42" s="29" t="str">
        <f>data!D91</f>
      </c>
    </row>
    <row r="43" ht="270" customHeight="true">
      <c r="A43" s="28" t="s">
        <v>343</v>
      </c>
      <c r="B43" s="29" t="str">
        <f>data!D92</f>
      </c>
    </row>
    <row r="44" ht="270" customHeight="true">
      <c r="A44" s="28" t="s">
        <v>344</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254</v>
      </c>
    </row>
    <row r="2" ht="390" customHeight="true">
      <c r="A2" s="30" t="s">
        <v>254</v>
      </c>
    </row>
    <row r="3" ht="390" customHeight="true">
      <c r="A3" s="30" t="s">
        <v>255</v>
      </c>
    </row>
    <row r="4" ht="390" customHeight="true">
      <c r="A4" s="30" t="s">
        <v>255</v>
      </c>
    </row>
    <row r="5" ht="390" customHeight="true">
      <c r="A5" s="30" t="s">
        <v>256</v>
      </c>
    </row>
    <row r="6" ht="390" customHeight="true">
      <c r="A6" s="30" t="s">
        <v>256</v>
      </c>
    </row>
    <row r="7" ht="390" customHeight="true">
      <c r="A7" s="30" t="s">
        <v>257</v>
      </c>
    </row>
    <row r="8" ht="390" customHeight="true">
      <c r="A8" s="30" t="s">
        <v>257</v>
      </c>
    </row>
    <row r="9" ht="390" customHeight="true">
      <c r="A9" s="30" t="s">
        <v>258</v>
      </c>
    </row>
    <row r="10" ht="390" customHeight="true">
      <c r="A10" s="30" t="s">
        <v>258</v>
      </c>
    </row>
    <row r="11" ht="390" customHeight="true">
      <c r="A11" s="30" t="s">
        <v>259</v>
      </c>
    </row>
    <row r="12" ht="390" customHeight="true">
      <c r="A12" s="30" t="s">
        <v>259</v>
      </c>
    </row>
    <row r="13" ht="390" customHeight="true">
      <c r="A13" s="30" t="s">
        <v>260</v>
      </c>
    </row>
    <row r="14" ht="390" customHeight="true">
      <c r="A14" s="30" t="s">
        <v>260</v>
      </c>
    </row>
    <row r="15" ht="390" customHeight="true">
      <c r="A15" s="30" t="s">
        <v>261</v>
      </c>
    </row>
    <row r="16" ht="390" customHeight="true">
      <c r="A16" s="30" t="s">
        <v>261</v>
      </c>
    </row>
    <row r="17" ht="390" customHeight="true">
      <c r="A17" s="30" t="s">
        <v>262</v>
      </c>
    </row>
    <row r="18" ht="390" customHeight="true">
      <c r="A18" s="30" t="s">
        <v>262</v>
      </c>
    </row>
    <row r="19" ht="390" customHeight="true">
      <c r="A19" s="30" t="s">
        <v>263</v>
      </c>
    </row>
    <row r="20" ht="390" customHeight="true">
      <c r="A20" s="30" t="s">
        <v>263</v>
      </c>
    </row>
    <row r="21" ht="390" customHeight="true">
      <c r="A21" s="30" t="s">
        <v>264</v>
      </c>
    </row>
    <row r="22" ht="390" customHeight="true">
      <c r="A22" s="30" t="s">
        <v>264</v>
      </c>
    </row>
    <row r="23" ht="390" customHeight="true">
      <c r="A23" s="30" t="s">
        <v>265</v>
      </c>
    </row>
    <row r="24" ht="390" customHeight="true">
      <c r="A24" s="30" t="s">
        <v>265</v>
      </c>
    </row>
    <row r="25" ht="390" customHeight="true">
      <c r="A25" s="30" t="s">
        <v>266</v>
      </c>
    </row>
    <row r="26" ht="390" customHeight="true">
      <c r="A26" s="30" t="s">
        <v>266</v>
      </c>
    </row>
    <row r="27" ht="390" customHeight="true">
      <c r="A27" s="30" t="s">
        <v>267</v>
      </c>
    </row>
    <row r="28" ht="390" customHeight="true">
      <c r="A28" s="30" t="s">
        <v>267</v>
      </c>
    </row>
    <row r="29" ht="390" customHeight="true">
      <c r="A29" s="30" t="s">
        <v>268</v>
      </c>
    </row>
    <row r="30" ht="390" customHeight="true">
      <c r="A30" s="30" t="s">
        <v>268</v>
      </c>
    </row>
    <row r="31" ht="390" customHeight="true">
      <c r="A31" s="30" t="s">
        <v>269</v>
      </c>
    </row>
    <row r="32" ht="390" customHeight="true">
      <c r="A32" s="30" t="s">
        <v>269</v>
      </c>
    </row>
    <row r="33" ht="390" customHeight="true">
      <c r="A33" s="30" t="s">
        <v>270</v>
      </c>
    </row>
    <row r="34" ht="390" customHeight="true">
      <c r="A34" s="30" t="s">
        <v>270</v>
      </c>
    </row>
    <row r="35" ht="390" customHeight="true">
      <c r="A35" s="30" t="s">
        <v>271</v>
      </c>
    </row>
    <row r="36" ht="390" customHeight="true">
      <c r="A36" s="30" t="s">
        <v>271</v>
      </c>
    </row>
    <row r="37" ht="390" customHeight="true">
      <c r="A37" s="30" t="s">
        <v>272</v>
      </c>
    </row>
    <row r="38" ht="390" customHeight="true">
      <c r="A38" s="30" t="s">
        <v>272</v>
      </c>
    </row>
    <row r="39" ht="390" customHeight="true">
      <c r="A39" s="30" t="s">
        <v>273</v>
      </c>
    </row>
    <row r="40" ht="390" customHeight="true">
      <c r="A40" s="30" t="s">
        <v>273</v>
      </c>
    </row>
    <row r="41" ht="390" customHeight="true">
      <c r="A41" s="30" t="s">
        <v>274</v>
      </c>
    </row>
    <row r="42" ht="390" customHeight="true">
      <c r="A42" s="30" t="s">
        <v>274</v>
      </c>
    </row>
    <row r="43" ht="390" customHeight="true">
      <c r="A43" s="30" t="s">
        <v>275</v>
      </c>
    </row>
    <row r="44" ht="390" customHeight="true">
      <c r="A44" s="30" t="s">
        <v>275</v>
      </c>
    </row>
    <row r="45" ht="390" customHeight="true">
      <c r="A45" s="30" t="s">
        <v>276</v>
      </c>
    </row>
    <row r="46" ht="390" customHeight="true">
      <c r="A46" s="30" t="s">
        <v>276</v>
      </c>
    </row>
    <row r="47" ht="390" customHeight="true">
      <c r="A47" s="30" t="s">
        <v>277</v>
      </c>
    </row>
    <row r="48" ht="390" customHeight="true">
      <c r="A48" s="30" t="s">
        <v>277</v>
      </c>
    </row>
    <row r="49" ht="390" customHeight="true">
      <c r="A49" s="30" t="s">
        <v>278</v>
      </c>
    </row>
    <row r="50" ht="390" customHeight="true">
      <c r="A50" s="30" t="s">
        <v>278</v>
      </c>
    </row>
    <row r="51" ht="390" customHeight="true">
      <c r="A51" s="30" t="s">
        <v>279</v>
      </c>
    </row>
    <row r="52" ht="390" customHeight="true">
      <c r="A52" s="30" t="s">
        <v>279</v>
      </c>
    </row>
    <row r="53" ht="390" customHeight="true">
      <c r="A53" s="30" t="s">
        <v>280</v>
      </c>
    </row>
    <row r="54" ht="390" customHeight="true">
      <c r="A54" s="30" t="s">
        <v>280</v>
      </c>
    </row>
    <row r="55" ht="390" customHeight="true">
      <c r="A55" s="30" t="s">
        <v>281</v>
      </c>
    </row>
    <row r="56" ht="390" customHeight="true">
      <c r="A56" s="30" t="s">
        <v>281</v>
      </c>
    </row>
    <row r="57" ht="390" customHeight="true">
      <c r="A57" s="30" t="s">
        <v>282</v>
      </c>
    </row>
    <row r="58" ht="390" customHeight="true">
      <c r="A58" s="30" t="s">
        <v>282</v>
      </c>
    </row>
    <row r="59" ht="390" customHeight="true">
      <c r="A59" s="30" t="s">
        <v>283</v>
      </c>
    </row>
    <row r="60" ht="390" customHeight="true">
      <c r="A60" s="30" t="s">
        <v>283</v>
      </c>
    </row>
    <row r="61" ht="390" customHeight="true">
      <c r="A61" s="30" t="s">
        <v>284</v>
      </c>
    </row>
    <row r="62" ht="390" customHeight="true">
      <c r="A62" s="30" t="s">
        <v>284</v>
      </c>
    </row>
    <row r="63" ht="390" customHeight="true">
      <c r="A63" s="30" t="s">
        <v>285</v>
      </c>
    </row>
    <row r="64" ht="390" customHeight="true">
      <c r="A64" s="30" t="s">
        <v>285</v>
      </c>
    </row>
    <row r="65" ht="390" customHeight="true">
      <c r="A65" s="30" t="s">
        <v>286</v>
      </c>
    </row>
    <row r="66" ht="390" customHeight="true">
      <c r="A66" s="30" t="s">
        <v>286</v>
      </c>
    </row>
    <row r="67" ht="390" customHeight="true">
      <c r="A67" s="30" t="s">
        <v>287</v>
      </c>
    </row>
    <row r="68" ht="390" customHeight="true">
      <c r="A68" s="30" t="s">
        <v>287</v>
      </c>
    </row>
    <row r="69" ht="390" customHeight="true">
      <c r="A69" s="30" t="s">
        <v>288</v>
      </c>
    </row>
    <row r="70" ht="390" customHeight="true">
      <c r="A70" s="30" t="s">
        <v>288</v>
      </c>
    </row>
    <row r="71" ht="390" customHeight="true">
      <c r="A71" s="30" t="s">
        <v>289</v>
      </c>
    </row>
    <row r="72" ht="390" customHeight="true">
      <c r="A72" s="30" t="s">
        <v>289</v>
      </c>
    </row>
    <row r="73" ht="390" customHeight="true">
      <c r="A73" s="30" t="s">
        <v>290</v>
      </c>
    </row>
    <row r="74" ht="390" customHeight="true">
      <c r="A74" s="30" t="s">
        <v>290</v>
      </c>
    </row>
    <row r="75" ht="390" customHeight="true">
      <c r="A75" s="30" t="s">
        <v>291</v>
      </c>
    </row>
    <row r="76" ht="390" customHeight="true">
      <c r="A76" s="30" t="s">
        <v>291</v>
      </c>
    </row>
    <row r="77" ht="390" customHeight="true">
      <c r="A77" s="30" t="s">
        <v>292</v>
      </c>
    </row>
    <row r="78" ht="390" customHeight="true">
      <c r="A78" s="30" t="s">
        <v>292</v>
      </c>
    </row>
    <row r="79" ht="390" customHeight="true">
      <c r="A79" s="30" t="s">
        <v>293</v>
      </c>
    </row>
    <row r="80" ht="390" customHeight="true">
      <c r="A80" s="30" t="s">
        <v>293</v>
      </c>
    </row>
    <row r="81" ht="390" customHeight="true">
      <c r="A81" s="30" t="s">
        <v>294</v>
      </c>
    </row>
    <row r="82" ht="390" customHeight="true">
      <c r="A82" s="30" t="s">
        <v>294</v>
      </c>
    </row>
    <row r="83" ht="390" customHeight="true">
      <c r="A83" s="30" t="s">
        <v>295</v>
      </c>
    </row>
    <row r="84" ht="390" customHeight="true">
      <c r="A84" s="30" t="s">
        <v>295</v>
      </c>
    </row>
    <row r="85" ht="390" customHeight="true">
      <c r="A85" s="30" t="s">
        <v>296</v>
      </c>
    </row>
    <row r="86" ht="390" customHeight="true">
      <c r="A86" s="30" t="s">
        <v>296</v>
      </c>
    </row>
    <row r="87" ht="390" customHeight="true">
      <c r="A87" s="30" t="s">
        <v>297</v>
      </c>
    </row>
    <row r="88" ht="390" customHeight="true">
      <c r="A88" s="30" t="s">
        <v>297</v>
      </c>
    </row>
    <row r="89" ht="390" customHeight="true">
      <c r="A89" s="30" t="s">
        <v>298</v>
      </c>
    </row>
    <row r="90" ht="390" customHeight="true">
      <c r="A90" s="30" t="s">
        <v>298</v>
      </c>
    </row>
    <row r="91" ht="390" customHeight="true">
      <c r="A91" s="30" t="s">
        <v>299</v>
      </c>
    </row>
    <row r="92" ht="390" customHeight="true">
      <c r="A92" s="30" t="s">
        <v>299</v>
      </c>
    </row>
    <row r="93" ht="390" customHeight="true">
      <c r="A93" s="30" t="s">
        <v>300</v>
      </c>
    </row>
    <row r="94" ht="390" customHeight="true">
      <c r="A94" s="30" t="s">
        <v>300</v>
      </c>
    </row>
    <row r="95" ht="390" customHeight="true">
      <c r="A95" s="30" t="s">
        <v>301</v>
      </c>
    </row>
    <row r="96" ht="390" customHeight="true">
      <c r="A96" s="30" t="s">
        <v>301</v>
      </c>
    </row>
    <row r="97" ht="390" customHeight="true">
      <c r="A97" s="30" t="s">
        <v>302</v>
      </c>
    </row>
    <row r="98" ht="390" customHeight="true">
      <c r="A98" s="30" t="s">
        <v>302</v>
      </c>
    </row>
    <row r="99" ht="390" customHeight="true">
      <c r="A99" s="30" t="s">
        <v>303</v>
      </c>
    </row>
    <row r="100" ht="390" customHeight="true">
      <c r="A100" s="30" t="s">
        <v>303</v>
      </c>
    </row>
    <row r="101" ht="390" customHeight="true">
      <c r="A101" s="30" t="s">
        <v>304</v>
      </c>
    </row>
    <row r="102" ht="390" customHeight="true">
      <c r="A102" s="30" t="s">
        <v>304</v>
      </c>
    </row>
    <row r="103" ht="390" customHeight="true">
      <c r="A103" s="30" t="s">
        <v>305</v>
      </c>
    </row>
    <row r="104" ht="390" customHeight="true">
      <c r="A104" s="30" t="s">
        <v>305</v>
      </c>
    </row>
    <row r="105" ht="390" customHeight="true">
      <c r="A105" s="30" t="s">
        <v>306</v>
      </c>
    </row>
    <row r="106" ht="390" customHeight="true">
      <c r="A106" s="30" t="s">
        <v>306</v>
      </c>
    </row>
    <row r="107" ht="390" customHeight="true">
      <c r="A107" s="30" t="s">
        <v>307</v>
      </c>
    </row>
    <row r="108" ht="390" customHeight="true">
      <c r="A108" s="30" t="s">
        <v>307</v>
      </c>
    </row>
    <row r="109" ht="390" customHeight="true">
      <c r="A109" s="30" t="s">
        <v>308</v>
      </c>
    </row>
    <row r="110" ht="390" customHeight="true">
      <c r="A110" s="30" t="s">
        <v>308</v>
      </c>
    </row>
    <row r="111" ht="390" customHeight="true">
      <c r="A111" s="30" t="s">
        <v>309</v>
      </c>
    </row>
    <row r="112" ht="390" customHeight="true">
      <c r="A112" s="30" t="s">
        <v>309</v>
      </c>
    </row>
    <row r="113" ht="390" customHeight="true">
      <c r="A113" s="30" t="s">
        <v>310</v>
      </c>
    </row>
    <row r="114" ht="390" customHeight="true">
      <c r="A114" s="30" t="s">
        <v>310</v>
      </c>
    </row>
    <row r="115" ht="390" customHeight="true">
      <c r="A115" s="30" t="s">
        <v>311</v>
      </c>
    </row>
    <row r="116" ht="390" customHeight="true">
      <c r="A116" s="30" t="s">
        <v>311</v>
      </c>
    </row>
    <row r="117" ht="390" customHeight="true">
      <c r="A117" s="30" t="s">
        <v>312</v>
      </c>
    </row>
    <row r="118" ht="390" customHeight="true">
      <c r="A118" s="30" t="s">
        <v>312</v>
      </c>
    </row>
    <row r="119" ht="390" customHeight="true">
      <c r="A119" s="30" t="s">
        <v>313</v>
      </c>
    </row>
    <row r="120" ht="390" customHeight="true">
      <c r="A120" s="30" t="s">
        <v>313</v>
      </c>
    </row>
    <row r="121" ht="390" customHeight="true">
      <c r="A121" s="30" t="s">
        <v>314</v>
      </c>
    </row>
    <row r="122" ht="390" customHeight="true">
      <c r="A122" s="30" t="s">
        <v>314</v>
      </c>
    </row>
    <row r="123" ht="390" customHeight="true">
      <c r="A123" s="30" t="s">
        <v>315</v>
      </c>
    </row>
    <row r="124" ht="390" customHeight="true">
      <c r="A124" s="30" t="s">
        <v>315</v>
      </c>
    </row>
    <row r="125" ht="390" customHeight="true">
      <c r="A125" s="30" t="s">
        <v>316</v>
      </c>
    </row>
    <row r="126" ht="390" customHeight="true">
      <c r="A126" s="30" t="s">
        <v>316</v>
      </c>
    </row>
    <row r="127" ht="390" customHeight="true">
      <c r="A127" s="30" t="s">
        <v>317</v>
      </c>
    </row>
    <row r="128" ht="390" customHeight="true">
      <c r="A128" s="30" t="s">
        <v>317</v>
      </c>
    </row>
    <row r="129" ht="390" customHeight="true">
      <c r="A129" s="30" t="s">
        <v>318</v>
      </c>
    </row>
    <row r="130" ht="390" customHeight="true">
      <c r="A130" s="30" t="s">
        <v>318</v>
      </c>
    </row>
    <row r="131" ht="390" customHeight="true">
      <c r="A131" s="30" t="s">
        <v>319</v>
      </c>
    </row>
    <row r="132" ht="390" customHeight="true">
      <c r="A132" s="30" t="s">
        <v>319</v>
      </c>
    </row>
    <row r="133" ht="390" customHeight="true">
      <c r="A133" s="30" t="s">
        <v>320</v>
      </c>
    </row>
    <row r="134" ht="390" customHeight="true">
      <c r="A134" s="30" t="s">
        <v>320</v>
      </c>
    </row>
    <row r="135" ht="390" customHeight="true">
      <c r="A135" s="30" t="s">
        <v>321</v>
      </c>
    </row>
    <row r="136" ht="390" customHeight="true">
      <c r="A136" s="30" t="s">
        <v>321</v>
      </c>
    </row>
    <row r="137" ht="390" customHeight="true">
      <c r="A137" s="30" t="s">
        <v>322</v>
      </c>
    </row>
    <row r="138" ht="390" customHeight="true">
      <c r="A138" s="30" t="s">
        <v>322</v>
      </c>
    </row>
    <row r="139" ht="390" customHeight="true">
      <c r="A139" s="30" t="s">
        <v>323</v>
      </c>
    </row>
    <row r="140" ht="390" customHeight="true">
      <c r="A140" s="30" t="s">
        <v>323</v>
      </c>
    </row>
    <row r="141" ht="390" customHeight="true">
      <c r="A141" s="30" t="s">
        <v>324</v>
      </c>
    </row>
    <row r="142" ht="390" customHeight="true">
      <c r="A142" s="30" t="s">
        <v>324</v>
      </c>
    </row>
    <row r="143" ht="390" customHeight="true">
      <c r="A143" s="30" t="s">
        <v>325</v>
      </c>
    </row>
    <row r="144" ht="390" customHeight="true">
      <c r="A144" s="30" t="s">
        <v>325</v>
      </c>
    </row>
    <row r="145" ht="390" customHeight="true">
      <c r="A145" s="30" t="s">
        <v>326</v>
      </c>
    </row>
    <row r="146" ht="390" customHeight="true">
      <c r="A146" s="30" t="s">
        <v>326</v>
      </c>
    </row>
    <row r="147" ht="390" customHeight="true">
      <c r="A147" s="30" t="s">
        <v>327</v>
      </c>
    </row>
    <row r="148" ht="390" customHeight="true">
      <c r="A148" s="30" t="s">
        <v>327</v>
      </c>
    </row>
    <row r="149" ht="390" customHeight="true">
      <c r="A149" s="30" t="s">
        <v>328</v>
      </c>
    </row>
    <row r="150" ht="390" customHeight="true">
      <c r="A150" s="30" t="s">
        <v>328</v>
      </c>
    </row>
    <row r="151" ht="390" customHeight="true">
      <c r="A151" s="30" t="s">
        <v>329</v>
      </c>
    </row>
    <row r="152" ht="390" customHeight="true">
      <c r="A152" s="30" t="s">
        <v>329</v>
      </c>
    </row>
    <row r="153" ht="390" customHeight="true">
      <c r="A153" s="30" t="s">
        <v>330</v>
      </c>
    </row>
    <row r="154" ht="390" customHeight="true">
      <c r="A154" s="30" t="s">
        <v>330</v>
      </c>
    </row>
    <row r="155" ht="390" customHeight="true">
      <c r="A155" s="30" t="s">
        <v>331</v>
      </c>
    </row>
    <row r="156" ht="390" customHeight="true">
      <c r="A156" s="30" t="s">
        <v>331</v>
      </c>
    </row>
    <row r="157" ht="390" customHeight="true">
      <c r="A157" s="30" t="s">
        <v>332</v>
      </c>
    </row>
    <row r="158" ht="390" customHeight="true">
      <c r="A158" s="30" t="s">
        <v>332</v>
      </c>
    </row>
    <row r="159" ht="390" customHeight="true">
      <c r="A159" s="30" t="s">
        <v>333</v>
      </c>
    </row>
    <row r="160" ht="390" customHeight="true">
      <c r="A160" s="30" t="s">
        <v>333</v>
      </c>
    </row>
    <row r="161" ht="390" customHeight="true">
      <c r="A161" s="30" t="s">
        <v>334</v>
      </c>
    </row>
    <row r="162" ht="390" customHeight="true">
      <c r="A162" s="30" t="s">
        <v>334</v>
      </c>
    </row>
    <row r="163" ht="390" customHeight="true">
      <c r="A163" s="30" t="s">
        <v>335</v>
      </c>
    </row>
    <row r="164" ht="390" customHeight="true">
      <c r="A164" s="30" t="s">
        <v>335</v>
      </c>
    </row>
    <row r="165" ht="390" customHeight="true">
      <c r="A165" s="30" t="s">
        <v>336</v>
      </c>
    </row>
    <row r="166" ht="390" customHeight="true">
      <c r="A166" s="30" t="s">
        <v>336</v>
      </c>
    </row>
    <row r="167" ht="390" customHeight="true">
      <c r="A167" s="30" t="s">
        <v>337</v>
      </c>
    </row>
    <row r="168" ht="390" customHeight="true">
      <c r="A168" s="30" t="s">
        <v>337</v>
      </c>
    </row>
    <row r="169" ht="390" customHeight="true">
      <c r="A169" s="30" t="s">
        <v>338</v>
      </c>
    </row>
    <row r="170" ht="390" customHeight="true">
      <c r="A170" s="30" t="s">
        <v>338</v>
      </c>
    </row>
    <row r="171" ht="390" customHeight="true">
      <c r="A171" s="30" t="s">
        <v>339</v>
      </c>
    </row>
    <row r="172" ht="390" customHeight="true">
      <c r="A172" s="30" t="s">
        <v>339</v>
      </c>
    </row>
    <row r="173" ht="390" customHeight="true">
      <c r="A173" s="30" t="s">
        <v>340</v>
      </c>
    </row>
    <row r="174" ht="390" customHeight="true">
      <c r="A174" s="30" t="s">
        <v>340</v>
      </c>
    </row>
    <row r="175" ht="390" customHeight="true">
      <c r="A175" s="30" t="s">
        <v>341</v>
      </c>
    </row>
    <row r="176" ht="390" customHeight="true">
      <c r="A176" s="30" t="s">
        <v>341</v>
      </c>
    </row>
    <row r="177" ht="390" customHeight="true">
      <c r="A177" s="30" t="s">
        <v>342</v>
      </c>
    </row>
    <row r="178" ht="390" customHeight="true">
      <c r="A178" s="30" t="s">
        <v>342</v>
      </c>
    </row>
    <row r="179" ht="390" customHeight="true">
      <c r="A179" s="30" t="s">
        <v>343</v>
      </c>
    </row>
    <row r="180" ht="390" customHeight="true">
      <c r="A180" s="30" t="s">
        <v>343</v>
      </c>
    </row>
    <row r="181" ht="390" customHeight="true">
      <c r="A181" s="30" t="s">
        <v>344</v>
      </c>
    </row>
    <row r="182" ht="390" customHeight="true">
      <c r="A182" s="30" t="s">
        <v>344</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