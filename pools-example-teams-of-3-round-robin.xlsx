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7"/>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 name="Tags" sheetId="10" r:id="rId13"/>
  </sheets>
  <definedNames>
    <definedName localSheetId="2" name="_xlnm.Print_Area">'Pool Draw'!$B$2:$F$11</definedName>
    <definedName localSheetId="3" name="_xlnm.Print_Area">'Pool Matches'!$A$1:$H$75</definedName>
    <definedName localSheetId="5" name="_xlnm.Print_Area">'Tree 1'!$A$1:$G$13</definedName>
    <definedName localSheetId="6" name="_xlnm.Print_Area">'Names to Print A'!$A$1:$B$6</definedName>
    <definedName localSheetId="7" name="_xlnm.Print_Area">'Tags'!$A$1:$A$12</definedName>
    <definedName localSheetId="4" name="_xlnm.Print_Area">'Elimination Matches'!$A$1:$H$53</definedName>
  </definedNames>
  <calcPr calcId="122211"/>
</workbook>
</file>

<file path=xl/sharedStrings.xml><?xml version="1.0" encoding="utf-8"?>
<sst xmlns="http://schemas.openxmlformats.org/spreadsheetml/2006/main" count="65" uniqueCount="65">
  <si>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</si>
  <si>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</si>
  <si>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</si>
  <si>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</si>
  <si>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</si>
  <si>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</si>
  <si>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</si>
  <si>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</si>
  <si>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</si>
  <si>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</si>
  <si>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</si>
  <si>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</si>
  <si>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</si>
  <si>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</si>
  <si>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Player Number</t>
  </si>
  <si>
    <t>Metadata</t>
  </si>
  <si>
    <t>Pool A</t>
  </si>
  <si>
    <t>Team Alpha</t>
  </si>
  <si>
    <t>Enzan Dojo</t>
  </si>
  <si>
    <t>K1</t>
  </si>
  <si>
    <t>Team Charlie</t>
  </si>
  <si>
    <t>Seishin Dojo</t>
  </si>
  <si>
    <t>K2</t>
  </si>
  <si>
    <t>Team Echo</t>
  </si>
  <si>
    <t>Kenshin Dojo</t>
  </si>
  <si>
    <t>K3</t>
  </si>
  <si>
    <t>Pool B</t>
  </si>
  <si>
    <t>Team Bravo</t>
  </si>
  <si>
    <t>Mushin Dojo</t>
  </si>
  <si>
    <t>K4</t>
  </si>
  <si>
    <t>Team Delta</t>
  </si>
  <si>
    <t>Fudoshin Dojo</t>
  </si>
  <si>
    <t>K5</t>
  </si>
  <si>
    <t>Team Foxtrot</t>
  </si>
  <si>
    <t>Hakuun Dojo</t>
  </si>
  <si>
    <t>K6</t>
  </si>
  <si>
    <t>Shiaijo A</t>
  </si>
  <si>
    <t>White</t>
  </si>
  <si>
    <t>vs</t>
  </si>
  <si>
    <t>Red</t>
  </si>
  <si>
    <t>Team Results</t>
  </si>
  <si>
    <t>W</t>
  </si>
  <si>
    <t>L</t>
  </si>
  <si>
    <t>T</t>
  </si>
  <si>
    <t>Rank</t>
  </si>
  <si>
    <t>IV</t>
  </si>
  <si>
    <t>IL</t>
  </si>
  <si>
    <t>IT</t>
  </si>
  <si>
    <t>PW</t>
  </si>
  <si>
    <t>PL</t>
  </si>
  <si>
    <t>Ranking</t>
  </si>
  <si>
    <t>1.</t>
  </si>
  <si>
    <t>2.</t>
  </si>
  <si>
    <t>3.</t>
  </si>
  <si>
    <t>Round 1 - Match 1</t>
  </si>
  <si>
    <t>Victories / Points</t>
  </si>
  <si>
    <t>Round 1 - Match 2</t>
  </si>
  <si>
    <t>Round 2 - Match 3</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</si>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</sst>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26</v>
      </c>
      <c r="B6" t="s">
        <v>27</v>
      </c>
      <c r="C6" t="s">
        <v>28</v>
      </c>
      <c r="D6" t="s">
        <v>29</v>
      </c>
    </row>
    <row r="7">
      <c r="A7" t="s">
        <v>26</v>
      </c>
      <c r="B7" t="s">
        <v>30</v>
      </c>
      <c r="C7" t="s">
        <v>31</v>
      </c>
      <c r="D7" t="s">
        <v>32</v>
      </c>
    </row>
    <row r="8">
      <c r="A8" t="s">
        <v>26</v>
      </c>
      <c r="B8" t="s">
        <v>33</v>
      </c>
      <c r="C8" t="s">
        <v>34</v>
      </c>
      <c r="D8" t="s">
        <v>35</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6</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3</v>
      </c>
      <c r="B8" s="2">
        <v>3</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58</v>
      </c>
      <c r="F13" s="13"/>
      <c r="G13" s="13"/>
      <c r="H13" s="13"/>
    </row>
    <row r="14">
      <c r="A14">
        <v>1</v>
      </c>
      <c r="E14" s="32" t="s">
        <v>59</v>
      </c>
      <c r="F14" s="32"/>
      <c r="G14" s="32"/>
      <c r="H14" s="31" t="str">
        <f>H2</f>
      </c>
    </row>
    <row r="15">
      <c r="E15" s="32" t="s">
        <v>60</v>
      </c>
      <c r="F15" s="32"/>
      <c r="G15" s="32"/>
      <c r="H15" s="31" t="str">
        <f>H8</f>
      </c>
    </row>
    <row r="16">
      <c r="E16" s="32" t="s">
        <v>61</v>
      </c>
      <c r="F16" s="32"/>
      <c r="G16" s="32"/>
      <c r="H16" s="31" t="str">
        <f>H14+H15</f>
      </c>
    </row>
    <row r="17">
      <c r="E17" s="32" t="s">
        <v>62</v>
      </c>
      <c r="F17" s="32"/>
      <c r="G17" s="32"/>
      <c r="H17" s="31" t="str">
        <f>H16/A14</f>
      </c>
    </row>
    <row r="18">
      <c r="E18" s="13" t="s">
        <v>63</v>
      </c>
      <c r="F18" s="13"/>
      <c r="G18" s="13"/>
      <c r="H18" s="33">
        <v>0.375</v>
      </c>
    </row>
    <row r="19">
      <c r="E19" s="13" t="s">
        <v>64</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'data'!$A$5</f>
      </c>
      <c r="D5" s="11" t="str">
        <f>'data'!$A$8</f>
      </c>
    </row>
    <row r="6" ht="17" customHeight="true">
      <c r="B6" s="12" t="str">
        <f>data!$D$3&amp;" "&amp;data!$B$3</f>
      </c>
      <c r="D6" s="12" t="str">
        <f>data!$D$6&amp;" "&amp;data!$B$6</f>
      </c>
    </row>
    <row r="7" ht="17" customHeight="true">
      <c r="B7" s="12" t="str">
        <f>data!$D$4&amp;" "&amp;data!$B$4</f>
      </c>
      <c r="D7" s="12" t="str">
        <f>data!$D$7&amp;" "&amp;data!$B$7</f>
      </c>
    </row>
    <row r="8">
      <c r="B8" s="12" t="str">
        <f>data!$D$5&amp;" "&amp;data!$B$5</f>
      </c>
      <c r="D8" s="12" t="str">
        <f>data!$D$8&amp;" "&amp;data!$B$8</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36</v>
      </c>
      <c r="B1" s="13"/>
      <c r="C1" s="13"/>
      <c r="D1" s="13"/>
      <c r="E1" s="13"/>
      <c r="F1" s="13"/>
      <c r="G1" s="13"/>
    </row>
    <row r="2">
      <c r="A2" s="13" t="str">
        <f>'data'!$A$5</f>
      </c>
      <c r="B2" s="13"/>
      <c r="C2" s="13"/>
      <c r="D2" s="13"/>
      <c r="E2" s="13"/>
      <c r="F2" s="13"/>
      <c r="G2" s="13"/>
    </row>
    <row r="3">
      <c r="A3" s="17" t="s">
        <v>37</v>
      </c>
      <c r="B3" s="14"/>
      <c r="C3" s="14"/>
      <c r="D3" s="14" t="s">
        <v>38</v>
      </c>
      <c r="E3" s="14"/>
      <c r="F3" s="14"/>
      <c r="G3" s="16" t="s">
        <v>39</v>
      </c>
    </row>
    <row r="4">
      <c r="A4" s="14" t="str">
        <f>data!$D$4&amp;" "&amp;data!$B$4</f>
      </c>
      <c r="B4"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f>
      </c>
      <c r="C4" s="14" t="str">
        <f>LEN(SUBSTITUTE(SUBSTITUTE(SUBSTITUTE(B5," ",""),"0",""),"-",""))+LEN(SUBSTITUTE(SUBSTITUTE(SUBSTITUTE(C5," ",""),"0",""),"-",""))+LEN(SUBSTITUTE(SUBSTITUTE(SUBSTITUTE(B6," ",""),"0",""),"-",""))+LEN(SUBSTITUTE(SUBSTITUTE(SUBSTITUTE(C6," ",""),"0",""),"-",""))+LEN(SUBSTITUTE(SUBSTITUTE(SUBSTITUTE(B7," ",""),"0",""),"-",""))+LEN(SUBSTITUTE(SUBSTITUTE(SUBSTITUTE(C7," ",""),"0",""),"-",""))</f>
      </c>
      <c r="D4" s="18"/>
      <c r="E4" s="14" t="str">
        <f>LEN(SUBSTITUTE(SUBSTITUTE(SUBSTITUTE(E5," ",""),"0",""),"-",""))+LEN(SUBSTITUTE(SUBSTITUTE(SUBSTITUTE(F5," ",""),"0",""),"-",""))+LEN(SUBSTITUTE(SUBSTITUTE(SUBSTITUTE(E6," ",""),"0",""),"-",""))+LEN(SUBSTITUTE(SUBSTITUTE(SUBSTITUTE(F6," ",""),"0",""),"-",""))+LEN(SUBSTITUTE(SUBSTITUTE(SUBSTITUTE(E7," ",""),"0",""),"-",""))+LEN(SUBSTITUTE(SUBSTITUTE(SUBSTITUTE(F7," ",""),"0",""),"-",""))</f>
      </c>
      <c r="F4"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f>
      </c>
      <c r="G4" s="14" t="str">
        <f>data!$D$3&amp;" "&amp;data!$B$3</f>
      </c>
    </row>
    <row r="5">
      <c r="A5" s="14">
        <v>1</v>
      </c>
      <c r="B5" s="18"/>
      <c r="C5" s="18"/>
      <c r="D5" s="18"/>
      <c r="E5" s="18"/>
      <c r="F5" s="18"/>
      <c r="G5" s="14">
        <v>1</v>
      </c>
    </row>
    <row r="6">
      <c r="A6" s="14">
        <v>2</v>
      </c>
      <c r="B6" s="18"/>
      <c r="C6" s="18"/>
      <c r="D6" s="18"/>
      <c r="E6" s="18"/>
      <c r="F6" s="18"/>
      <c r="G6" s="14">
        <v>2</v>
      </c>
    </row>
    <row r="7">
      <c r="A7" s="14">
        <v>3</v>
      </c>
      <c r="B7" s="18"/>
      <c r="C7" s="18"/>
      <c r="D7" s="18"/>
      <c r="E7" s="18"/>
      <c r="F7" s="18"/>
      <c r="G7" s="14">
        <v>3</v>
      </c>
    </row>
    <row r="9">
      <c r="A9" s="17" t="s">
        <v>37</v>
      </c>
      <c r="B9" s="14"/>
      <c r="C9" s="14"/>
      <c r="D9" s="14" t="s">
        <v>38</v>
      </c>
      <c r="E9" s="14"/>
      <c r="F9" s="14"/>
      <c r="G9" s="16" t="s">
        <v>39</v>
      </c>
    </row>
    <row r="10">
      <c r="A10" s="14" t="str">
        <f>data!$D$5&amp;" "&amp;data!$B$5</f>
      </c>
      <c r="B10" s="14" t="str">
        <f>IF(UPPER(D11)="X",0,IF((LEN(SUBSTITUTE(SUBSTITUTE(SUBSTITUTE(B11," ",""),"0",""),"-",""))+LEN(SUBSTITUTE(SUBSTITUTE(SUBSTITUTE(C11," ",""),"0",""),"-","")))&gt;(LEN(SUBSTITUTE(SUBSTITUTE(SUBSTITUTE(E11," ",""),"0",""),"-",""))+LEN(SUBSTITUTE(SUBSTITUTE(SUBSTITUTE(F11," ",""),"0",""),"-",""))),1,0))+IF(UPPER(D12)="X",0,IF((LEN(SUBSTITUTE(SUBSTITUTE(SUBSTITUTE(B12," ",""),"0",""),"-",""))+LEN(SUBSTITUTE(SUBSTITUTE(SUBSTITUTE(C12," ",""),"0",""),"-","")))&gt;(LEN(SUBSTITUTE(SUBSTITUTE(SUBSTITUTE(E12," ",""),"0",""),"-",""))+LEN(SUBSTITUTE(SUBSTITUTE(SUBSTITUTE(F12," ",""),"0",""),"-",""))),1,0))+IF(UPPER(D13)="X",0,IF((LEN(SUBSTITUTE(SUBSTITUTE(SUBSTITUTE(B13," ",""),"0",""),"-",""))+LEN(SUBSTITUTE(SUBSTITUTE(SUBSTITUTE(C13," ",""),"0",""),"-","")))&gt;(LEN(SUBSTITUTE(SUBSTITUTE(SUBSTITUTE(E13," ",""),"0",""),"-",""))+LEN(SUBSTITUTE(SUBSTITUTE(SUBSTITUTE(F13," ",""),"0",""),"-",""))),1,0))</f>
      </c>
      <c r="C10" s="14" t="str">
        <f>LEN(SUBSTITUTE(SUBSTITUTE(SUBSTITUTE(B11," ",""),"0",""),"-",""))+LEN(SUBSTITUTE(SUBSTITUTE(SUBSTITUTE(C11," ",""),"0",""),"-",""))+LEN(SUBSTITUTE(SUBSTITUTE(SUBSTITUTE(B12," ",""),"0",""),"-",""))+LEN(SUBSTITUTE(SUBSTITUTE(SUBSTITUTE(C12," ",""),"0",""),"-",""))+LEN(SUBSTITUTE(SUBSTITUTE(SUBSTITUTE(B13," ",""),"0",""),"-",""))+LEN(SUBSTITUTE(SUBSTITUTE(SUBSTITUTE(C13," ",""),"0",""),"-",""))</f>
      </c>
      <c r="D10" s="18"/>
      <c r="E10" s="14" t="str">
        <f>LEN(SUBSTITUTE(SUBSTITUTE(SUBSTITUTE(E11," ",""),"0",""),"-",""))+LEN(SUBSTITUTE(SUBSTITUTE(SUBSTITUTE(F11," ",""),"0",""),"-",""))+LEN(SUBSTITUTE(SUBSTITUTE(SUBSTITUTE(E12," ",""),"0",""),"-",""))+LEN(SUBSTITUTE(SUBSTITUTE(SUBSTITUTE(F12," ",""),"0",""),"-",""))+LEN(SUBSTITUTE(SUBSTITUTE(SUBSTITUTE(E13," ",""),"0",""),"-",""))+LEN(SUBSTITUTE(SUBSTITUTE(SUBSTITUTE(F13," ",""),"0",""),"-",""))</f>
      </c>
      <c r="F10" s="14" t="str">
        <f>IF(UPPER(D11)="X",0,IF((LEN(SUBSTITUTE(SUBSTITUTE(SUBSTITUTE(E11," ",""),"0",""),"-",""))+LEN(SUBSTITUTE(SUBSTITUTE(SUBSTITUTE(F11," ",""),"0",""),"-","")))&gt;(LEN(SUBSTITUTE(SUBSTITUTE(SUBSTITUTE(B11," ",""),"0",""),"-",""))+LEN(SUBSTITUTE(SUBSTITUTE(SUBSTITUTE(C11," ",""),"0",""),"-",""))),1,0))+IF(UPPER(D12)="X",0,IF((LEN(SUBSTITUTE(SUBSTITUTE(SUBSTITUTE(E12," ",""),"0",""),"-",""))+LEN(SUBSTITUTE(SUBSTITUTE(SUBSTITUTE(F12," ",""),"0",""),"-","")))&gt;(LEN(SUBSTITUTE(SUBSTITUTE(SUBSTITUTE(B12," ",""),"0",""),"-",""))+LEN(SUBSTITUTE(SUBSTITUTE(SUBSTITUTE(C12," ",""),"0",""),"-",""))),1,0))+IF(UPPER(D13)="X",0,IF((LEN(SUBSTITUTE(SUBSTITUTE(SUBSTITUTE(E13," ",""),"0",""),"-",""))+LEN(SUBSTITUTE(SUBSTITUTE(SUBSTITUTE(F13," ",""),"0",""),"-","")))&gt;(LEN(SUBSTITUTE(SUBSTITUTE(SUBSTITUTE(B13," ",""),"0",""),"-",""))+LEN(SUBSTITUTE(SUBSTITUTE(SUBSTITUTE(C13," ",""),"0",""),"-",""))),1,0))</f>
      </c>
      <c r="G10" s="14" t="str">
        <f>data!$D$3&amp;" "&amp;data!$B$3</f>
      </c>
    </row>
    <row r="11">
      <c r="A11" s="14">
        <v>1</v>
      </c>
      <c r="B11" s="18"/>
      <c r="C11" s="18"/>
      <c r="D11" s="18"/>
      <c r="E11" s="18"/>
      <c r="F11" s="18"/>
      <c r="G11" s="14">
        <v>1</v>
      </c>
    </row>
    <row r="12">
      <c r="A12" s="14">
        <v>2</v>
      </c>
      <c r="B12" s="18"/>
      <c r="C12" s="18"/>
      <c r="D12" s="18"/>
      <c r="E12" s="18"/>
      <c r="F12" s="18"/>
      <c r="G12" s="14">
        <v>2</v>
      </c>
    </row>
    <row r="13">
      <c r="A13" s="14">
        <v>3</v>
      </c>
      <c r="B13" s="18"/>
      <c r="C13" s="18"/>
      <c r="D13" s="18"/>
      <c r="E13" s="18"/>
      <c r="F13" s="18"/>
      <c r="G13" s="14">
        <v>3</v>
      </c>
    </row>
    <row r="15">
      <c r="A15" s="17" t="s">
        <v>37</v>
      </c>
      <c r="B15" s="14"/>
      <c r="C15" s="14"/>
      <c r="D15" s="14" t="s">
        <v>38</v>
      </c>
      <c r="E15" s="14"/>
      <c r="F15" s="14"/>
      <c r="G15" s="16" t="s">
        <v>39</v>
      </c>
    </row>
    <row r="16">
      <c r="A16" s="14" t="str">
        <f>data!$D$5&amp;" "&amp;data!$B$5</f>
      </c>
      <c r="B16" s="14" t="str">
        <f>IF(UPPER(D17)="X",0,IF((LEN(SUBSTITUTE(SUBSTITUTE(SUBSTITUTE(B17," ",""),"0",""),"-",""))+LEN(SUBSTITUTE(SUBSTITUTE(SUBSTITUTE(C17," ",""),"0",""),"-","")))&gt;(LEN(SUBSTITUTE(SUBSTITUTE(SUBSTITUTE(E17," ",""),"0",""),"-",""))+LEN(SUBSTITUTE(SUBSTITUTE(SUBSTITUTE(F17," ",""),"0",""),"-",""))),1,0))+IF(UPPER(D18)="X",0,IF((LEN(SUBSTITUTE(SUBSTITUTE(SUBSTITUTE(B18," ",""),"0",""),"-",""))+LEN(SUBSTITUTE(SUBSTITUTE(SUBSTITUTE(C18," ",""),"0",""),"-","")))&gt;(LEN(SUBSTITUTE(SUBSTITUTE(SUBSTITUTE(E18," ",""),"0",""),"-",""))+LEN(SUBSTITUTE(SUBSTITUTE(SUBSTITUTE(F18," ",""),"0",""),"-",""))),1,0))+IF(UPPER(D19)="X",0,IF((LEN(SUBSTITUTE(SUBSTITUTE(SUBSTITUTE(B19," ",""),"0",""),"-",""))+LEN(SUBSTITUTE(SUBSTITUTE(SUBSTITUTE(C19," ",""),"0",""),"-","")))&gt;(LEN(SUBSTITUTE(SUBSTITUTE(SUBSTITUTE(E19," ",""),"0",""),"-",""))+LEN(SUBSTITUTE(SUBSTITUTE(SUBSTITUTE(F19," ",""),"0",""),"-",""))),1,0))</f>
      </c>
      <c r="C16" s="14" t="str">
        <f>LEN(SUBSTITUTE(SUBSTITUTE(SUBSTITUTE(B17," ",""),"0",""),"-",""))+LEN(SUBSTITUTE(SUBSTITUTE(SUBSTITUTE(C17," ",""),"0",""),"-",""))+LEN(SUBSTITUTE(SUBSTITUTE(SUBSTITUTE(B18," ",""),"0",""),"-",""))+LEN(SUBSTITUTE(SUBSTITUTE(SUBSTITUTE(C18," ",""),"0",""),"-",""))+LEN(SUBSTITUTE(SUBSTITUTE(SUBSTITUTE(B19," ",""),"0",""),"-",""))+LEN(SUBSTITUTE(SUBSTITUTE(SUBSTITUTE(C19," ",""),"0",""),"-",""))</f>
      </c>
      <c r="D16" s="18"/>
      <c r="E16" s="14" t="str">
        <f>LEN(SUBSTITUTE(SUBSTITUTE(SUBSTITUTE(E17," ",""),"0",""),"-",""))+LEN(SUBSTITUTE(SUBSTITUTE(SUBSTITUTE(F17," ",""),"0",""),"-",""))+LEN(SUBSTITUTE(SUBSTITUTE(SUBSTITUTE(E18," ",""),"0",""),"-",""))+LEN(SUBSTITUTE(SUBSTITUTE(SUBSTITUTE(F18," ",""),"0",""),"-",""))+LEN(SUBSTITUTE(SUBSTITUTE(SUBSTITUTE(E19," ",""),"0",""),"-",""))+LEN(SUBSTITUTE(SUBSTITUTE(SUBSTITUTE(F19," ",""),"0",""),"-",""))</f>
      </c>
      <c r="F16" s="14" t="str">
        <f>IF(UPPER(D17)="X",0,IF((LEN(SUBSTITUTE(SUBSTITUTE(SUBSTITUTE(E17," ",""),"0",""),"-",""))+LEN(SUBSTITUTE(SUBSTITUTE(SUBSTITUTE(F17," ",""),"0",""),"-","")))&gt;(LEN(SUBSTITUTE(SUBSTITUTE(SUBSTITUTE(B17," ",""),"0",""),"-",""))+LEN(SUBSTITUTE(SUBSTITUTE(SUBSTITUTE(C17," ",""),"0",""),"-",""))),1,0))+IF(UPPER(D18)="X",0,IF((LEN(SUBSTITUTE(SUBSTITUTE(SUBSTITUTE(E18," ",""),"0",""),"-",""))+LEN(SUBSTITUTE(SUBSTITUTE(SUBSTITUTE(F18," ",""),"0",""),"-","")))&gt;(LEN(SUBSTITUTE(SUBSTITUTE(SUBSTITUTE(B18," ",""),"0",""),"-",""))+LEN(SUBSTITUTE(SUBSTITUTE(SUBSTITUTE(C18," ",""),"0",""),"-",""))),1,0))+IF(UPPER(D19)="X",0,IF((LEN(SUBSTITUTE(SUBSTITUTE(SUBSTITUTE(E19," ",""),"0",""),"-",""))+LEN(SUBSTITUTE(SUBSTITUTE(SUBSTITUTE(F19," ",""),"0",""),"-","")))&gt;(LEN(SUBSTITUTE(SUBSTITUTE(SUBSTITUTE(B19," ",""),"0",""),"-",""))+LEN(SUBSTITUTE(SUBSTITUTE(SUBSTITUTE(C19," ",""),"0",""),"-",""))),1,0))</f>
      </c>
      <c r="G16" s="14" t="str">
        <f>data!$D$4&amp;" "&amp;data!$B$4</f>
      </c>
    </row>
    <row r="17">
      <c r="A17" s="14">
        <v>1</v>
      </c>
      <c r="B17" s="18"/>
      <c r="C17" s="18"/>
      <c r="D17" s="18"/>
      <c r="E17" s="18"/>
      <c r="F17" s="18"/>
      <c r="G17" s="14">
        <v>1</v>
      </c>
    </row>
    <row r="18">
      <c r="A18" s="14">
        <v>2</v>
      </c>
      <c r="B18" s="18"/>
      <c r="C18" s="18"/>
      <c r="D18" s="18"/>
      <c r="E18" s="18"/>
      <c r="F18" s="18"/>
      <c r="G18" s="14">
        <v>2</v>
      </c>
    </row>
    <row r="19">
      <c r="A19" s="14">
        <v>3</v>
      </c>
      <c r="B19" s="18"/>
      <c r="C19" s="18"/>
      <c r="D19" s="18"/>
      <c r="E19" s="18"/>
      <c r="F19" s="18"/>
      <c r="G19" s="14">
        <v>3</v>
      </c>
    </row>
    <row r="22">
      <c r="A22" s="13" t="s">
        <v>40</v>
      </c>
      <c r="B22" s="13" t="s">
        <v>41</v>
      </c>
      <c r="C22" s="13" t="s">
        <v>42</v>
      </c>
      <c r="D22" s="13" t="s">
        <v>43</v>
      </c>
      <c r="E22" s="13"/>
      <c r="F22" s="13"/>
      <c r="G22" s="13" t="s">
        <v>44</v>
      </c>
    </row>
    <row r="23">
      <c r="A23" s="14" t="str">
        <f>data!$D$3&amp;" "&amp;data!$B$3</f>
      </c>
      <c r="B23" s="14" t="str">
        <f>IF(OR(COUNTA(B5:C7,E5:F7)&gt;0,D5="X",D5="x",D6="X",D6="x",D7="X",D7="x",OR(D4="X",D4="x")),IF(OR(OR(D4="X",D4="x"),AND(B4=F4,C4=E4)),0,IF(OR(F4&gt;B4,AND(F4=B4,E4&gt;C4)),1,0)),0)+IF(OR(COUNTA(B11:C13,E11:F13)&gt;0,D11="X",D11="x",D12="X",D12="x",D13="X",D13="x",OR(D10="X",D10="x")),IF(OR(OR(D10="X",D10="x"),AND(B10=F10,C10=E10)),0,IF(OR(F10&gt;B10,AND(F10=B10,E10&gt;C10)),1,0)),0)</f>
      </c>
      <c r="C23" s="14" t="str">
        <f>IF(OR(COUNTA(B5:C7,E5:F7)&gt;0,D5="X",D5="x",D6="X",D6="x",D7="X",D7="x",OR(D4="X",D4="x")),IF(OR(OR(D4="X",D4="x"),AND(B4=F4,C4=E4)),0,IF(OR(F4&lt;B4,AND(F4=B4,E4&lt;C4)),1,0)),0)+IF(OR(COUNTA(B11:C13,E11:F13)&gt;0,D11="X",D11="x",D12="X",D12="x",D13="X",D13="x",OR(D10="X",D10="x")),IF(OR(OR(D10="X",D10="x"),AND(B10=F10,C10=E10)),0,IF(OR(F10&lt;B10,AND(F10=B10,E10&lt;C10)),1,0)),0)</f>
      </c>
      <c r="D23" s="14" t="str">
        <f>IF(OR(COUNTA(B5:C7,E5:F7)&gt;0,D5="X",D5="x",D6="X",D6="x",D7="X",D7="x",OR(D4="X",D4="x")),IF(OR(OR(D4="X",D4="x"),AND(B4=F4,C4=E4)),1,0),0)+IF(OR(COUNTA(B11:C13,E11:F13)&gt;0,D11="X",D11="x",D12="X",D12="x",D13="X",D13="x",OR(D10="X",D10="x")),IF(OR(OR(D10="X",D10="x"),AND(B10=F10,C10=E10)),1,0),0)</f>
      </c>
      <c r="G23" s="18" t="str">
        <f>RANK(U23,$U$23:$U$25)+COUNTIF($U$22:U22,U23)</f>
      </c>
      <c r="U23" t="str">
        <f>(B23*1000000000)-(C23*10000000)+(D23*100000)+(B28*1000)-(C28*100)+(D28*10)+(E28*1)-(F28*0.01)</f>
      </c>
    </row>
    <row r="24">
      <c r="A24" s="14" t="str">
        <f>data!$D$4&amp;" "&amp;data!$B$4</f>
      </c>
      <c r="B24" s="14" t="str">
        <f>IF(OR(COUNTA(B5:C7,E5:F7)&gt;0,D5="X",D5="x",D6="X",D6="x",D7="X",D7="x",OR(D4="X",D4="x")),IF(OR(OR(D4="X",D4="x"),AND(B4=F4,C4=E4)),0,IF(OR(B4&gt;F4,AND(B4=F4,C4&gt;E4)),1,0)),0)+IF(OR(COUNTA(B17:C19,E17:F19)&gt;0,D17="X",D17="x",D18="X",D18="x",D19="X",D19="x",OR(D16="X",D16="x")),IF(OR(OR(D16="X",D16="x"),AND(B16=F16,C16=E16)),0,IF(OR(F16&gt;B16,AND(F16=B16,E16&gt;C16)),1,0)),0)</f>
      </c>
      <c r="C24" s="14" t="str">
        <f>IF(OR(COUNTA(B5:C7,E5:F7)&gt;0,D5="X",D5="x",D6="X",D6="x",D7="X",D7="x",OR(D4="X",D4="x")),IF(OR(OR(D4="X",D4="x"),AND(B4=F4,C4=E4)),0,IF(OR(B4&lt;F4,AND(B4=F4,C4&lt;E4)),1,0)),0)+IF(OR(COUNTA(B17:C19,E17:F19)&gt;0,D17="X",D17="x",D18="X",D18="x",D19="X",D19="x",OR(D16="X",D16="x")),IF(OR(OR(D16="X",D16="x"),AND(B16=F16,C16=E16)),0,IF(OR(F16&lt;B16,AND(F16=B16,E16&lt;C16)),1,0)),0)</f>
      </c>
      <c r="D24" s="14" t="str">
        <f>IF(OR(COUNTA(B5:C7,E5:F7)&gt;0,D5="X",D5="x",D6="X",D6="x",D7="X",D7="x",OR(D4="X",D4="x")),IF(OR(OR(D4="X",D4="x"),AND(B4=F4,C4=E4)),1,0),0)+IF(OR(COUNTA(B17:C19,E17:F19)&gt;0,D17="X",D17="x",D18="X",D18="x",D19="X",D19="x",OR(D16="X",D16="x")),IF(OR(OR(D16="X",D16="x"),AND(B16=F16,C16=E16)),1,0),0)</f>
      </c>
      <c r="G24" s="18" t="str">
        <f>RANK(U24,$U$23:$U$25)+COUNTIF($U$22:U23,U24)</f>
      </c>
      <c r="U24" t="str">
        <f>(B24*1000000000)-(C24*10000000)+(D24*100000)+(B29*1000)-(C29*100)+(D29*10)+(E29*1)-(F29*0.01)</f>
      </c>
    </row>
    <row r="25">
      <c r="A25" s="14" t="str">
        <f>data!$D$5&amp;" "&amp;data!$B$5</f>
      </c>
      <c r="B25" s="14" t="str">
        <f>IF(OR(COUNTA(B11:C13,E11:F13)&gt;0,D11="X",D11="x",D12="X",D12="x",D13="X",D13="x",OR(D10="X",D10="x")),IF(OR(OR(D10="X",D10="x"),AND(B10=F10,C10=E10)),0,IF(OR(B10&gt;F10,AND(B10=F10,C10&gt;E10)),1,0)),0)+IF(OR(COUNTA(B17:C19,E17:F19)&gt;0,D17="X",D17="x",D18="X",D18="x",D19="X",D19="x",OR(D16="X",D16="x")),IF(OR(OR(D16="X",D16="x"),AND(B16=F16,C16=E16)),0,IF(OR(B16&gt;F16,AND(B16=F16,C16&gt;E16)),1,0)),0)</f>
      </c>
      <c r="C25" s="14" t="str">
        <f>IF(OR(COUNTA(B11:C13,E11:F13)&gt;0,D11="X",D11="x",D12="X",D12="x",D13="X",D13="x",OR(D10="X",D10="x")),IF(OR(OR(D10="X",D10="x"),AND(B10=F10,C10=E10)),0,IF(OR(B10&lt;F10,AND(B10=F10,C10&lt;E10)),1,0)),0)+IF(OR(COUNTA(B17:C19,E17:F19)&gt;0,D17="X",D17="x",D18="X",D18="x",D19="X",D19="x",OR(D16="X",D16="x")),IF(OR(OR(D16="X",D16="x"),AND(B16=F16,C16=E16)),0,IF(OR(B16&lt;F16,AND(B16=F16,C16&lt;E16)),1,0)),0)</f>
      </c>
      <c r="D25" s="14" t="str">
        <f>IF(OR(COUNTA(B11:C13,E11:F13)&gt;0,D11="X",D11="x",D12="X",D12="x",D13="X",D13="x",OR(D10="X",D10="x")),IF(OR(OR(D10="X",D10="x"),AND(B10=F10,C10=E10)),1,0),0)+IF(OR(COUNTA(B17:C19,E17:F19)&gt;0,D17="X",D17="x",D18="X",D18="x",D19="X",D19="x",OR(D16="X",D16="x")),IF(OR(OR(D16="X",D16="x"),AND(B16=F16,C16=E16)),1,0),0)</f>
      </c>
      <c r="G25" s="18" t="str">
        <f>RANK(U25,$U$23:$U$25)+COUNTIF($U$22:U24,U25)</f>
      </c>
      <c r="U25" t="str">
        <f>(B25*1000000000)-(C25*10000000)+(D25*100000)+(B30*1000)-(C30*100)+(D30*10)+(E30*1)-(F30*0.01)</f>
      </c>
    </row>
    <row r="27">
      <c r="A27" s="13"/>
      <c r="B27" s="13" t="s">
        <v>45</v>
      </c>
      <c r="C27" s="13" t="s">
        <v>46</v>
      </c>
      <c r="D27" s="13" t="s">
        <v>47</v>
      </c>
      <c r="E27" s="13" t="s">
        <v>48</v>
      </c>
      <c r="F27" s="13" t="s">
        <v>49</v>
      </c>
    </row>
    <row r="28">
      <c r="A28" s="14" t="str">
        <f>data!$D$3&amp;" "&amp;data!$B$3</f>
      </c>
      <c r="B28" s="14" t="str">
        <f>IF(OR(COUNTA(B5:C7,E5:F7)&gt;0,OR(D4="X",D4="x"),UPPER(D5)="X",UPPER(D6)="X",UPPER(D7)="X"),F4,0)+IF(OR(COUNTA(B11:C13,E11:F13)&gt;0,OR(D10="X",D10="x"),UPPER(D11)="X",UPPER(D12)="X",UPPER(D13)="X"),F10,0)</f>
      </c>
      <c r="C28" s="14" t="str">
        <f>IF(OR(COUNTA(B5:C7,E5:F7)&gt;0,OR(D4="X",D4="x"),UPPER(D5)="X",UPPER(D6)="X",UPPER(D7)="X"),B4,0)+IF(OR(COUNTA(B11:C13,E11:F13)&gt;0,OR(D10="X",D10="x"),UPPER(D11)="X",UPPER(D12)="X",UPPER(D13)="X"),B10,0)</f>
      </c>
      <c r="D28" s="14" t="str">
        <f>IF(OR(COUNTA(B5:C7,E5:F7)&gt;0,OR(D4="X",D4="x"),UPPER(D5)="X",UPPER(D6)="X",UPPER(D7)="X"),(IF(OR(D5="X",D5="x",AND(COUNTA(B5,C5,E5,F5)&gt;0,(LEN(SUBSTITUTE(SUBSTITUTE(SUBSTITUTE(B5,"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",""),"0",""),"-",""))))),1,0)),0)+IF(OR(COUNTA(B11:C13,E11:F13)&gt;0,OR(D10="X",D10="x"),UPPER(D11)="X",UPPER(D12)="X",UPPER(D13)="X"),(IF(OR(D11="X",D11="x",AND(COUNTA(B11,C11,E11,F11)&gt;0,(LEN(SUBSTITUTE(SUBSTITUTE(SUBSTITUTE(B11," ",""),"0",""),"-",""))+LEN(SUBSTITUTE(SUBSTITUTE(SUBSTITUTE(C11," ",""),"0",""),"-","")))=(LEN(SUBSTITUTE(SUBSTITUTE(SUBSTITUTE(E11," ",""),"0",""),"-",""))+LEN(SUBSTITUTE(SUBSTITUTE(SUBSTITUTE(F11," ",""),"0",""),"-",""))))),1,0)+IF(OR(D12="X",D12="x",AND(COUNTA(B12,C12,E12,F12)&gt;0,(LEN(SUBSTITUTE(SUBSTITUTE(SUBSTITUTE(B12," ",""),"0",""),"-",""))+LEN(SUBSTITUTE(SUBSTITUTE(SUBSTITUTE(C12," ",""),"0",""),"-","")))=(LEN(SUBSTITUTE(SUBSTITUTE(SUBSTITUTE(E12," ",""),"0",""),"-",""))+LEN(SUBSTITUTE(SUBSTITUTE(SUBSTITUTE(F12," ",""),"0",""),"-",""))))),1,0)+IF(OR(D13="X",D13="x",AND(COUNTA(B13,C13,E13,F13)&gt;0,(LEN(SUBSTITUTE(SUBSTITUTE(SUBSTITUTE(B13," ",""),"0",""),"-",""))+LEN(SUBSTITUTE(SUBSTITUTE(SUBSTITUTE(C13," ",""),"0",""),"-","")))=(LEN(SUBSTITUTE(SUBSTITUTE(SUBSTITUTE(E13," ",""),"0",""),"-",""))+LEN(SUBSTITUTE(SUBSTITUTE(SUBSTITUTE(F13," ",""),"0",""),"-",""))))),1,0)),0)</f>
      </c>
      <c r="E28" s="14" t="str">
        <f>E4+E10</f>
      </c>
      <c r="F28" s="14" t="str">
        <f>C4+C10</f>
      </c>
    </row>
    <row r="29">
      <c r="A29" s="14" t="str">
        <f>data!$D$4&amp;" "&amp;data!$B$4</f>
      </c>
      <c r="B29" s="14" t="str">
        <f>IF(OR(COUNTA(B5:C7,E5:F7)&gt;0,OR(D4="X",D4="x"),UPPER(D5)="X",UPPER(D6)="X",UPPER(D7)="X"),B4,0)+IF(OR(COUNTA(B17:C19,E17:F19)&gt;0,OR(D16="X",D16="x"),UPPER(D17)="X",UPPER(D18)="X",UPPER(D19)="X"),F16,0)</f>
      </c>
      <c r="C29" s="14" t="str">
        <f>IF(OR(COUNTA(B5:C7,E5:F7)&gt;0,OR(D4="X",D4="x"),UPPER(D5)="X",UPPER(D6)="X",UPPER(D7)="X"),F4,0)+IF(OR(COUNTA(B17:C19,E17:F19)&gt;0,OR(D16="X",D16="x"),UPPER(D17)="X",UPPER(D18)="X",UPPER(D19)="X"),B16,0)</f>
      </c>
      <c r="D29" s="14" t="str">
        <f>IF(OR(COUNTA(B5:C7,E5:F7)&gt;0,OR(D4="X",D4="x"),UPPER(D5)="X",UPPER(D6)="X",UPPER(D7)="X"),(IF(OR(D5="X",D5="x",AND(COUNTA(B5,C5,E5,F5)&gt;0,(LEN(SUBSTITUTE(SUBSTITUTE(SUBSTITUTE(B5," ",""),"0",""),"-",""))+LEN(SUBSTITUTE(SUBSTITUTE(SUBSTITUTE(C5," ",""),"0",""),"-","")))=(LEN(SUBSTITUTE(SUBSTITUTE(SUBSTITUTE(E5," ",""),"0",""),"-",""))+LEN(SUBSTITUTE(SUBSTITUTE(SUBSTITUTE(F5," ",""),"0",""),"-",""))))),1,0)+IF(OR(D6="X",D6="x",AND(COUNTA(B6,C6,E6,F6)&gt;0,(LEN(SUBSTITUTE(SUBSTITUTE(SUBSTITUTE(B6," ",""),"0",""),"-",""))+LEN(SUBSTITUTE(SUBSTITUTE(SUBSTITUTE(C6," ",""),"0",""),"-","")))=(LEN(SUBSTITUTE(SUBSTITUTE(SUBSTITUTE(E6," ",""),"0",""),"-",""))+LEN(SUBSTITUTE(SUBSTITUTE(SUBSTITUTE(F6," ",""),"0",""),"-",""))))),1,0)+IF(OR(D7="X",D7="x",AND(COUNTA(B7,C7,E7,F7)&gt;0,(LEN(SUBSTITUTE(SUBSTITUTE(SUBSTITUTE(B7," ",""),"0",""),"-",""))+LEN(SUBSTITUTE(SUBSTITUTE(SUBSTITUTE(C7," ",""),"0",""),"-","")))=(LEN(SUBSTITUTE(SUBSTITUTE(SUBSTITUTE(E7," ",""),"0",""),"-",""))+LEN(SUBSTITUTE(SUBSTITUTE(SUBSTITUTE(F7," ",""),"0",""),"-",""))))),1,0)),0)+IF(OR(COUNTA(B17:C19,E17:F19)&gt;0,OR(D16="X",D16="x"),UPPER(D17)="X",UPPER(D18)="X",UPPER(D19)="X"),(IF(OR(D17="X",D17="x",AND(COUNTA(B17,C17,E17,F17)&gt;0,(LEN(SUBSTITUTE(SUBSTITUTE(SUBSTITUTE(B17," ",""),"0",""),"-",""))+LEN(SUBSTITUTE(SUBSTITUTE(SUBSTITUTE(C17," ",""),"0",""),"-","")))=(LEN(SUBSTITUTE(SUBSTITUTE(SUBSTITUTE(E17," ",""),"0",""),"-",""))+LEN(SUBSTITUTE(SUBSTITUTE(SUBSTITUTE(F17," ",""),"0",""),"-",""))))),1,0)+IF(OR(D18="X",D18="x",AND(COUNTA(B18,C18,E18,F18)&gt;0,(LEN(SUBSTITUTE(SUBSTITUTE(SUBSTITUTE(B18," ",""),"0",""),"-",""))+LEN(SUBSTITUTE(SUBSTITUTE(SUBSTITUTE(C18," ",""),"0",""),"-","")))=(LEN(SUBSTITUTE(SUBSTITUTE(SUBSTITUTE(E18," ",""),"0",""),"-",""))+LEN(SUBSTITUTE(SUBSTITUTE(SUBSTITUTE(F18," ",""),"0",""),"-",""))))),1,0)+IF(OR(D19="X",D19="x",AND(COUNTA(B19,C19,E19,F19)&gt;0,(LEN(SUBSTITUTE(SUBSTITUTE(SUBSTITUTE(B19," ",""),"0",""),"-",""))+LEN(SUBSTITUTE(SUBSTITUTE(SUBSTITUTE(C19," ",""),"0",""),"-","")))=(LEN(SUBSTITUTE(SUBSTITUTE(SUBSTITUTE(E19," ",""),"0",""),"-",""))+LEN(SUBSTITUTE(SUBSTITUTE(SUBSTITUTE(F19," ",""),"0",""),"-",""))))),1,0)),0)</f>
      </c>
      <c r="E29" s="14" t="str">
        <f>C4+E16</f>
      </c>
      <c r="F29" s="14" t="str">
        <f>E4+C16</f>
      </c>
    </row>
    <row r="30">
      <c r="A30" s="14" t="str">
        <f>data!$D$5&amp;" "&amp;data!$B$5</f>
      </c>
      <c r="B30" s="14" t="str">
        <f>IF(OR(COUNTA(B11:C13,E11:F13)&gt;0,OR(D10="X",D10="x"),UPPER(D11)="X",UPPER(D12)="X",UPPER(D13)="X"),B10,0)+IF(OR(COUNTA(B17:C19,E17:F19)&gt;0,OR(D16="X",D16="x"),UPPER(D17)="X",UPPER(D18)="X",UPPER(D19)="X"),B16,0)</f>
      </c>
      <c r="C30" s="14" t="str">
        <f>IF(OR(COUNTA(B11:C13,E11:F13)&gt;0,OR(D10="X",D10="x"),UPPER(D11)="X",UPPER(D12)="X",UPPER(D13)="X"),F10,0)+IF(OR(COUNTA(B17:C19,E17:F19)&gt;0,OR(D16="X",D16="x"),UPPER(D17)="X",UPPER(D18)="X",UPPER(D19)="X"),F16,0)</f>
      </c>
      <c r="D30" s="14" t="str">
        <f>IF(OR(COUNTA(B11:C13,E11:F13)&gt;0,OR(D10="X",D10="x"),UPPER(D11)="X",UPPER(D12)="X",UPPER(D13)="X"),(IF(OR(D11="X",D11="x",AND(COUNTA(B11,C11,E11,F11)&gt;0,(LEN(SUBSTITUTE(SUBSTITUTE(SUBSTITUTE(B11," ",""),"0",""),"-",""))+LEN(SUBSTITUTE(SUBSTITUTE(SUBSTITUTE(C11," ",""),"0",""),"-","")))=(LEN(SUBSTITUTE(SUBSTITUTE(SUBSTITUTE(E11," ",""),"0",""),"-",""))+LEN(SUBSTITUTE(SUBSTITUTE(SUBSTITUTE(F11," ",""),"0",""),"-",""))))),1,0)+IF(OR(D12="X",D12="x",AND(COUNTA(B12,C12,E12,F12)&gt;0,(LEN(SUBSTITUTE(SUBSTITUTE(SUBSTITUTE(B12," ",""),"0",""),"-",""))+LEN(SUBSTITUTE(SUBSTITUTE(SUBSTITUTE(C12," ",""),"0",""),"-","")))=(LEN(SUBSTITUTE(SUBSTITUTE(SUBSTITUTE(E12," ",""),"0",""),"-",""))+LEN(SUBSTITUTE(SUBSTITUTE(SUBSTITUTE(F12," ",""),"0",""),"-",""))))),1,0)+IF(OR(D13="X",D13="x",AND(COUNTA(B13,C13,E13,F13)&gt;0,(LEN(SUBSTITUTE(SUBSTITUTE(SUBSTITUTE(B13," ",""),"0",""),"-",""))+LEN(SUBSTITUTE(SUBSTITUTE(SUBSTITUTE(C13," ",""),"0",""),"-","")))=(LEN(SUBSTITUTE(SUBSTITUTE(SUBSTITUTE(E13," ",""),"0",""),"-",""))+LEN(SUBSTITUTE(SUBSTITUTE(SUBSTITUTE(F13," ",""),"0",""),"-",""))))),1,0)),0)+IF(OR(COUNTA(B17:C19,E17:F19)&gt;0,OR(D16="X",D16="x"),UPPER(D17)="X",UPPER(D18)="X",UPPER(D19)="X"),(IF(OR(D17="X",D17="x",AND(COUNTA(B17,C17,E17,F17)&gt;0,(LEN(SUBSTITUTE(SUBSTITUTE(SUBSTITUTE(B17," ",""),"0",""),"-",""))+LEN(SUBSTITUTE(SUBSTITUTE(SUBSTITUTE(C17," ",""),"0",""),"-","")))=(LEN(SUBSTITUTE(SUBSTITUTE(SUBSTITUTE(E17," ",""),"0",""),"-",""))+LEN(SUBSTITUTE(SUBSTITUTE(SUBSTITUTE(F17," ",""),"0",""),"-",""))))),1,0)+IF(OR(D18="X",D18="x",AND(COUNTA(B18,C18,E18,F18)&gt;0,(LEN(SUBSTITUTE(SUBSTITUTE(SUBSTITUTE(B18," ",""),"0",""),"-",""))+LEN(SUBSTITUTE(SUBSTITUTE(SUBSTITUTE(C18," ",""),"0",""),"-","")))=(LEN(SUBSTITUTE(SUBSTITUTE(SUBSTITUTE(E18," ",""),"0",""),"-",""))+LEN(SUBSTITUTE(SUBSTITUTE(SUBSTITUTE(F18," ",""),"0",""),"-",""))))),1,0)+IF(OR(D19="X",D19="x",AND(COUNTA(B19,C19,E19,F19)&gt;0,(LEN(SUBSTITUTE(SUBSTITUTE(SUBSTITUTE(B19," ",""),"0",""),"-",""))+LEN(SUBSTITUTE(SUBSTITUTE(SUBSTITUTE(C19," ",""),"0",""),"-","")))=(LEN(SUBSTITUTE(SUBSTITUTE(SUBSTITUTE(E19," ",""),"0",""),"-",""))+LEN(SUBSTITUTE(SUBSTITUTE(SUBSTITUTE(F19," ",""),"0",""),"-",""))))),1,0)),0)</f>
      </c>
      <c r="E30" s="14" t="str">
        <f>C10+C16</f>
      </c>
      <c r="F30" s="14" t="str">
        <f>E10+E16</f>
      </c>
    </row>
    <row r="33">
      <c r="F33" s="13"/>
      <c r="G33" s="13" t="s">
        <v>50</v>
      </c>
    </row>
    <row r="34">
      <c r="F34" t="s">
        <v>51</v>
      </c>
      <c r="G34" s="19" t="str">
        <f>IFERROR(INDEX($A$23:$A$30, MATCH(1, $G$23:$G$30, 0)), "-")</f>
      </c>
    </row>
    <row r="35">
      <c r="F35" t="s">
        <v>52</v>
      </c>
      <c r="G35" s="19" t="str">
        <f>IFERROR(INDEX($A$23:$A$30, MATCH(2, $G$23:$G$30, 0)), "-")</f>
      </c>
    </row>
    <row r="36">
      <c r="F36" t="s">
        <v>53</v>
      </c>
      <c r="G36" s="19" t="str">
        <f>IFERROR(INDEX($A$23:$A$30, MATCH(3, $G$23:$G$30, 0)), "-")</f>
      </c>
    </row>
    <row r="39">
      <c r="A39" s="13" t="str">
        <f>'data'!$A$8</f>
      </c>
      <c r="B39" s="13"/>
      <c r="C39" s="13"/>
      <c r="D39" s="13"/>
      <c r="E39" s="13"/>
      <c r="F39" s="13"/>
      <c r="G39" s="13"/>
    </row>
    <row r="40">
      <c r="A40" s="17" t="s">
        <v>37</v>
      </c>
      <c r="B40" s="14"/>
      <c r="C40" s="14"/>
      <c r="D40" s="14" t="s">
        <v>38</v>
      </c>
      <c r="E40" s="14"/>
      <c r="F40" s="14"/>
      <c r="G40" s="16" t="s">
        <v>39</v>
      </c>
    </row>
    <row r="41">
      <c r="A41" s="14" t="str">
        <f>data!$D$7&amp;" "&amp;data!$B$7</f>
      </c>
      <c r="B41" s="14" t="str">
        <f>IF(UPPER(D42)="X",0,IF((LEN(SUBSTITUTE(SUBSTITUTE(SUBSTITUTE(B42," ",""),"0",""),"-",""))+LEN(SUBSTITUTE(SUBSTITUTE(SUBSTITUTE(C42," ",""),"0",""),"-","")))&gt;(LEN(SUBSTITUTE(SUBSTITUTE(SUBSTITUTE(E42," ",""),"0",""),"-",""))+LEN(SUBSTITUTE(SUBSTITUTE(SUBSTITUTE(F42," ",""),"0",""),"-",""))),1,0))+IF(UPPER(D43)="X",0,IF((LEN(SUBSTITUTE(SUBSTITUTE(SUBSTITUTE(B43," ",""),"0",""),"-",""))+LEN(SUBSTITUTE(SUBSTITUTE(SUBSTITUTE(C43," ",""),"0",""),"-","")))&gt;(LEN(SUBSTITUTE(SUBSTITUTE(SUBSTITUTE(E43," ",""),"0",""),"-",""))+LEN(SUBSTITUTE(SUBSTITUTE(SUBSTITUTE(F43," ",""),"0",""),"-",""))),1,0))+IF(UPPER(D44)="X",0,IF((LEN(SUBSTITUTE(SUBSTITUTE(SUBSTITUTE(B44," ",""),"0",""),"-",""))+LEN(SUBSTITUTE(SUBSTITUTE(SUBSTITUTE(C44," ",""),"0",""),"-","")))&gt;(LEN(SUBSTITUTE(SUBSTITUTE(SUBSTITUTE(E44," ",""),"0",""),"-",""))+LEN(SUBSTITUTE(SUBSTITUTE(SUBSTITUTE(F44," ",""),"0",""),"-",""))),1,0))</f>
      </c>
      <c r="C41" s="14" t="str">
        <f>LEN(SUBSTITUTE(SUBSTITUTE(SUBSTITUTE(B42," ",""),"0",""),"-",""))+LEN(SUBSTITUTE(SUBSTITUTE(SUBSTITUTE(C42," ",""),"0",""),"-",""))+LEN(SUBSTITUTE(SUBSTITUTE(SUBSTITUTE(B43," ",""),"0",""),"-",""))+LEN(SUBSTITUTE(SUBSTITUTE(SUBSTITUTE(C43," ",""),"0",""),"-",""))+LEN(SUBSTITUTE(SUBSTITUTE(SUBSTITUTE(B44," ",""),"0",""),"-",""))+LEN(SUBSTITUTE(SUBSTITUTE(SUBSTITUTE(C44," ",""),"0",""),"-",""))</f>
      </c>
      <c r="D41" s="18"/>
      <c r="E41" s="14" t="str">
        <f>LEN(SUBSTITUTE(SUBSTITUTE(SUBSTITUTE(E42," ",""),"0",""),"-",""))+LEN(SUBSTITUTE(SUBSTITUTE(SUBSTITUTE(F42," ",""),"0",""),"-",""))+LEN(SUBSTITUTE(SUBSTITUTE(SUBSTITUTE(E43," ",""),"0",""),"-",""))+LEN(SUBSTITUTE(SUBSTITUTE(SUBSTITUTE(F43," ",""),"0",""),"-",""))+LEN(SUBSTITUTE(SUBSTITUTE(SUBSTITUTE(E44," ",""),"0",""),"-",""))+LEN(SUBSTITUTE(SUBSTITUTE(SUBSTITUTE(F44," ",""),"0",""),"-",""))</f>
      </c>
      <c r="F41" s="14" t="str">
        <f>IF(UPPER(D42)="X",0,IF((LEN(SUBSTITUTE(SUBSTITUTE(SUBSTITUTE(E42," ",""),"0",""),"-",""))+LEN(SUBSTITUTE(SUBSTITUTE(SUBSTITUTE(F42," ",""),"0",""),"-","")))&gt;(LEN(SUBSTITUTE(SUBSTITUTE(SUBSTITUTE(B42," ",""),"0",""),"-",""))+LEN(SUBSTITUTE(SUBSTITUTE(SUBSTITUTE(C42," ",""),"0",""),"-",""))),1,0))+IF(UPPER(D43)="X",0,IF((LEN(SUBSTITUTE(SUBSTITUTE(SUBSTITUTE(E43," ",""),"0",""),"-",""))+LEN(SUBSTITUTE(SUBSTITUTE(SUBSTITUTE(F43," ",""),"0",""),"-","")))&gt;(LEN(SUBSTITUTE(SUBSTITUTE(SUBSTITUTE(B43," ",""),"0",""),"-",""))+LEN(SUBSTITUTE(SUBSTITUTE(SUBSTITUTE(C43," ",""),"0",""),"-",""))),1,0))+IF(UPPER(D44)="X",0,IF((LEN(SUBSTITUTE(SUBSTITUTE(SUBSTITUTE(E44," ",""),"0",""),"-",""))+LEN(SUBSTITUTE(SUBSTITUTE(SUBSTITUTE(F44," ",""),"0",""),"-","")))&gt;(LEN(SUBSTITUTE(SUBSTITUTE(SUBSTITUTE(B44," ",""),"0",""),"-",""))+LEN(SUBSTITUTE(SUBSTITUTE(SUBSTITUTE(C44," ",""),"0",""),"-",""))),1,0))</f>
      </c>
      <c r="G41" s="14" t="str">
        <f>data!$D$6&amp;" "&amp;data!$B$6</f>
      </c>
    </row>
    <row r="42">
      <c r="A42" s="14">
        <v>1</v>
      </c>
      <c r="B42" s="18"/>
      <c r="C42" s="18"/>
      <c r="D42" s="18"/>
      <c r="E42" s="18"/>
      <c r="F42" s="18"/>
      <c r="G42" s="14">
        <v>1</v>
      </c>
    </row>
    <row r="43">
      <c r="A43" s="14">
        <v>2</v>
      </c>
      <c r="B43" s="18"/>
      <c r="C43" s="18"/>
      <c r="D43" s="18"/>
      <c r="E43" s="18"/>
      <c r="F43" s="18"/>
      <c r="G43" s="14">
        <v>2</v>
      </c>
    </row>
    <row r="44">
      <c r="A44" s="14">
        <v>3</v>
      </c>
      <c r="B44" s="18"/>
      <c r="C44" s="18"/>
      <c r="D44" s="18"/>
      <c r="E44" s="18"/>
      <c r="F44" s="18"/>
      <c r="G44" s="14">
        <v>3</v>
      </c>
    </row>
    <row r="46">
      <c r="A46" s="17" t="s">
        <v>37</v>
      </c>
      <c r="B46" s="14"/>
      <c r="C46" s="14"/>
      <c r="D46" s="14" t="s">
        <v>38</v>
      </c>
      <c r="E46" s="14"/>
      <c r="F46" s="14"/>
      <c r="G46" s="16" t="s">
        <v>39</v>
      </c>
    </row>
    <row r="47">
      <c r="A47" s="14" t="str">
        <f>data!$D$8&amp;" "&amp;data!$B$8</f>
      </c>
      <c r="B47" s="14" t="str">
        <f>IF(UPPER(D48)="X",0,IF((LEN(SUBSTITUTE(SUBSTITUTE(SUBSTITUTE(B48," ",""),"0",""),"-",""))+LEN(SUBSTITUTE(SUBSTITUTE(SUBSTITUTE(C48," ",""),"0",""),"-","")))&gt;(LEN(SUBSTITUTE(SUBSTITUTE(SUBSTITUTE(E48," ",""),"0",""),"-",""))+LEN(SUBSTITUTE(SUBSTITUTE(SUBSTITUTE(F48," ",""),"0",""),"-",""))),1,0))+IF(UPPER(D49)="X",0,IF((LEN(SUBSTITUTE(SUBSTITUTE(SUBSTITUTE(B49," ",""),"0",""),"-",""))+LEN(SUBSTITUTE(SUBSTITUTE(SUBSTITUTE(C49," ",""),"0",""),"-","")))&gt;(LEN(SUBSTITUTE(SUBSTITUTE(SUBSTITUTE(E49," ",""),"0",""),"-",""))+LEN(SUBSTITUTE(SUBSTITUTE(SUBSTITUTE(F49," ",""),"0",""),"-",""))),1,0))+IF(UPPER(D50)="X",0,IF((LEN(SUBSTITUTE(SUBSTITUTE(SUBSTITUTE(B50," ",""),"0",""),"-",""))+LEN(SUBSTITUTE(SUBSTITUTE(SUBSTITUTE(C50," ",""),"0",""),"-","")))&gt;(LEN(SUBSTITUTE(SUBSTITUTE(SUBSTITUTE(E50," ",""),"0",""),"-",""))+LEN(SUBSTITUTE(SUBSTITUTE(SUBSTITUTE(F50," ",""),"0",""),"-",""))),1,0))</f>
      </c>
      <c r="C47" s="14" t="str">
        <f>LEN(SUBSTITUTE(SUBSTITUTE(SUBSTITUTE(B48," ",""),"0",""),"-",""))+LEN(SUBSTITUTE(SUBSTITUTE(SUBSTITUTE(C48," ",""),"0",""),"-",""))+LEN(SUBSTITUTE(SUBSTITUTE(SUBSTITUTE(B49," ",""),"0",""),"-",""))+LEN(SUBSTITUTE(SUBSTITUTE(SUBSTITUTE(C49," ",""),"0",""),"-",""))+LEN(SUBSTITUTE(SUBSTITUTE(SUBSTITUTE(B50," ",""),"0",""),"-",""))+LEN(SUBSTITUTE(SUBSTITUTE(SUBSTITUTE(C50," ",""),"0",""),"-",""))</f>
      </c>
      <c r="D47" s="18"/>
      <c r="E47" s="14" t="str">
        <f>LEN(SUBSTITUTE(SUBSTITUTE(SUBSTITUTE(E48," ",""),"0",""),"-",""))+LEN(SUBSTITUTE(SUBSTITUTE(SUBSTITUTE(F48," ",""),"0",""),"-",""))+LEN(SUBSTITUTE(SUBSTITUTE(SUBSTITUTE(E49," ",""),"0",""),"-",""))+LEN(SUBSTITUTE(SUBSTITUTE(SUBSTITUTE(F49," ",""),"0",""),"-",""))+LEN(SUBSTITUTE(SUBSTITUTE(SUBSTITUTE(E50," ",""),"0",""),"-",""))+LEN(SUBSTITUTE(SUBSTITUTE(SUBSTITUTE(F50," ",""),"0",""),"-",""))</f>
      </c>
      <c r="F47" s="14" t="str">
        <f>IF(UPPER(D48)="X",0,IF((LEN(SUBSTITUTE(SUBSTITUTE(SUBSTITUTE(E48," ",""),"0",""),"-",""))+LEN(SUBSTITUTE(SUBSTITUTE(SUBSTITUTE(F48," ",""),"0",""),"-","")))&gt;(LEN(SUBSTITUTE(SUBSTITUTE(SUBSTITUTE(B48," ",""),"0",""),"-",""))+LEN(SUBSTITUTE(SUBSTITUTE(SUBSTITUTE(C48," ",""),"0",""),"-",""))),1,0))+IF(UPPER(D49)="X",0,IF((LEN(SUBSTITUTE(SUBSTITUTE(SUBSTITUTE(E49," ",""),"0",""),"-",""))+LEN(SUBSTITUTE(SUBSTITUTE(SUBSTITUTE(F49," ",""),"0",""),"-","")))&gt;(LEN(SUBSTITUTE(SUBSTITUTE(SUBSTITUTE(B49," ",""),"0",""),"-",""))+LEN(SUBSTITUTE(SUBSTITUTE(SUBSTITUTE(C49," ",""),"0",""),"-",""))),1,0))+IF(UPPER(D50)="X",0,IF((LEN(SUBSTITUTE(SUBSTITUTE(SUBSTITUTE(E50," ",""),"0",""),"-",""))+LEN(SUBSTITUTE(SUBSTITUTE(SUBSTITUTE(F50," ",""),"0",""),"-","")))&gt;(LEN(SUBSTITUTE(SUBSTITUTE(SUBSTITUTE(B50," ",""),"0",""),"-",""))+LEN(SUBSTITUTE(SUBSTITUTE(SUBSTITUTE(C50," ",""),"0",""),"-",""))),1,0))</f>
      </c>
      <c r="G47" s="14" t="str">
        <f>data!$D$6&amp;" "&amp;data!$B$6</f>
      </c>
    </row>
    <row r="48">
      <c r="A48" s="14">
        <v>1</v>
      </c>
      <c r="B48" s="18"/>
      <c r="C48" s="18"/>
      <c r="D48" s="18"/>
      <c r="E48" s="18"/>
      <c r="F48" s="18"/>
      <c r="G48" s="14">
        <v>1</v>
      </c>
    </row>
    <row r="49">
      <c r="A49" s="14">
        <v>2</v>
      </c>
      <c r="B49" s="18"/>
      <c r="C49" s="18"/>
      <c r="D49" s="18"/>
      <c r="E49" s="18"/>
      <c r="F49" s="18"/>
      <c r="G49" s="14">
        <v>2</v>
      </c>
    </row>
    <row r="50">
      <c r="A50" s="14">
        <v>3</v>
      </c>
      <c r="B50" s="18"/>
      <c r="C50" s="18"/>
      <c r="D50" s="18"/>
      <c r="E50" s="18"/>
      <c r="F50" s="18"/>
      <c r="G50" s="14">
        <v>3</v>
      </c>
    </row>
    <row r="52">
      <c r="A52" s="17" t="s">
        <v>37</v>
      </c>
      <c r="B52" s="14"/>
      <c r="C52" s="14"/>
      <c r="D52" s="14" t="s">
        <v>38</v>
      </c>
      <c r="E52" s="14"/>
      <c r="F52" s="14"/>
      <c r="G52" s="16" t="s">
        <v>39</v>
      </c>
    </row>
    <row r="53">
      <c r="A53" s="14" t="str">
        <f>data!$D$8&amp;" "&amp;data!$B$8</f>
      </c>
      <c r="B53" s="14" t="str">
        <f>IF(UPPER(D54)="X",0,IF((LEN(SUBSTITUTE(SUBSTITUTE(SUBSTITUTE(B54," ",""),"0",""),"-",""))+LEN(SUBSTITUTE(SUBSTITUTE(SUBSTITUTE(C54," ",""),"0",""),"-","")))&gt;(LEN(SUBSTITUTE(SUBSTITUTE(SUBSTITUTE(E54," ",""),"0",""),"-",""))+LEN(SUBSTITUTE(SUBSTITUTE(SUBSTITUTE(F54," ",""),"0",""),"-",""))),1,0))+IF(UPPER(D55)="X",0,IF((LEN(SUBSTITUTE(SUBSTITUTE(SUBSTITUTE(B55," ",""),"0",""),"-",""))+LEN(SUBSTITUTE(SUBSTITUTE(SUBSTITUTE(C55," ",""),"0",""),"-","")))&gt;(LEN(SUBSTITUTE(SUBSTITUTE(SUBSTITUTE(E55," ",""),"0",""),"-",""))+LEN(SUBSTITUTE(SUBSTITUTE(SUBSTITUTE(F55," ",""),"0",""),"-",""))),1,0))+IF(UPPER(D56)="X",0,IF((LEN(SUBSTITUTE(SUBSTITUTE(SUBSTITUTE(B56," ",""),"0",""),"-",""))+LEN(SUBSTITUTE(SUBSTITUTE(SUBSTITUTE(C56," ",""),"0",""),"-","")))&gt;(LEN(SUBSTITUTE(SUBSTITUTE(SUBSTITUTE(E56," ",""),"0",""),"-",""))+LEN(SUBSTITUTE(SUBSTITUTE(SUBSTITUTE(F56," ",""),"0",""),"-",""))),1,0))</f>
      </c>
      <c r="C53" s="14" t="str">
        <f>LEN(SUBSTITUTE(SUBSTITUTE(SUBSTITUTE(B54," ",""),"0",""),"-",""))+LEN(SUBSTITUTE(SUBSTITUTE(SUBSTITUTE(C54," ",""),"0",""),"-",""))+LEN(SUBSTITUTE(SUBSTITUTE(SUBSTITUTE(B55," ",""),"0",""),"-",""))+LEN(SUBSTITUTE(SUBSTITUTE(SUBSTITUTE(C55," ",""),"0",""),"-",""))+LEN(SUBSTITUTE(SUBSTITUTE(SUBSTITUTE(B56," ",""),"0",""),"-",""))+LEN(SUBSTITUTE(SUBSTITUTE(SUBSTITUTE(C56," ",""),"0",""),"-",""))</f>
      </c>
      <c r="D53" s="18"/>
      <c r="E53" s="14" t="str">
        <f>LEN(SUBSTITUTE(SUBSTITUTE(SUBSTITUTE(E54," ",""),"0",""),"-",""))+LEN(SUBSTITUTE(SUBSTITUTE(SUBSTITUTE(F54," ",""),"0",""),"-",""))+LEN(SUBSTITUTE(SUBSTITUTE(SUBSTITUTE(E55," ",""),"0",""),"-",""))+LEN(SUBSTITUTE(SUBSTITUTE(SUBSTITUTE(F55," ",""),"0",""),"-",""))+LEN(SUBSTITUTE(SUBSTITUTE(SUBSTITUTE(E56," ",""),"0",""),"-",""))+LEN(SUBSTITUTE(SUBSTITUTE(SUBSTITUTE(F56," ",""),"0",""),"-",""))</f>
      </c>
      <c r="F53" s="14" t="str">
        <f>IF(UPPER(D54)="X",0,IF((LEN(SUBSTITUTE(SUBSTITUTE(SUBSTITUTE(E54," ",""),"0",""),"-",""))+LEN(SUBSTITUTE(SUBSTITUTE(SUBSTITUTE(F54," ",""),"0",""),"-","")))&gt;(LEN(SUBSTITUTE(SUBSTITUTE(SUBSTITUTE(B54," ",""),"0",""),"-",""))+LEN(SUBSTITUTE(SUBSTITUTE(SUBSTITUTE(C54," ",""),"0",""),"-",""))),1,0))+IF(UPPER(D55)="X",0,IF((LEN(SUBSTITUTE(SUBSTITUTE(SUBSTITUTE(E55," ",""),"0",""),"-",""))+LEN(SUBSTITUTE(SUBSTITUTE(SUBSTITUTE(F55," ",""),"0",""),"-","")))&gt;(LEN(SUBSTITUTE(SUBSTITUTE(SUBSTITUTE(B55," ",""),"0",""),"-",""))+LEN(SUBSTITUTE(SUBSTITUTE(SUBSTITUTE(C55," ",""),"0",""),"-",""))),1,0))+IF(UPPER(D56)="X",0,IF((LEN(SUBSTITUTE(SUBSTITUTE(SUBSTITUTE(E56," ",""),"0",""),"-",""))+LEN(SUBSTITUTE(SUBSTITUTE(SUBSTITUTE(F56," ",""),"0",""),"-","")))&gt;(LEN(SUBSTITUTE(SUBSTITUTE(SUBSTITUTE(B56," ",""),"0",""),"-",""))+LEN(SUBSTITUTE(SUBSTITUTE(SUBSTITUTE(C56," ",""),"0",""),"-",""))),1,0))</f>
      </c>
      <c r="G53" s="14" t="str">
        <f>data!$D$7&amp;" "&amp;data!$B$7</f>
      </c>
    </row>
    <row r="54">
      <c r="A54" s="14">
        <v>1</v>
      </c>
      <c r="B54" s="18"/>
      <c r="C54" s="18"/>
      <c r="D54" s="18"/>
      <c r="E54" s="18"/>
      <c r="F54" s="18"/>
      <c r="G54" s="14">
        <v>1</v>
      </c>
    </row>
    <row r="55">
      <c r="A55" s="14">
        <v>2</v>
      </c>
      <c r="B55" s="18"/>
      <c r="C55" s="18"/>
      <c r="D55" s="18"/>
      <c r="E55" s="18"/>
      <c r="F55" s="18"/>
      <c r="G55" s="14">
        <v>2</v>
      </c>
    </row>
    <row r="56">
      <c r="A56" s="14">
        <v>3</v>
      </c>
      <c r="B56" s="18"/>
      <c r="C56" s="18"/>
      <c r="D56" s="18"/>
      <c r="E56" s="18"/>
      <c r="F56" s="18"/>
      <c r="G56" s="14">
        <v>3</v>
      </c>
    </row>
    <row r="59">
      <c r="A59" s="13" t="s">
        <v>40</v>
      </c>
      <c r="B59" s="13" t="s">
        <v>41</v>
      </c>
      <c r="C59" s="13" t="s">
        <v>42</v>
      </c>
      <c r="D59" s="13" t="s">
        <v>43</v>
      </c>
      <c r="E59" s="13"/>
      <c r="F59" s="13"/>
      <c r="G59" s="13" t="s">
        <v>44</v>
      </c>
    </row>
    <row r="60">
      <c r="A60" s="14" t="str">
        <f>data!$D$6&amp;" "&amp;data!$B$6</f>
      </c>
      <c r="B60" s="14" t="str">
        <f>IF(OR(COUNTA(B42:C44,E42:F44)&gt;0,D42="X",D42="x",D43="X",D43="x",D44="X",D44="x",OR(D41="X",D41="x")),IF(OR(OR(D41="X",D41="x"),AND(B41=F41,C41=E41)),0,IF(OR(F41&gt;B41,AND(F41=B41,E41&gt;C41)),1,0)),0)+IF(OR(COUNTA(B48:C50,E48:F50)&gt;0,D48="X",D48="x",D49="X",D49="x",D50="X",D50="x",OR(D47="X",D47="x")),IF(OR(OR(D47="X",D47="x"),AND(B47=F47,C47=E47)),0,IF(OR(F47&gt;B47,AND(F47=B47,E47&gt;C47)),1,0)),0)</f>
      </c>
      <c r="C60" s="14" t="str">
        <f>IF(OR(COUNTA(B42:C44,E42:F44)&gt;0,D42="X",D42="x",D43="X",D43="x",D44="X",D44="x",OR(D41="X",D41="x")),IF(OR(OR(D41="X",D41="x"),AND(B41=F41,C41=E41)),0,IF(OR(F41&lt;B41,AND(F41=B41,E41&lt;C41)),1,0)),0)+IF(OR(COUNTA(B48:C50,E48:F50)&gt;0,D48="X",D48="x",D49="X",D49="x",D50="X",D50="x",OR(D47="X",D47="x")),IF(OR(OR(D47="X",D47="x"),AND(B47=F47,C47=E47)),0,IF(OR(F47&lt;B47,AND(F47=B47,E47&lt;C47)),1,0)),0)</f>
      </c>
      <c r="D60" s="14" t="str">
        <f>IF(OR(COUNTA(B42:C44,E42:F44)&gt;0,D42="X",D42="x",D43="X",D43="x",D44="X",D44="x",OR(D41="X",D41="x")),IF(OR(OR(D41="X",D41="x"),AND(B41=F41,C41=E41)),1,0),0)+IF(OR(COUNTA(B48:C50,E48:F50)&gt;0,D48="X",D48="x",D49="X",D49="x",D50="X",D50="x",OR(D47="X",D47="x")),IF(OR(OR(D47="X",D47="x"),AND(B47=F47,C47=E47)),1,0),0)</f>
      </c>
      <c r="G60" s="18" t="str">
        <f>RANK(U60,$U$60:$U$62)+COUNTIF($U$59:U59,U60)</f>
      </c>
      <c r="U60" t="str">
        <f>(B60*1000000000)-(C60*10000000)+(D60*100000)+(B65*1000)-(C65*100)+(D65*10)+(E65*1)-(F65*0.01)</f>
      </c>
    </row>
    <row r="61">
      <c r="A61" s="14" t="str">
        <f>data!$D$7&amp;" "&amp;data!$B$7</f>
      </c>
      <c r="B61" s="14" t="str">
        <f>IF(OR(COUNTA(B42:C44,E42:F44)&gt;0,D42="X",D42="x",D43="X",D43="x",D44="X",D44="x",OR(D41="X",D41="x")),IF(OR(OR(D41="X",D41="x"),AND(B41=F41,C41=E41)),0,IF(OR(B41&gt;F41,AND(B41=F41,C41&gt;E41)),1,0)),0)+IF(OR(COUNTA(B54:C56,E54:F56)&gt;0,D54="X",D54="x",D55="X",D55="x",D56="X",D56="x",OR(D53="X",D53="x")),IF(OR(OR(D53="X",D53="x"),AND(B53=F53,C53=E53)),0,IF(OR(F53&gt;B53,AND(F53=B53,E53&gt;C53)),1,0)),0)</f>
      </c>
      <c r="C61" s="14" t="str">
        <f>IF(OR(COUNTA(B42:C44,E42:F44)&gt;0,D42="X",D42="x",D43="X",D43="x",D44="X",D44="x",OR(D41="X",D41="x")),IF(OR(OR(D41="X",D41="x"),AND(B41=F41,C41=E41)),0,IF(OR(B41&lt;F41,AND(B41=F41,C41&lt;E41)),1,0)),0)+IF(OR(COUNTA(B54:C56,E54:F56)&gt;0,D54="X",D54="x",D55="X",D55="x",D56="X",D56="x",OR(D53="X",D53="x")),IF(OR(OR(D53="X",D53="x"),AND(B53=F53,C53=E53)),0,IF(OR(F53&lt;B53,AND(F53=B53,E53&lt;C53)),1,0)),0)</f>
      </c>
      <c r="D61" s="14" t="str">
        <f>IF(OR(COUNTA(B42:C44,E42:F44)&gt;0,D42="X",D42="x",D43="X",D43="x",D44="X",D44="x",OR(D41="X",D41="x")),IF(OR(OR(D41="X",D41="x"),AND(B41=F41,C41=E41)),1,0),0)+IF(OR(COUNTA(B54:C56,E54:F56)&gt;0,D54="X",D54="x",D55="X",D55="x",D56="X",D56="x",OR(D53="X",D53="x")),IF(OR(OR(D53="X",D53="x"),AND(B53=F53,C53=E53)),1,0),0)</f>
      </c>
      <c r="G61" s="18" t="str">
        <f>RANK(U61,$U$60:$U$62)+COUNTIF($U$59:U60,U61)</f>
      </c>
      <c r="U61" t="str">
        <f>(B61*1000000000)-(C61*10000000)+(D61*100000)+(B66*1000)-(C66*100)+(D66*10)+(E66*1)-(F66*0.01)</f>
      </c>
    </row>
    <row r="62">
      <c r="A62" s="14" t="str">
        <f>data!$D$8&amp;" "&amp;data!$B$8</f>
      </c>
      <c r="B62" s="14" t="str">
        <f>IF(OR(COUNTA(B48:C50,E48:F50)&gt;0,D48="X",D48="x",D49="X",D49="x",D50="X",D50="x",OR(D47="X",D47="x")),IF(OR(OR(D47="X",D47="x"),AND(B47=F47,C47=E47)),0,IF(OR(B47&gt;F47,AND(B47=F47,C47&gt;E47)),1,0)),0)+IF(OR(COUNTA(B54:C56,E54:F56)&gt;0,D54="X",D54="x",D55="X",D55="x",D56="X",D56="x",OR(D53="X",D53="x")),IF(OR(OR(D53="X",D53="x"),AND(B53=F53,C53=E53)),0,IF(OR(B53&gt;F53,AND(B53=F53,C53&gt;E53)),1,0)),0)</f>
      </c>
      <c r="C62" s="14" t="str">
        <f>IF(OR(COUNTA(B48:C50,E48:F50)&gt;0,D48="X",D48="x",D49="X",D49="x",D50="X",D50="x",OR(D47="X",D47="x")),IF(OR(OR(D47="X",D47="x"),AND(B47=F47,C47=E47)),0,IF(OR(B47&lt;F47,AND(B47=F47,C47&lt;E47)),1,0)),0)+IF(OR(COUNTA(B54:C56,E54:F56)&gt;0,D54="X",D54="x",D55="X",D55="x",D56="X",D56="x",OR(D53="X",D53="x")),IF(OR(OR(D53="X",D53="x"),AND(B53=F53,C53=E53)),0,IF(OR(B53&lt;F53,AND(B53=F53,C53&lt;E53)),1,0)),0)</f>
      </c>
      <c r="D62" s="14" t="str">
        <f>IF(OR(COUNTA(B48:C50,E48:F50)&gt;0,D48="X",D48="x",D49="X",D49="x",D50="X",D50="x",OR(D47="X",D47="x")),IF(OR(OR(D47="X",D47="x"),AND(B47=F47,C47=E47)),1,0),0)+IF(OR(COUNTA(B54:C56,E54:F56)&gt;0,D54="X",D54="x",D55="X",D55="x",D56="X",D56="x",OR(D53="X",D53="x")),IF(OR(OR(D53="X",D53="x"),AND(B53=F53,C53=E53)),1,0),0)</f>
      </c>
      <c r="G62" s="18" t="str">
        <f>RANK(U62,$U$60:$U$62)+COUNTIF($U$59:U61,U62)</f>
      </c>
      <c r="U62" t="str">
        <f>(B62*1000000000)-(C62*10000000)+(D62*100000)+(B67*1000)-(C67*100)+(D67*10)+(E67*1)-(F67*0.01)</f>
      </c>
    </row>
    <row r="64">
      <c r="A64" s="13"/>
      <c r="B64" s="13" t="s">
        <v>45</v>
      </c>
      <c r="C64" s="13" t="s">
        <v>46</v>
      </c>
      <c r="D64" s="13" t="s">
        <v>47</v>
      </c>
      <c r="E64" s="13" t="s">
        <v>48</v>
      </c>
      <c r="F64" s="13" t="s">
        <v>49</v>
      </c>
    </row>
    <row r="65">
      <c r="A65" s="14" t="str">
        <f>data!$D$6&amp;" "&amp;data!$B$6</f>
      </c>
      <c r="B65" s="14" t="str">
        <f>IF(OR(COUNTA(B42:C44,E42:F44)&gt;0,OR(D41="X",D41="x"),UPPER(D42)="X",UPPER(D43)="X",UPPER(D44)="X"),F41,0)+IF(OR(COUNTA(B48:C50,E48:F50)&gt;0,OR(D47="X",D47="x"),UPPER(D48)="X",UPPER(D49)="X",UPPER(D50)="X"),F47,0)</f>
      </c>
      <c r="C65" s="14" t="str">
        <f>IF(OR(COUNTA(B42:C44,E42:F44)&gt;0,OR(D41="X",D41="x"),UPPER(D42)="X",UPPER(D43)="X",UPPER(D44)="X"),B41,0)+IF(OR(COUNTA(B48:C50,E48:F50)&gt;0,OR(D47="X",D47="x"),UPPER(D48)="X",UPPER(D49)="X",UPPER(D50)="X"),B47,0)</f>
      </c>
      <c r="D65" s="14" t="str">
        <f>IF(OR(COUNTA(B42:C44,E42:F44)&gt;0,OR(D41="X",D41="x"),UPPER(D42)="X",UPPER(D43)="X",UPPER(D44)="X"),(IF(OR(D42="X",D42="x",AND(COUNTA(B42,C42,E42,F42)&gt;0,(LEN(SUBSTITUTE(SUBSTITUTE(SUBSTITUTE(B42," ",""),"0",""),"-",""))+LEN(SUBSTITUTE(SUBSTITUTE(SUBSTITUTE(C42," ",""),"0",""),"-","")))=(LEN(SUBSTITUTE(SUBSTITUTE(SUBSTITUTE(E42," ",""),"0",""),"-",""))+LEN(SUBSTITUTE(SUBSTITUTE(SUBSTITUTE(F42," ",""),"0",""),"-",""))))),1,0)+IF(OR(D43="X",D43="x",AND(COUNTA(B43,C43,E43,F43)&gt;0,(LEN(SUBSTITUTE(SUBSTITUTE(SUBSTITUTE(B43," ",""),"0",""),"-",""))+LEN(SUBSTITUTE(SUBSTITUTE(SUBSTITUTE(C43," ",""),"0",""),"-","")))=(LEN(SUBSTITUTE(SUBSTITUTE(SUBSTITUTE(E43," ",""),"0",""),"-",""))+LEN(SUBSTITUTE(SUBSTITUTE(SUBSTITUTE(F43," ",""),"0",""),"-",""))))),1,0)+IF(OR(D44="X",D44="x",AND(COUNTA(B44,C44,E44,F44)&gt;0,(LEN(SUBSTITUTE(SUBSTITUTE(SUBSTITUTE(B44," ",""),"0",""),"-",""))+LEN(SUBSTITUTE(SUBSTITUTE(SUBSTITUTE(C44," ",""),"0",""),"-","")))=(LEN(SUBSTITUTE(SUBSTITUTE(SUBSTITUTE(E44," ",""),"0",""),"-",""))+LEN(SUBSTITUTE(SUBSTITUTE(SUBSTITUTE(F44," ",""),"0",""),"-",""))))),1,0)),0)+IF(OR(COUNTA(B48:C50,E48:F50)&gt;0,OR(D47="X",D47="x"),UPPER(D48)="X",UPPER(D49)="X",UPPER(D50)="X"),(IF(OR(D48="X",D48="x",AND(COUNTA(B48,C48,E48,F48)&gt;0,(LEN(SUBSTITUTE(SUBSTITUTE(SUBSTITUTE(B48," ",""),"0",""),"-",""))+LEN(SUBSTITUTE(SUBSTITUTE(SUBSTITUTE(C48," ",""),"0",""),"-","")))=(LEN(SUBSTITUTE(SUBSTITUTE(SUBSTITUTE(E48," ",""),"0",""),"-",""))+LEN(SUBSTITUTE(SUBSTITUTE(SUBSTITUTE(F48," ",""),"0",""),"-",""))))),1,0)+IF(OR(D49="X",D49="x",AND(COUNTA(B49,C49,E49,F49)&gt;0,(LEN(SUBSTITUTE(SUBSTITUTE(SUBSTITUTE(B49," ",""),"0",""),"-",""))+LEN(SUBSTITUTE(SUBSTITUTE(SUBSTITUTE(C49," ",""),"0",""),"-","")))=(LEN(SUBSTITUTE(SUBSTITUTE(SUBSTITUTE(E49," ",""),"0",""),"-",""))+LEN(SUBSTITUTE(SUBSTITUTE(SUBSTITUTE(F49," ",""),"0",""),"-",""))))),1,0)+IF(OR(D50="X",D50="x",AND(COUNTA(B50,C50,E50,F50)&gt;0,(LEN(SUBSTITUTE(SUBSTITUTE(SUBSTITUTE(B50," ",""),"0",""),"-",""))+LEN(SUBSTITUTE(SUBSTITUTE(SUBSTITUTE(C50," ",""),"0",""),"-","")))=(LEN(SUBSTITUTE(SUBSTITUTE(SUBSTITUTE(E50," ",""),"0",""),"-",""))+LEN(SUBSTITUTE(SUBSTITUTE(SUBSTITUTE(F50," ",""),"0",""),"-",""))))),1,0)),0)</f>
      </c>
      <c r="E65" s="14" t="str">
        <f>E41+E47</f>
      </c>
      <c r="F65" s="14" t="str">
        <f>C41+C47</f>
      </c>
    </row>
    <row r="66">
      <c r="A66" s="14" t="str">
        <f>data!$D$7&amp;" "&amp;data!$B$7</f>
      </c>
      <c r="B66" s="14" t="str">
        <f>IF(OR(COUNTA(B42:C44,E42:F44)&gt;0,OR(D41="X",D41="x"),UPPER(D42)="X",UPPER(D43)="X",UPPER(D44)="X"),B41,0)+IF(OR(COUNTA(B54:C56,E54:F56)&gt;0,OR(D53="X",D53="x"),UPPER(D54)="X",UPPER(D55)="X",UPPER(D56)="X"),F53,0)</f>
      </c>
      <c r="C66" s="14" t="str">
        <f>IF(OR(COUNTA(B42:C44,E42:F44)&gt;0,OR(D41="X",D41="x"),UPPER(D42)="X",UPPER(D43)="X",UPPER(D44)="X"),F41,0)+IF(OR(COUNTA(B54:C56,E54:F56)&gt;0,OR(D53="X",D53="x"),UPPER(D54)="X",UPPER(D55)="X",UPPER(D56)="X"),B53,0)</f>
      </c>
      <c r="D66" s="14" t="str">
        <f>IF(OR(COUNTA(B42:C44,E42:F44)&gt;0,OR(D41="X",D41="x"),UPPER(D42)="X",UPPER(D43)="X",UPPER(D44)="X"),(IF(OR(D42="X",D42="x",AND(COUNTA(B42,C42,E42,F42)&gt;0,(LEN(SUBSTITUTE(SUBSTITUTE(SUBSTITUTE(B42," ",""),"0",""),"-",""))+LEN(SUBSTITUTE(SUBSTITUTE(SUBSTITUTE(C42," ",""),"0",""),"-","")))=(LEN(SUBSTITUTE(SUBSTITUTE(SUBSTITUTE(E42," ",""),"0",""),"-",""))+LEN(SUBSTITUTE(SUBSTITUTE(SUBSTITUTE(F42," ",""),"0",""),"-",""))))),1,0)+IF(OR(D43="X",D43="x",AND(COUNTA(B43,C43,E43,F43)&gt;0,(LEN(SUBSTITUTE(SUBSTITUTE(SUBSTITUTE(B43," ",""),"0",""),"-",""))+LEN(SUBSTITUTE(SUBSTITUTE(SUBSTITUTE(C43," ",""),"0",""),"-","")))=(LEN(SUBSTITUTE(SUBSTITUTE(SUBSTITUTE(E43," ",""),"0",""),"-",""))+LEN(SUBSTITUTE(SUBSTITUTE(SUBSTITUTE(F43," ",""),"0",""),"-",""))))),1,0)+IF(OR(D44="X",D44="x",AND(COUNTA(B44,C44,E44,F44)&gt;0,(LEN(SUBSTITUTE(SUBSTITUTE(SUBSTITUTE(B44," ",""),"0",""),"-",""))+LEN(SUBSTITUTE(SUBSTITUTE(SUBSTITUTE(C44," ",""),"0",""),"-","")))=(LEN(SUBSTITUTE(SUBSTITUTE(SUBSTITUTE(E44," ",""),"0",""),"-",""))+LEN(SUBSTITUTE(SUBSTITUTE(SUBSTITUTE(F44," ",""),"0",""),"-",""))))),1,0)),0)+IF(OR(COUNTA(B54:C56,E54:F56)&gt;0,OR(D53="X",D53="x"),UPPER(D54)="X",UPPER(D55)="X",UPPER(D56)="X"),(IF(OR(D54="X",D54="x",AND(COUNTA(B54,C54,E54,F54)&gt;0,(LEN(SUBSTITUTE(SUBSTITUTE(SUBSTITUTE(B54," ",""),"0",""),"-",""))+LEN(SUBSTITUTE(SUBSTITUTE(SUBSTITUTE(C54," ",""),"0",""),"-","")))=(LEN(SUBSTITUTE(SUBSTITUTE(SUBSTITUTE(E54," ",""),"0",""),"-",""))+LEN(SUBSTITUTE(SUBSTITUTE(SUBSTITUTE(F54," ",""),"0",""),"-",""))))),1,0)+IF(OR(D55="X",D55="x",AND(COUNTA(B55,C55,E55,F55)&gt;0,(LEN(SUBSTITUTE(SUBSTITUTE(SUBSTITUTE(B55," ",""),"0",""),"-",""))+LEN(SUBSTITUTE(SUBSTITUTE(SUBSTITUTE(C55," ",""),"0",""),"-","")))=(LEN(SUBSTITUTE(SUBSTITUTE(SUBSTITUTE(E55," ",""),"0",""),"-",""))+LEN(SUBSTITUTE(SUBSTITUTE(SUBSTITUTE(F55," ",""),"0",""),"-",""))))),1,0)+IF(OR(D56="X",D56="x",AND(COUNTA(B56,C56,E56,F56)&gt;0,(LEN(SUBSTITUTE(SUBSTITUTE(SUBSTITUTE(B56," ",""),"0",""),"-",""))+LEN(SUBSTITUTE(SUBSTITUTE(SUBSTITUTE(C56," ",""),"0",""),"-","")))=(LEN(SUBSTITUTE(SUBSTITUTE(SUBSTITUTE(E56," ",""),"0",""),"-",""))+LEN(SUBSTITUTE(SUBSTITUTE(SUBSTITUTE(F56," ",""),"0",""),"-",""))))),1,0)),0)</f>
      </c>
      <c r="E66" s="14" t="str">
        <f>C41+E53</f>
      </c>
      <c r="F66" s="14" t="str">
        <f>E41+C53</f>
      </c>
    </row>
    <row r="67">
      <c r="A67" s="14" t="str">
        <f>data!$D$8&amp;" "&amp;data!$B$8</f>
      </c>
      <c r="B67" s="14" t="str">
        <f>IF(OR(COUNTA(B48:C50,E48:F50)&gt;0,OR(D47="X",D47="x"),UPPER(D48)="X",UPPER(D49)="X",UPPER(D50)="X"),B47,0)+IF(OR(COUNTA(B54:C56,E54:F56)&gt;0,OR(D53="X",D53="x"),UPPER(D54)="X",UPPER(D55)="X",UPPER(D56)="X"),B53,0)</f>
      </c>
      <c r="C67" s="14" t="str">
        <f>IF(OR(COUNTA(B48:C50,E48:F50)&gt;0,OR(D47="X",D47="x"),UPPER(D48)="X",UPPER(D49)="X",UPPER(D50)="X"),F47,0)+IF(OR(COUNTA(B54:C56,E54:F56)&gt;0,OR(D53="X",D53="x"),UPPER(D54)="X",UPPER(D55)="X",UPPER(D56)="X"),F53,0)</f>
      </c>
      <c r="D67" s="14" t="str">
        <f>IF(OR(COUNTA(B48:C50,E48:F50)&gt;0,OR(D47="X",D47="x"),UPPER(D48)="X",UPPER(D49)="X",UPPER(D50)="X"),(IF(OR(D48="X",D48="x",AND(COUNTA(B48,C48,E48,F48)&gt;0,(LEN(SUBSTITUTE(SUBSTITUTE(SUBSTITUTE(B48," ",""),"0",""),"-",""))+LEN(SUBSTITUTE(SUBSTITUTE(SUBSTITUTE(C48," ",""),"0",""),"-","")))=(LEN(SUBSTITUTE(SUBSTITUTE(SUBSTITUTE(E48," ",""),"0",""),"-",""))+LEN(SUBSTITUTE(SUBSTITUTE(SUBSTITUTE(F48," ",""),"0",""),"-",""))))),1,0)+IF(OR(D49="X",D49="x",AND(COUNTA(B49,C49,E49,F49)&gt;0,(LEN(SUBSTITUTE(SUBSTITUTE(SUBSTITUTE(B49," ",""),"0",""),"-",""))+LEN(SUBSTITUTE(SUBSTITUTE(SUBSTITUTE(C49," ",""),"0",""),"-","")))=(LEN(SUBSTITUTE(SUBSTITUTE(SUBSTITUTE(E49," ",""),"0",""),"-",""))+LEN(SUBSTITUTE(SUBSTITUTE(SUBSTITUTE(F49," ",""),"0",""),"-",""))))),1,0)+IF(OR(D50="X",D50="x",AND(COUNTA(B50,C50,E50,F50)&gt;0,(LEN(SUBSTITUTE(SUBSTITUTE(SUBSTITUTE(B50," ",""),"0",""),"-",""))+LEN(SUBSTITUTE(SUBSTITUTE(SUBSTITUTE(C50," ",""),"0",""),"-","")))=(LEN(SUBSTITUTE(SUBSTITUTE(SUBSTITUTE(E50," ",""),"0",""),"-",""))+LEN(SUBSTITUTE(SUBSTITUTE(SUBSTITUTE(F50," ",""),"0",""),"-",""))))),1,0)),0)+IF(OR(COUNTA(B54:C56,E54:F56)&gt;0,OR(D53="X",D53="x"),UPPER(D54)="X",UPPER(D55)="X",UPPER(D56)="X"),(IF(OR(D54="X",D54="x",AND(COUNTA(B54,C54,E54,F54)&gt;0,(LEN(SUBSTITUTE(SUBSTITUTE(SUBSTITUTE(B54," ",""),"0",""),"-",""))+LEN(SUBSTITUTE(SUBSTITUTE(SUBSTITUTE(C54," ",""),"0",""),"-","")))=(LEN(SUBSTITUTE(SUBSTITUTE(SUBSTITUTE(E54," ",""),"0",""),"-",""))+LEN(SUBSTITUTE(SUBSTITUTE(SUBSTITUTE(F54," ",""),"0",""),"-",""))))),1,0)+IF(OR(D55="X",D55="x",AND(COUNTA(B55,C55,E55,F55)&gt;0,(LEN(SUBSTITUTE(SUBSTITUTE(SUBSTITUTE(B55," ",""),"0",""),"-",""))+LEN(SUBSTITUTE(SUBSTITUTE(SUBSTITUTE(C55," ",""),"0",""),"-","")))=(LEN(SUBSTITUTE(SUBSTITUTE(SUBSTITUTE(E55," ",""),"0",""),"-",""))+LEN(SUBSTITUTE(SUBSTITUTE(SUBSTITUTE(F55," ",""),"0",""),"-",""))))),1,0)+IF(OR(D56="X",D56="x",AND(COUNTA(B56,C56,E56,F56)&gt;0,(LEN(SUBSTITUTE(SUBSTITUTE(SUBSTITUTE(B56," ",""),"0",""),"-",""))+LEN(SUBSTITUTE(SUBSTITUTE(SUBSTITUTE(C56," ",""),"0",""),"-","")))=(LEN(SUBSTITUTE(SUBSTITUTE(SUBSTITUTE(E56," ",""),"0",""),"-",""))+LEN(SUBSTITUTE(SUBSTITUTE(SUBSTITUTE(F56," ",""),"0",""),"-",""))))),1,0)),0)</f>
      </c>
      <c r="E67" s="14" t="str">
        <f>C47+C53</f>
      </c>
      <c r="F67" s="14" t="str">
        <f>E47+E53</f>
      </c>
    </row>
    <row r="70">
      <c r="F70" s="13"/>
      <c r="G70" s="13" t="s">
        <v>50</v>
      </c>
    </row>
    <row r="71">
      <c r="F71" t="s">
        <v>51</v>
      </c>
      <c r="G71" s="19" t="str">
        <f>IFERROR(INDEX($A$60:$A$67, MATCH(1, $G$60:$G$67, 0)), "-")</f>
      </c>
    </row>
    <row r="72">
      <c r="F72" t="s">
        <v>52</v>
      </c>
      <c r="G72" s="19" t="str">
        <f>IFERROR(INDEX($A$60:$A$67, MATCH(2, $G$60:$G$67, 0)), "-")</f>
      </c>
    </row>
    <row r="73">
      <c r="F73" t="s">
        <v>53</v>
      </c>
      <c r="G73" s="19" t="str">
        <f>IFERROR(INDEX($A$60:$A$67, MATCH(3, $G$60:$G$67,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3">
    <mergeCell ref="A1:G1"/>
    <mergeCell ref="A2:G2"/>
    <mergeCell ref="A39:G39"/>
  </mergeCells>
  <printOptions horizontalCentered="true" verticalCentered="true"/>
  <pageSetup fitToHeight="0" fitToWidth="1" orientation="portrait" pageOrder="downThenOver" paperSize="9"/>
  <rowBreaks count="1" manualBreakCount="1">
    <brk id="38" max="16383" man="true"/>
  </rowBreaks>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36</v>
      </c>
      <c r="B1" s="13"/>
      <c r="C1" s="13"/>
      <c r="D1" s="13"/>
      <c r="E1" s="13"/>
      <c r="F1" s="13"/>
      <c r="G1" s="13"/>
    </row>
    <row r="2">
      <c r="A2" s="13" t="s">
        <v>54</v>
      </c>
      <c r="B2" s="13"/>
      <c r="C2" s="13"/>
      <c r="D2" s="13"/>
      <c r="E2" s="13"/>
      <c r="F2" s="13"/>
      <c r="G2" s="13"/>
    </row>
    <row r="3">
      <c r="A3" s="17" t="s">
        <v>37</v>
      </c>
      <c r="D3" s="14" t="s">
        <v>38</v>
      </c>
      <c r="G3" s="16" t="s">
        <v>39</v>
      </c>
    </row>
    <row r="4">
      <c r="A4" s="14" t="str">
        <f>CONCATENATE("Pool B-2nd ",'Pool Matches'!G72)</f>
      </c>
      <c r="B4" s="14"/>
      <c r="C4" s="14"/>
      <c r="D4" s="18"/>
      <c r="E4" s="14"/>
      <c r="F4" s="14"/>
      <c r="G4" s="14" t="str">
        <f>CONCATENATE("Pool A-1st ",'Pool Matches'!G34)</f>
      </c>
    </row>
    <row r="5">
      <c r="A5" s="14">
        <v>1</v>
      </c>
      <c r="B5" s="18"/>
      <c r="C5" s="18"/>
      <c r="D5" s="18"/>
      <c r="E5" s="18"/>
      <c r="F5" s="18"/>
      <c r="G5" s="14">
        <v>1</v>
      </c>
    </row>
    <row r="6">
      <c r="A6" s="14">
        <v>2</v>
      </c>
      <c r="B6" s="18"/>
      <c r="C6" s="18"/>
      <c r="D6" s="18"/>
      <c r="E6" s="18"/>
      <c r="F6" s="18"/>
      <c r="G6" s="14">
        <v>2</v>
      </c>
    </row>
    <row r="7">
      <c r="A7" s="14">
        <v>3</v>
      </c>
      <c r="B7" s="18"/>
      <c r="C7" s="18"/>
      <c r="D7" s="18"/>
      <c r="E7" s="18"/>
      <c r="F7" s="18"/>
      <c r="G7" s="14">
        <v>3</v>
      </c>
    </row>
    <row r="9">
      <c r="A9" s="14" t="str">
        <f>CONCATENATE("Pool B-2nd ",'Pool Matches'!G72)</f>
      </c>
      <c r="B9" s="14" t="s">
        <v>45</v>
      </c>
      <c r="C9" s="14" t="s">
        <v>48</v>
      </c>
      <c r="D9" s="14"/>
      <c r="E9" s="14" t="s">
        <v>48</v>
      </c>
      <c r="F9" s="14" t="s">
        <v>45</v>
      </c>
      <c r="G9" s="14" t="str">
        <f>CONCATENATE("Pool A-1st ",'Pool Matches'!G34)</f>
      </c>
    </row>
    <row r="10">
      <c r="A10" s="14" t="s">
        <v>55</v>
      </c>
      <c r="B10" s="14" t="str">
        <f>IF(UPPER(D5)="X",0,IF((LEN(SUBSTITUTE(SUBSTITUTE(SUBSTITUTE(B5," ",""),"0",""),"-",""))+LEN(SUBSTITUTE(SUBSTITUTE(SUBSTITUTE(C5," ",""),"0",""),"-","")))&gt;(LEN(SUBSTITUTE(SUBSTITUTE(SUBSTITUTE(E5," ",""),"0",""),"-",""))+LEN(SUBSTITUTE(SUBSTITUTE(SUBSTITUTE(F5," ",""),"0",""),"-",""))),1,0))+IF(UPPER(D6)="X",0,IF((LEN(SUBSTITUTE(SUBSTITUTE(SUBSTITUTE(B6," ",""),"0",""),"-",""))+LEN(SUBSTITUTE(SUBSTITUTE(SUBSTITUTE(C6," ",""),"0",""),"-","")))&gt;(LEN(SUBSTITUTE(SUBSTITUTE(SUBSTITUTE(E6," ",""),"0",""),"-",""))+LEN(SUBSTITUTE(SUBSTITUTE(SUBSTITUTE(F6," ",""),"0",""),"-",""))),1,0))+IF(UPPER(D7)="X",0,IF((LEN(SUBSTITUTE(SUBSTITUTE(SUBSTITUTE(B7," ",""),"0",""),"-",""))+LEN(SUBSTITUTE(SUBSTITUTE(SUBSTITUTE(C7," ",""),"0",""),"-","")))&gt;(LEN(SUBSTITUTE(SUBSTITUTE(SUBSTITUTE(E7," ",""),"0",""),"-",""))+LEN(SUBSTITUTE(SUBSTITUTE(SUBSTITUTE(F7," ",""),"0",""),"-",""))),1,0))</f>
      </c>
      <c r="C10" s="14" t="str">
        <f>LEN(SUBSTITUTE(SUBSTITUTE(SUBSTITUTE(B5," ",""),"0",""),"-",""))+LEN(SUBSTITUTE(SUBSTITUTE(SUBSTITUTE(C5," ",""),"0",""),"-",""))+LEN(SUBSTITUTE(SUBSTITUTE(SUBSTITUTE(B6," ",""),"0",""),"-",""))+LEN(SUBSTITUTE(SUBSTITUTE(SUBSTITUTE(C6," ",""),"0",""),"-",""))+LEN(SUBSTITUTE(SUBSTITUTE(SUBSTITUTE(B7," ",""),"0",""),"-",""))+LEN(SUBSTITUTE(SUBSTITUTE(SUBSTITUTE(C7," ",""),"0",""),"-",""))</f>
      </c>
      <c r="D10" s="14"/>
      <c r="E10" s="14" t="str">
        <f>LEN(SUBSTITUTE(SUBSTITUTE(SUBSTITUTE(E5," ",""),"0",""),"-",""))+LEN(SUBSTITUTE(SUBSTITUTE(SUBSTITUTE(F5," ",""),"0",""),"-",""))+LEN(SUBSTITUTE(SUBSTITUTE(SUBSTITUTE(E6," ",""),"0",""),"-",""))+LEN(SUBSTITUTE(SUBSTITUTE(SUBSTITUTE(F6," ",""),"0",""),"-",""))+LEN(SUBSTITUTE(SUBSTITUTE(SUBSTITUTE(E7," ",""),"0",""),"-",""))+LEN(SUBSTITUTE(SUBSTITUTE(SUBSTITUTE(F7," ",""),"0",""),"-",""))</f>
      </c>
      <c r="F10" s="14" t="str">
        <f>IF(UPPER(D5)="X",0,IF((LEN(SUBSTITUTE(SUBSTITUTE(SUBSTITUTE(E5," ",""),"0",""),"-",""))+LEN(SUBSTITUTE(SUBSTITUTE(SUBSTITUTE(F5," ",""),"0",""),"-","")))&gt;(LEN(SUBSTITUTE(SUBSTITUTE(SUBSTITUTE(B5," ",""),"0",""),"-",""))+LEN(SUBSTITUTE(SUBSTITUTE(SUBSTITUTE(C5," ",""),"0",""),"-",""))),1,0))+IF(UPPER(D6)="X",0,IF((LEN(SUBSTITUTE(SUBSTITUTE(SUBSTITUTE(E6," ",""),"0",""),"-",""))+LEN(SUBSTITUTE(SUBSTITUTE(SUBSTITUTE(F6," ",""),"0",""),"-","")))&gt;(LEN(SUBSTITUTE(SUBSTITUTE(SUBSTITUTE(B6," ",""),"0",""),"-",""))+LEN(SUBSTITUTE(SUBSTITUTE(SUBSTITUTE(C6," ",""),"0",""),"-",""))),1,0))+IF(UPPER(D7)="X",0,IF((LEN(SUBSTITUTE(SUBSTITUTE(SUBSTITUTE(E7," ",""),"0",""),"-",""))+LEN(SUBSTITUTE(SUBSTITUTE(SUBSTITUTE(F7," ",""),"0",""),"-","")))&gt;(LEN(SUBSTITUTE(SUBSTITUTE(SUBSTITUTE(B7," ",""),"0",""),"-",""))+LEN(SUBSTITUTE(SUBSTITUTE(SUBSTITUTE(C7," ",""),"0",""),"-",""))),1,0))</f>
      </c>
      <c r="G10" s="14" t="s">
        <v>55</v>
      </c>
    </row>
    <row r="13">
      <c r="F13" t="s">
        <v>51</v>
      </c>
      <c r="G13" s="19"/>
    </row>
    <row r="14">
      <c r="F14" t="s">
        <v>52</v>
      </c>
      <c r="G14" s="19"/>
    </row>
    <row r="16">
      <c r="A16" s="13" t="s">
        <v>56</v>
      </c>
      <c r="B16" s="13"/>
      <c r="C16" s="13"/>
      <c r="D16" s="13"/>
      <c r="E16" s="13"/>
      <c r="F16" s="13"/>
      <c r="G16" s="13"/>
    </row>
    <row r="17">
      <c r="A17" s="17" t="s">
        <v>37</v>
      </c>
      <c r="D17" s="14" t="s">
        <v>38</v>
      </c>
      <c r="G17" s="16" t="s">
        <v>39</v>
      </c>
    </row>
    <row r="18">
      <c r="A18" s="14" t="str">
        <f>CONCATENATE("Pool A-2nd ",'Pool Matches'!G35)</f>
      </c>
      <c r="B18" s="14"/>
      <c r="C18" s="14"/>
      <c r="D18" s="18"/>
      <c r="E18" s="14"/>
      <c r="F18" s="14"/>
      <c r="G18" s="14" t="str">
        <f>CONCATENATE("Pool B-1st ",'Pool Matches'!G71)</f>
      </c>
    </row>
    <row r="19">
      <c r="A19" s="14">
        <v>1</v>
      </c>
      <c r="B19" s="18"/>
      <c r="C19" s="18"/>
      <c r="D19" s="18"/>
      <c r="E19" s="18"/>
      <c r="F19" s="18"/>
      <c r="G19" s="14">
        <v>1</v>
      </c>
    </row>
    <row r="20">
      <c r="A20" s="14">
        <v>2</v>
      </c>
      <c r="B20" s="18"/>
      <c r="C20" s="18"/>
      <c r="D20" s="18"/>
      <c r="E20" s="18"/>
      <c r="F20" s="18"/>
      <c r="G20" s="14">
        <v>2</v>
      </c>
    </row>
    <row r="21">
      <c r="A21" s="14">
        <v>3</v>
      </c>
      <c r="B21" s="18"/>
      <c r="C21" s="18"/>
      <c r="D21" s="18"/>
      <c r="E21" s="18"/>
      <c r="F21" s="18"/>
      <c r="G21" s="14">
        <v>3</v>
      </c>
    </row>
    <row r="23">
      <c r="A23" s="14" t="str">
        <f>CONCATENATE("Pool A-2nd ",'Pool Matches'!G35)</f>
      </c>
      <c r="B23" s="14" t="s">
        <v>45</v>
      </c>
      <c r="C23" s="14" t="s">
        <v>48</v>
      </c>
      <c r="D23" s="14"/>
      <c r="E23" s="14" t="s">
        <v>48</v>
      </c>
      <c r="F23" s="14" t="s">
        <v>45</v>
      </c>
      <c r="G23" s="14" t="str">
        <f>CONCATENATE("Pool B-1st ",'Pool Matches'!G71)</f>
      </c>
    </row>
    <row r="24">
      <c r="A24" s="14" t="s">
        <v>55</v>
      </c>
      <c r="B24" s="14" t="str">
        <f>IF(UPPER(D19)="X",0,IF((LEN(SUBSTITUTE(SUBSTITUTE(SUBSTITUTE(B19," ",""),"0",""),"-",""))+LEN(SUBSTITUTE(SUBSTITUTE(SUBSTITUTE(C19," ",""),"0",""),"-","")))&gt;(LEN(SUBSTITUTE(SUBSTITUTE(SUBSTITUTE(E19," ",""),"0",""),"-",""))+LEN(SUBSTITUTE(SUBSTITUTE(SUBSTITUTE(F19," ",""),"0",""),"-",""))),1,0))+IF(UPPER(D20)="X",0,IF((LEN(SUBSTITUTE(SUBSTITUTE(SUBSTITUTE(B20," ",""),"0",""),"-",""))+LEN(SUBSTITUTE(SUBSTITUTE(SUBSTITUTE(C20," ",""),"0",""),"-","")))&gt;(LEN(SUBSTITUTE(SUBSTITUTE(SUBSTITUTE(E20," ",""),"0",""),"-",""))+LEN(SUBSTITUTE(SUBSTITUTE(SUBSTITUTE(F20," ",""),"0",""),"-",""))),1,0))+IF(UPPER(D21)="X",0,IF((LEN(SUBSTITUTE(SUBSTITUTE(SUBSTITUTE(B21," ",""),"0",""),"-",""))+LEN(SUBSTITUTE(SUBSTITUTE(SUBSTITUTE(C21," ",""),"0",""),"-","")))&gt;(LEN(SUBSTITUTE(SUBSTITUTE(SUBSTITUTE(E21," ",""),"0",""),"-",""))+LEN(SUBSTITUTE(SUBSTITUTE(SUBSTITUTE(F21," ",""),"0",""),"-",""))),1,0))</f>
      </c>
      <c r="C24" s="14" t="str">
        <f>LEN(SUBSTITUTE(SUBSTITUTE(SUBSTITUTE(B19," ",""),"0",""),"-",""))+LEN(SUBSTITUTE(SUBSTITUTE(SUBSTITUTE(C19," ",""),"0",""),"-",""))+LEN(SUBSTITUTE(SUBSTITUTE(SUBSTITUTE(B20," ",""),"0",""),"-",""))+LEN(SUBSTITUTE(SUBSTITUTE(SUBSTITUTE(C20," ",""),"0",""),"-",""))+LEN(SUBSTITUTE(SUBSTITUTE(SUBSTITUTE(B21," ",""),"0",""),"-",""))+LEN(SUBSTITUTE(SUBSTITUTE(SUBSTITUTE(C21," ",""),"0",""),"-",""))</f>
      </c>
      <c r="D24" s="14"/>
      <c r="E24" s="14" t="str">
        <f>LEN(SUBSTITUTE(SUBSTITUTE(SUBSTITUTE(E19," ",""),"0",""),"-",""))+LEN(SUBSTITUTE(SUBSTITUTE(SUBSTITUTE(F19," ",""),"0",""),"-",""))+LEN(SUBSTITUTE(SUBSTITUTE(SUBSTITUTE(E20," ",""),"0",""),"-",""))+LEN(SUBSTITUTE(SUBSTITUTE(SUBSTITUTE(F20," ",""),"0",""),"-",""))+LEN(SUBSTITUTE(SUBSTITUTE(SUBSTITUTE(E21," ",""),"0",""),"-",""))+LEN(SUBSTITUTE(SUBSTITUTE(SUBSTITUTE(F21," ",""),"0",""),"-",""))</f>
      </c>
      <c r="F24" s="14" t="str">
        <f>IF(UPPER(D19)="X",0,IF((LEN(SUBSTITUTE(SUBSTITUTE(SUBSTITUTE(E19," ",""),"0",""),"-",""))+LEN(SUBSTITUTE(SUBSTITUTE(SUBSTITUTE(F19," ",""),"0",""),"-","")))&gt;(LEN(SUBSTITUTE(SUBSTITUTE(SUBSTITUTE(B19," ",""),"0",""),"-",""))+LEN(SUBSTITUTE(SUBSTITUTE(SUBSTITUTE(C19," ",""),"0",""),"-",""))),1,0))+IF(UPPER(D20)="X",0,IF((LEN(SUBSTITUTE(SUBSTITUTE(SUBSTITUTE(E20," ",""),"0",""),"-",""))+LEN(SUBSTITUTE(SUBSTITUTE(SUBSTITUTE(F20," ",""),"0",""),"-","")))&gt;(LEN(SUBSTITUTE(SUBSTITUTE(SUBSTITUTE(B20," ",""),"0",""),"-",""))+LEN(SUBSTITUTE(SUBSTITUTE(SUBSTITUTE(C20," ",""),"0",""),"-",""))),1,0))+IF(UPPER(D21)="X",0,IF((LEN(SUBSTITUTE(SUBSTITUTE(SUBSTITUTE(E21," ",""),"0",""),"-",""))+LEN(SUBSTITUTE(SUBSTITUTE(SUBSTITUTE(F21," ",""),"0",""),"-","")))&gt;(LEN(SUBSTITUTE(SUBSTITUTE(SUBSTITUTE(B21," ",""),"0",""),"-",""))+LEN(SUBSTITUTE(SUBSTITUTE(SUBSTITUTE(C21," ",""),"0",""),"-",""))),1,0))</f>
      </c>
      <c r="G24" s="14" t="s">
        <v>55</v>
      </c>
    </row>
    <row r="27">
      <c r="F27" t="s">
        <v>51</v>
      </c>
      <c r="G27" s="19"/>
    </row>
    <row r="28">
      <c r="F28" t="s">
        <v>52</v>
      </c>
      <c r="G28" s="19"/>
    </row>
    <row r="35">
      <c r="A35" s="13" t="s">
        <v>57</v>
      </c>
      <c r="B35" s="13"/>
      <c r="C35" s="13"/>
      <c r="D35" s="13"/>
      <c r="E35" s="13"/>
      <c r="F35" s="13"/>
      <c r="G35" s="13"/>
    </row>
    <row r="36">
      <c r="A36" s="17" t="s">
        <v>37</v>
      </c>
      <c r="D36" s="14" t="s">
        <v>38</v>
      </c>
      <c r="G36" s="16" t="s">
        <v>39</v>
      </c>
    </row>
    <row r="37">
      <c r="A37" s="14" t="str">
        <f>CONCATENATE("M 2 ",G27)</f>
      </c>
      <c r="B37" s="14"/>
      <c r="C37" s="14"/>
      <c r="D37" s="18"/>
      <c r="E37" s="14"/>
      <c r="F37" s="14"/>
      <c r="G37" s="14" t="str">
        <f>CONCATENATE("M 1 ",G13)</f>
      </c>
    </row>
    <row r="38">
      <c r="A38" s="14">
        <v>1</v>
      </c>
      <c r="B38" s="18"/>
      <c r="C38" s="18"/>
      <c r="D38" s="18"/>
      <c r="E38" s="18"/>
      <c r="F38" s="18"/>
      <c r="G38" s="14">
        <v>1</v>
      </c>
    </row>
    <row r="39">
      <c r="A39" s="14">
        <v>2</v>
      </c>
      <c r="B39" s="18"/>
      <c r="C39" s="18"/>
      <c r="D39" s="18"/>
      <c r="E39" s="18"/>
      <c r="F39" s="18"/>
      <c r="G39" s="14">
        <v>2</v>
      </c>
    </row>
    <row r="40">
      <c r="A40" s="14">
        <v>3</v>
      </c>
      <c r="B40" s="18"/>
      <c r="C40" s="18"/>
      <c r="D40" s="18"/>
      <c r="E40" s="18"/>
      <c r="F40" s="18"/>
      <c r="G40" s="14">
        <v>3</v>
      </c>
    </row>
    <row r="42">
      <c r="A42" s="14" t="str">
        <f>CONCATENATE("M 2 ",G27)</f>
      </c>
      <c r="B42" s="14" t="s">
        <v>45</v>
      </c>
      <c r="C42" s="14" t="s">
        <v>48</v>
      </c>
      <c r="D42" s="14"/>
      <c r="E42" s="14" t="s">
        <v>48</v>
      </c>
      <c r="F42" s="14" t="s">
        <v>45</v>
      </c>
      <c r="G42" s="14" t="str">
        <f>CONCATENATE("M 1 ",G13)</f>
      </c>
    </row>
    <row r="43">
      <c r="A43" s="14" t="s">
        <v>55</v>
      </c>
      <c r="B43" s="14" t="str">
        <f>IF(UPPER(D38)="X",0,IF((LEN(SUBSTITUTE(SUBSTITUTE(SUBSTITUTE(B38," ",""),"0",""),"-",""))+LEN(SUBSTITUTE(SUBSTITUTE(SUBSTITUTE(C38," ",""),"0",""),"-","")))&gt;(LEN(SUBSTITUTE(SUBSTITUTE(SUBSTITUTE(E38," ",""),"0",""),"-",""))+LEN(SUBSTITUTE(SUBSTITUTE(SUBSTITUTE(F38," ",""),"0",""),"-",""))),1,0))+IF(UPPER(D39)="X",0,IF((LEN(SUBSTITUTE(SUBSTITUTE(SUBSTITUTE(B39," ",""),"0",""),"-",""))+LEN(SUBSTITUTE(SUBSTITUTE(SUBSTITUTE(C39," ",""),"0",""),"-","")))&gt;(LEN(SUBSTITUTE(SUBSTITUTE(SUBSTITUTE(E39," ",""),"0",""),"-",""))+LEN(SUBSTITUTE(SUBSTITUTE(SUBSTITUTE(F39," ",""),"0",""),"-",""))),1,0))+IF(UPPER(D40)="X",0,IF((LEN(SUBSTITUTE(SUBSTITUTE(SUBSTITUTE(B40," ",""),"0",""),"-",""))+LEN(SUBSTITUTE(SUBSTITUTE(SUBSTITUTE(C40," ",""),"0",""),"-","")))&gt;(LEN(SUBSTITUTE(SUBSTITUTE(SUBSTITUTE(E40," ",""),"0",""),"-",""))+LEN(SUBSTITUTE(SUBSTITUTE(SUBSTITUTE(F40," ",""),"0",""),"-",""))),1,0))</f>
      </c>
      <c r="C43" s="14" t="str">
        <f>LEN(SUBSTITUTE(SUBSTITUTE(SUBSTITUTE(B38," ",""),"0",""),"-",""))+LEN(SUBSTITUTE(SUBSTITUTE(SUBSTITUTE(C38," ",""),"0",""),"-",""))+LEN(SUBSTITUTE(SUBSTITUTE(SUBSTITUTE(B39," ",""),"0",""),"-",""))+LEN(SUBSTITUTE(SUBSTITUTE(SUBSTITUTE(C39," ",""),"0",""),"-",""))+LEN(SUBSTITUTE(SUBSTITUTE(SUBSTITUTE(B40," ",""),"0",""),"-",""))+LEN(SUBSTITUTE(SUBSTITUTE(SUBSTITUTE(C40," ",""),"0",""),"-",""))</f>
      </c>
      <c r="D43" s="14"/>
      <c r="E43" s="14" t="str">
        <f>LEN(SUBSTITUTE(SUBSTITUTE(SUBSTITUTE(E38," ",""),"0",""),"-",""))+LEN(SUBSTITUTE(SUBSTITUTE(SUBSTITUTE(F38," ",""),"0",""),"-",""))+LEN(SUBSTITUTE(SUBSTITUTE(SUBSTITUTE(E39," ",""),"0",""),"-",""))+LEN(SUBSTITUTE(SUBSTITUTE(SUBSTITUTE(F39," ",""),"0",""),"-",""))+LEN(SUBSTITUTE(SUBSTITUTE(SUBSTITUTE(E40," ",""),"0",""),"-",""))+LEN(SUBSTITUTE(SUBSTITUTE(SUBSTITUTE(F40," ",""),"0",""),"-",""))</f>
      </c>
      <c r="F43" s="14" t="str">
        <f>IF(UPPER(D38)="X",0,IF((LEN(SUBSTITUTE(SUBSTITUTE(SUBSTITUTE(E38," ",""),"0",""),"-",""))+LEN(SUBSTITUTE(SUBSTITUTE(SUBSTITUTE(F38," ",""),"0",""),"-","")))&gt;(LEN(SUBSTITUTE(SUBSTITUTE(SUBSTITUTE(B38," ",""),"0",""),"-",""))+LEN(SUBSTITUTE(SUBSTITUTE(SUBSTITUTE(C38," ",""),"0",""),"-",""))),1,0))+IF(UPPER(D39)="X",0,IF((LEN(SUBSTITUTE(SUBSTITUTE(SUBSTITUTE(E39," ",""),"0",""),"-",""))+LEN(SUBSTITUTE(SUBSTITUTE(SUBSTITUTE(F39," ",""),"0",""),"-","")))&gt;(LEN(SUBSTITUTE(SUBSTITUTE(SUBSTITUTE(B39," ",""),"0",""),"-",""))+LEN(SUBSTITUTE(SUBSTITUTE(SUBSTITUTE(C39," ",""),"0",""),"-",""))),1,0))+IF(UPPER(D40)="X",0,IF((LEN(SUBSTITUTE(SUBSTITUTE(SUBSTITUTE(E40," ",""),"0",""),"-",""))+LEN(SUBSTITUTE(SUBSTITUTE(SUBSTITUTE(F40," ",""),"0",""),"-","")))&gt;(LEN(SUBSTITUTE(SUBSTITUTE(SUBSTITUTE(B40," ",""),"0",""),"-",""))+LEN(SUBSTITUTE(SUBSTITUTE(SUBSTITUTE(C40," ",""),"0",""),"-",""))),1,0))</f>
      </c>
      <c r="G43" s="14" t="s">
        <v>55</v>
      </c>
    </row>
    <row r="46">
      <c r="F46" t="s">
        <v>51</v>
      </c>
      <c r="G46" s="19"/>
    </row>
    <row r="47">
      <c r="F47" t="s">
        <v>52</v>
      </c>
      <c r="G47"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4">
    <mergeCell ref="A1:G1"/>
    <mergeCell ref="A2:G2"/>
    <mergeCell ref="A16:G16"/>
    <mergeCell ref="A35:G35"/>
  </mergeCells>
  <printOptions horizontalCentered="true" verticalCentered="true"/>
  <pageSetup fitToHeight="0" fitToWidth="1" orientation="portrait" pageOrder="downThenOver" paperSize="9"/>
  <rowBreaks count="1" manualBreakCount="1">
    <brk id="34" max="16383" man="true"/>
  </rowBreaks>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c r="F1" s="13"/>
      <c r="G1" s="13"/>
    </row>
    <row r="4">
      <c r="A4" s="24" t="str">
        <f>'data'!$A$5</f>
      </c>
    </row>
    <row r="5">
      <c r="A5" s="25" t="str">
        <f>data!$D$3&amp;" "&amp;data!$B$3</f>
      </c>
      <c r="C5" s="23" t="str">
        <f>CONCATENATE("Pool A-1st ",'Pool Matches'!G34)</f>
      </c>
    </row>
    <row r="6">
      <c r="A6" s="26" t="str">
        <f>data!$D$4&amp;" "&amp;data!$B$4</f>
      </c>
      <c r="D6" s="22"/>
      <c r="E6" s="21">
        <v>1</v>
      </c>
    </row>
    <row r="7">
      <c r="A7" s="27" t="str">
        <f>data!$D$5&amp;" "&amp;data!$B$5</f>
      </c>
      <c r="C7" s="23" t="str">
        <f>CONCATENATE("Pool B-2nd ",'Pool Matches'!G72)</f>
      </c>
      <c r="D7" s="15"/>
      <c r="E7" s="20"/>
      <c r="F7" s="22"/>
      <c r="G7" s="20"/>
    </row>
    <row r="8">
      <c r="A8" s="22"/>
      <c r="G8" s="21">
        <v>3</v>
      </c>
    </row>
    <row r="9">
      <c r="A9" s="24" t="str">
        <f>'data'!$A$8</f>
      </c>
      <c r="C9" s="23" t="str">
        <f>CONCATENATE("Pool B-1st ",'Pool Matches'!G71)</f>
      </c>
      <c r="G9" s="20"/>
    </row>
    <row r="10">
      <c r="A10" s="25" t="str">
        <f>data!$D$6&amp;" "&amp;data!$B$6</f>
      </c>
      <c r="D10" s="22"/>
      <c r="E10" s="21">
        <v>2</v>
      </c>
      <c r="F10" s="15"/>
      <c r="G10" s="20"/>
    </row>
    <row r="11">
      <c r="A11" s="26" t="str">
        <f>data!$D$7&amp;" "&amp;data!$B$7</f>
      </c>
      <c r="C11" s="23" t="str">
        <f>CONCATENATE("Pool A-2nd ",'Pool Matches'!G35)</f>
      </c>
      <c r="D11" s="15"/>
      <c r="E11" s="20"/>
    </row>
    <row r="12">
      <c r="A12" s="27" t="str">
        <f>data!$D$8&amp;" "&amp;data!$B$8</f>
      </c>
    </row>
    <row r="13">
      <c r="A1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G1"/>
  </mergeCells>
  <printOptions horizontalCentered="true" verticalCentered="true"/>
  <pageSetup fitToHeight="0" fitToWidth="1" orientation="portrait" paperSize="9"/>
</worksheet>
</file>

<file path=xl/worksheets/sheet9.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'data'!$D$3</f>
      </c>
      <c r="B1" s="29" t="str">
        <f>'data'!$B$3</f>
      </c>
    </row>
    <row r="2" ht="270" customHeight="true">
      <c r="A2" s="28" t="str">
        <f>'data'!$D$4</f>
      </c>
      <c r="B2" s="29" t="str">
        <f>'data'!$B$4</f>
      </c>
    </row>
    <row r="3" ht="270" customHeight="true">
      <c r="A3" s="28" t="str">
        <f>'data'!$D$5</f>
      </c>
      <c r="B3" s="29" t="str">
        <f>'data'!$B$5</f>
      </c>
    </row>
    <row r="4" ht="270" customHeight="true">
      <c r="A4" s="28" t="str">
        <f>'data'!$D$6</f>
      </c>
      <c r="B4" s="29" t="str">
        <f>'data'!$B$6</f>
      </c>
    </row>
    <row r="5" ht="270" customHeight="true">
      <c r="A5" s="28" t="str">
        <f>'data'!$D$7</f>
      </c>
      <c r="B5" s="29" t="str">
        <f>'data'!$B$7</f>
      </c>
    </row>
    <row r="6" ht="270" customHeight="true">
      <c r="A6" s="28" t="str">
        <f>'data'!$D$8</f>
      </c>
      <c r="B6" s="29" t="str">
        <f>'data'!$B$8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2" manualBreakCount="2">
    <brk id="3" max="16383" man="true"/>
    <brk id="6" max="16383" man="true"/>
  </rowBreaks>
  <colBreaks/>
</worksheet>
</file>

<file path=xl/worksheets/sheet10.xml><?xml version="1.0" encoding="utf-8"?>
<worksheet xmlns="http://schemas.openxmlformats.org/spreadsheetml/2006/main">
  <dimension ref="A1"/>
  <sheetViews>
    <sheetView tabSelected="true" workbookViewId="0"/>
  </sheetViews>
  <cols>
    <col customWidth="true" max="1" min="1" width="88"/>
  </cols>
  <sheetData>
    <row r="1" ht="409" customHeight="true">
      <c r="A1" s="30" t="s">
        <v>19</v>
      </c>
    </row>
    <row r="2" ht="409" customHeight="true">
      <c r="A2" s="30" t="s">
        <v>19</v>
      </c>
    </row>
    <row r="3" ht="409" customHeight="true">
      <c r="A3" s="30" t="s">
        <v>22</v>
      </c>
    </row>
    <row r="4" ht="409" customHeight="true">
      <c r="A4" s="30" t="s">
        <v>22</v>
      </c>
    </row>
    <row r="5" ht="409" customHeight="true">
      <c r="A5" s="30" t="s">
        <v>25</v>
      </c>
    </row>
    <row r="6" ht="409" customHeight="true">
      <c r="A6" s="30" t="s">
        <v>25</v>
      </c>
    </row>
    <row r="7" ht="409" customHeight="true">
      <c r="A7" s="30" t="s">
        <v>29</v>
      </c>
    </row>
    <row r="8" ht="409" customHeight="true">
      <c r="A8" s="30" t="s">
        <v>29</v>
      </c>
    </row>
    <row r="9" ht="409" customHeight="true">
      <c r="A9" s="30" t="s">
        <v>32</v>
      </c>
    </row>
    <row r="10" ht="409" customHeight="true">
      <c r="A10" s="30" t="s">
        <v>32</v>
      </c>
    </row>
    <row r="11" ht="409" customHeight="true">
      <c r="A11" s="30" t="s">
        <v>35</v>
      </c>
    </row>
    <row r="12" ht="409" customHeight="true">
      <c r="A12" s="30" t="s">
        <v>35</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6" manualBreakCount="6">
    <brk id="2" max="16383" man="true"/>
    <brk id="4" max="16383" man="true"/>
    <brk id="6" max="16383" man="true"/>
    <brk id="8" max="16383" man="true"/>
    <brk id="10" max="16383" man="true"/>
    <brk id="12"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