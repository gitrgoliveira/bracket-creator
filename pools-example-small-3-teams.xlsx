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7"/>
  </bookViews>
  <sheets>
    <sheet name="data" sheetId="1" r:id="rId1"/>
    <sheet name="Time Estimator" sheetId="2" r:id="rId4"/>
    <sheet name="Pool Draw" sheetId="3" r:id="rId5"/>
    <sheet name="Pool Matches" sheetId="4" r:id="rId6"/>
    <sheet name="Elimination Matches" sheetId="5" r:id="rId7"/>
    <sheet name="Tree 1" sheetId="8" r:id="rId11"/>
    <sheet name="Names to Print A" sheetId="9" r:id="rId12"/>
    <sheet name="Tags" sheetId="10" r:id="rId13"/>
  </sheets>
  <definedNames>
    <definedName localSheetId="2" name="_xlnm.Print_Area">'Pool Draw'!$B$2:$F$11</definedName>
    <definedName localSheetId="3" name="_xlnm.Print_Area">'Pool Matches'!$A$1:$H$38</definedName>
    <definedName localSheetId="5" name="_xlnm.Print_Area">'Tree 1'!$A$1:$E$8</definedName>
    <definedName localSheetId="6" name="_xlnm.Print_Area">'Names to Print A'!$A$1:$B$3</definedName>
    <definedName localSheetId="7" name="_xlnm.Print_Area">'Tags'!$A$1:$A$6</definedName>
    <definedName localSheetId="4" name="_xlnm.Print_Area">'Elimination Matches'!$A$1:$H$20</definedName>
  </definedNames>
  <calcPr calcId="122211"/>
</workbook>
</file>

<file path=xl/sharedStrings.xml><?xml version="1.0" encoding="utf-8"?>
<sst xmlns="http://schemas.openxmlformats.org/spreadsheetml/2006/main" count="53" uniqueCount="53">
  <si>
    <t>Number of pools</t>
  </si>
  <si>
    <t>Team size</t>
  </si>
  <si>
    <t>Matches per pool</t>
  </si>
  <si>
    <t>Time per match</t>
  </si>
  <si>
    <t>Total time for matches</t>
  </si>
  <si>
    <t>Padding time for rotation</t>
  </si>
  <si>
    <t>Time for breaks</t>
  </si>
  <si>
    <t>Total Time</t>
  </si>
  <si>
    <t>Number of Elimination Matches</t>
  </si>
  <si>
    <t>Title prefix:</t>
  </si>
  <si>
    <t/>
  </si>
  <si>
    <t>Pool</t>
  </si>
  <si>
    <t>Player Name</t>
  </si>
  <si>
    <t>Player Dojo</t>
  </si>
  <si>
    <t>Player Number</t>
  </si>
  <si>
    <t>Metadata</t>
  </si>
  <si>
    <t>Pool A</t>
  </si>
  <si>
    <t>Team Alpha</t>
  </si>
  <si>
    <t>Sakura Dojo</t>
  </si>
  <si>
    <t>K1</t>
  </si>
  <si>
    <t>Team Bravo</t>
  </si>
  <si>
    <t>Tora Dojo</t>
  </si>
  <si>
    <t>K2</t>
  </si>
  <si>
    <t>Team Charlie</t>
  </si>
  <si>
    <t>Kaze Dojo</t>
  </si>
  <si>
    <t>K3</t>
  </si>
  <si>
    <t>Shiaijo A</t>
  </si>
  <si>
    <t>White</t>
  </si>
  <si>
    <t>vs</t>
  </si>
  <si>
    <t>Red</t>
  </si>
  <si>
    <t>Team Results</t>
  </si>
  <si>
    <t>W</t>
  </si>
  <si>
    <t>L</t>
  </si>
  <si>
    <t>T</t>
  </si>
  <si>
    <t>Rank</t>
  </si>
  <si>
    <t>IV</t>
  </si>
  <si>
    <t>IL</t>
  </si>
  <si>
    <t>IT</t>
  </si>
  <si>
    <t>PW</t>
  </si>
  <si>
    <t>PL</t>
  </si>
  <si>
    <t>Ranking</t>
  </si>
  <si>
    <t>1.</t>
  </si>
  <si>
    <t>2.</t>
  </si>
  <si>
    <t>3.</t>
  </si>
  <si>
    <t>Round 1 - Match 1</t>
  </si>
  <si>
    <t>Victories / Points</t>
  </si>
  <si>
    <t>Tournament Summary</t>
  </si>
  <si>
    <t>Total Pool Time</t>
  </si>
  <si>
    <t>Total Elimination Time</t>
  </si>
  <si>
    <t>Grand Total (Sequential)</t>
  </si>
  <si>
    <t>Grand Total (Parallel across Courts)</t>
  </si>
  <si>
    <t>Start Time:</t>
  </si>
  <si>
    <t>Estimated Finish Time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</si>
</sst>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F400]h:mm:ss\ AM/PM"/>
    <numFmt numFmtId="165" formatCode="[h]:mm:ss"/>
  </numFmts>
  <fonts count="13">
    <font>
      <sz val="11"/>
      <color theme="1"/>
      <name val="Calibri"/>
      <family val="2"/>
    </font>
    <font>
      <b val="1"/>
      <sz val="12"/>
      <color rgb="FF000000"/>
      <name val="Calibri"/>
      <family val="2"/>
    </font>
    <font>
      <sz val="12"/>
      <color rgb="FF000000"/>
      <name val="Calibri"/>
      <family val="2"/>
    </font>
    <font>
      <b val="1"/>
      <u val="single"/>
      <sz val="16"/>
      <color/>
      <name val="Calibri"/>
      <family val="2"/>
    </font>
    <font>
      <b val="1"/>
      <u val="single"/>
      <sz val="12"/>
      <color/>
      <name val="Calibri"/>
      <family val="2"/>
    </font>
    <font>
      <sz val="12"/>
      <color/>
      <name val="Calibri"/>
      <family val="2"/>
    </font>
    <font>
      <b val="1"/>
      <sz val="28"/>
      <color rgb="FF000000"/>
      <name val="Calibri"/>
      <family val="2"/>
    </font>
    <font>
      <b val="1"/>
      <sz val="72"/>
      <color rgb="FF000000"/>
      <name val="Calibri"/>
      <family val="2"/>
    </font>
    <font>
      <b val="1"/>
      <i val="1"/>
      <sz val="12"/>
      <color/>
      <name val="Calibri"/>
      <family val="2"/>
    </font>
    <font>
      <b val="1"/>
      <sz val="12"/>
      <color rgb="FFFFFFFF"/>
      <name val="Calibri"/>
      <family val="2"/>
    </font>
    <font>
      <b val="1"/>
      <sz val="100"/>
      <color rgb="FF000000"/>
      <name val="Calibri"/>
      <family val="2"/>
    </font>
    <font>
      <sz val="110"/>
      <color rgb="FF000000"/>
      <name val="Calibri"/>
      <family val="2"/>
    </font>
    <font>
      <b val="1"/>
      <sz val="250"/>
      <color/>
      <name val="Calibri"/>
      <family val="2"/>
    </font>
  </fonts>
  <fills count="6">
    <fill>
      <patternFill patternType="none"/>
    </fill>
    <fill>
      <patternFill patternType="gray125"/>
    </fill>
    <fill>
      <patternFill patternType="solid">
        <fgColor rgb="FFC0C0C0"/>
      </patternFill>
    </fill>
    <fill>
      <patternFill patternType="solid">
        <fgColor rgb="FFEFEFEF"/>
      </patternFill>
    </fill>
    <fill>
      <patternFill patternType="solid">
        <fgColor rgb="FFFF0000"/>
      </patternFill>
    </fill>
    <fill>
      <patternFill patternType="solid">
        <fgColor rgb="FFFFFFFF"/>
      </patternFill>
    </fill>
  </fills>
  <borders count="10">
    <border>
      <left/>
      <right/>
      <top/>
      <bottom/>
      <diagonal/>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bottom style="medium">
        <color rgb="FF000000"/>
      </bottom>
    </border>
    <border>
      <left style="medium">
        <color rgb="FF000000"/>
      </left>
    </border>
    <border>
      <left style="medium">
        <color rgb="FF000000"/>
      </left>
      <bottom style="medium">
        <color rgb="FF000000"/>
      </bottom>
    </border>
    <border>
      <top style="medium">
        <color rgb="FF000000"/>
      </top>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s>
  <cellStyleXfs count="1">
    <xf numFmtId="0" fontId="0" fillId="0" borderId="0"/>
  </cellStyleXfs>
  <cellXfs count="34">
    <xf numFmtId="0" fontId="0" fillId="0" borderId="0" xfId="0"/>
    <xf numFmtId="0" fontId="1" fillId="0" borderId="0" xfId="0" applyFont="true" applyAlignment="true">
      <alignment horizontal="center" vertical="center" wrapText="true"/>
    </xf>
    <xf numFmtId="0" fontId="2" fillId="0" borderId="0" xfId="0" applyFont="true" applyAlignment="true">
      <alignment vertical="center" wrapText="true"/>
    </xf>
    <xf numFmtId="164" fontId="2" fillId="0" borderId="0" xfId="0" applyNumberFormat="true" applyFont="true" applyAlignment="true">
      <alignment vertical="center" wrapText="true"/>
    </xf>
    <xf numFmtId="0" fontId="2" fillId="0" borderId="0" xfId="0" applyFont="true" applyAlignment="true">
      <alignment horizontal="center" vertical="center" wrapText="true"/>
    </xf>
    <xf numFmtId="0" fontId="3" fillId="0" borderId="0" xfId="0" applyFont="true" applyAlignment="true">
      <alignment horizontal="center"/>
    </xf>
    <xf numFmtId="0" fontId="3" fillId="0" borderId="0" xfId="0" applyFont="true" applyAlignment="false">
      <alignment/>
    </xf>
    <xf numFmtId="0" fontId="4" fillId="0" borderId="0" xfId="0" applyFont="true" applyAlignment="true">
      <alignment horizontal="center"/>
    </xf>
    <xf numFmtId="0" fontId="5" fillId="0" borderId="0" xfId="0" applyFont="true" applyAlignment="false">
      <alignment/>
    </xf>
    <xf numFmtId="0" fontId="6" fillId="0" borderId="0" xfId="0" applyFont="true" applyAlignment="true">
      <alignment horizontal="center" vertical="center"/>
    </xf>
    <xf numFmtId="0" fontId="7" fillId="0" borderId="0" xfId="0" applyFont="true" applyAlignment="true">
      <alignment horizontal="center" vertical="center"/>
    </xf>
    <xf numFmtId="0" fontId="8" fillId="2" borderId="1" xfId="0" applyFont="true" applyFill="true" applyBorder="true" applyAlignment="true">
      <alignment horizontal="right"/>
    </xf>
    <xf numFmtId="0" fontId="5" fillId="0" borderId="1" xfId="0" applyFont="true" applyBorder="true" applyAlignment="false">
      <alignment/>
    </xf>
    <xf numFmtId="0" fontId="1" fillId="0" borderId="1" xfId="0" applyFont="true" applyBorder="true" applyAlignment="true">
      <alignment horizontal="center" vertical="center"/>
    </xf>
    <xf numFmtId="0" fontId="2" fillId="3" borderId="2" xfId="0" applyFont="true" applyFill="true" applyBorder="true" applyAlignment="true">
      <alignment horizontal="center"/>
    </xf>
    <xf numFmtId="0" fontId="0" fillId="0" borderId="3" xfId="0" applyBorder="true" applyAlignment="false">
      <alignment/>
    </xf>
    <xf numFmtId="0" fontId="9" fillId="4" borderId="2" xfId="0" applyFont="true" applyFill="true" applyBorder="true" applyAlignment="true">
      <alignment horizontal="center"/>
    </xf>
    <xf numFmtId="0" fontId="1" fillId="5" borderId="2" xfId="0" applyFont="true" applyFill="true" applyBorder="true" applyAlignment="true">
      <alignment horizontal="center"/>
    </xf>
    <xf numFmtId="0" fontId="2" fillId="0" borderId="2" xfId="0" applyFont="true" applyBorder="true" applyAlignment="true" applyProtection="true">
      <alignment horizontal="center"/>
      <protection hidden="false" locked="false"/>
    </xf>
    <xf numFmtId="0" fontId="0" fillId="0" borderId="3" xfId="0" applyBorder="true" applyAlignment="false" applyProtection="true">
      <alignment/>
      <protection hidden="false" locked="false"/>
    </xf>
    <xf numFmtId="0" fontId="0" fillId="0" borderId="4" xfId="0" applyBorder="true" applyAlignment="false">
      <alignment/>
    </xf>
    <xf numFmtId="0" fontId="2" fillId="0" borderId="5" xfId="0" applyFont="true" applyBorder="true" applyAlignment="true">
      <alignment horizontal="left"/>
    </xf>
    <xf numFmtId="0" fontId="0" fillId="0" borderId="6" xfId="0" applyBorder="true" applyAlignment="false">
      <alignment/>
    </xf>
    <xf numFmtId="0" fontId="1" fillId="0" borderId="3" xfId="0" applyFont="true" applyBorder="true" applyAlignment="true">
      <alignment horizontal="right" vertical="center"/>
    </xf>
    <xf numFmtId="0" fontId="1" fillId="3" borderId="0" xfId="0" applyFont="true" applyFill="true" applyAlignment="false">
      <alignment/>
    </xf>
    <xf numFmtId="0" fontId="2" fillId="0" borderId="7" xfId="0" applyFont="true" applyBorder="true" applyAlignment="false">
      <alignment/>
    </xf>
    <xf numFmtId="0" fontId="2" fillId="0" borderId="8" xfId="0" applyFont="true" applyBorder="true" applyAlignment="false">
      <alignment/>
    </xf>
    <xf numFmtId="0" fontId="2" fillId="0" borderId="9" xfId="0" applyFont="true" applyBorder="true" applyAlignment="false">
      <alignment/>
    </xf>
    <xf numFmtId="0" fontId="10" fillId="0" borderId="1" xfId="0" applyFont="true" applyBorder="true" applyAlignment="true">
      <alignment horizontal="center" shrinkToFit="true" vertical="center"/>
    </xf>
    <xf numFmtId="0" fontId="11" fillId="0" borderId="1" xfId="0" applyFont="true" applyBorder="true" applyAlignment="true">
      <alignment horizontal="center" shrinkToFit="true" vertical="center"/>
    </xf>
    <xf numFmtId="0" fontId="12" fillId="0" borderId="0" xfId="0" applyFont="true" applyAlignment="true">
      <alignment horizontal="center" shrinkToFit="true" vertical="top"/>
    </xf>
    <xf numFmtId="165" fontId="2" fillId="0" borderId="2" xfId="0" applyNumberFormat="true" applyFont="true" applyBorder="true" applyAlignment="true">
      <alignment horizontal="center"/>
    </xf>
    <xf numFmtId="0" fontId="2" fillId="0" borderId="2" xfId="0" applyFont="true" applyBorder="true" applyAlignment="true">
      <alignment horizontal="center"/>
    </xf>
    <xf numFmtId="20" fontId="2" fillId="0" borderId="2" xfId="0" applyNumberFormat="true" applyFont="true" applyBorder="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 Id="rId10" Target="/xl/sharedStrings.xml" Type="http://schemas.openxmlformats.org/officeDocument/2006/relationships/sharedStrings"></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workbookViewId="0"/>
  </sheetViews>
  <sheetFormatPr defaultRowHeight="15"/>
  <cols>
    <col customWidth="true" max="1" min="1" width="9"/>
    <col customWidth="true" max="3" min="2" width="20"/>
    <col customWidth="true" max="26" min="4" width="12"/>
  </cols>
  <sheetData>
    <row r="1">
      <c r="A1" t="s">
        <v>9</v>
      </c>
      <c r="B1" t="s">
        <v>10</v>
      </c>
    </row>
    <row r="2">
      <c r="A2" t="s">
        <v>11</v>
      </c>
      <c r="B2" t="s">
        <v>12</v>
      </c>
      <c r="C2" t="s">
        <v>13</v>
      </c>
      <c r="D2" t="s">
        <v>14</v>
      </c>
      <c r="E2" t="s">
        <v>15</v>
      </c>
    </row>
    <row r="3">
      <c r="A3" t="s">
        <v>16</v>
      </c>
      <c r="B3" t="s">
        <v>17</v>
      </c>
      <c r="C3" t="s">
        <v>18</v>
      </c>
      <c r="D3" t="s">
        <v>19</v>
      </c>
    </row>
    <row r="4">
      <c r="A4" t="s">
        <v>16</v>
      </c>
      <c r="B4" t="s">
        <v>20</v>
      </c>
      <c r="C4" t="s">
        <v>21</v>
      </c>
      <c r="D4" t="s">
        <v>22</v>
      </c>
    </row>
    <row r="5">
      <c r="A5" t="s">
        <v>16</v>
      </c>
      <c r="B5" t="s">
        <v>23</v>
      </c>
      <c r="C5" t="s">
        <v>24</v>
      </c>
      <c r="D5" t="s">
        <v>25</v>
      </c>
    </row>
  </sheetData>
  <printOptions horizontalCentered="true" verticalCentered="true"/>
  <pageSetup fitToHeight="0" fitToWidth="1" orientation="portrait" paperSize="9"/>
</worksheet>
</file>

<file path=xl/worksheets/sheet2.xml><?xml version="1.0" encoding="utf-8"?>
<worksheet xmlns="http://schemas.openxmlformats.org/spreadsheetml/2006/main">
  <dimension ref="A1"/>
  <sheetViews>
    <sheetView workbookViewId="0"/>
  </sheetViews>
  <cols>
    <col customWidth="true" max="1" min="1" width="21.83"/>
    <col customWidth="true" max="3" min="2" width="10"/>
    <col customWidth="true" max="4" min="4" width="14.66"/>
    <col customWidth="true" max="5" min="5" width="17"/>
    <col customWidth="true" max="7" min="6" width="13.16"/>
    <col customWidth="true" max="8" min="8" width="10"/>
  </cols>
  <sheetData>
    <row r="1" ht="51" customHeight="true">
      <c r="A1" s="1" t="s">
        <v>0</v>
      </c>
      <c r="B1" s="1" t="s">
        <v>1</v>
      </c>
      <c r="C1" s="1" t="s">
        <v>2</v>
      </c>
      <c r="D1" s="1" t="s">
        <v>3</v>
      </c>
      <c r="E1" s="1" t="s">
        <v>4</v>
      </c>
      <c r="F1" s="1" t="s">
        <v>5</v>
      </c>
      <c r="G1" s="1" t="s">
        <v>6</v>
      </c>
      <c r="H1" s="1" t="s">
        <v>7</v>
      </c>
    </row>
    <row r="2" ht="16" customHeight="true">
      <c r="A2" s="2">
        <v>1</v>
      </c>
      <c r="B2" s="2">
        <v>3</v>
      </c>
      <c r="C2" s="2">
        <v>3</v>
      </c>
      <c r="D2" s="3">
        <v>0.00208333333333333</v>
      </c>
      <c r="E2" s="3" t="str">
        <f>(A2*B2*C2*D2)</f>
      </c>
      <c r="F2" s="3">
        <v>0.000347222222222222</v>
      </c>
      <c r="G2" s="3">
        <v>0.0208333333333333</v>
      </c>
      <c r="H2" s="31" t="str">
        <f>C2*I2+J2</f>
      </c>
    </row>
    <row r="3" ht="16" customHeight="true">
      <c r="A3" s="2">
        <v>0</v>
      </c>
      <c r="B3" s="2">
        <v>0</v>
      </c>
      <c r="C3" s="2">
        <v>0</v>
      </c>
      <c r="D3" s="3">
        <v>0.00208333333333333</v>
      </c>
      <c r="E3" s="3" t="str">
        <f>(A3*B3*C3*D3)</f>
      </c>
      <c r="F3" s="3">
        <v>0.000347222222222222</v>
      </c>
      <c r="G3" s="3">
        <v>0.0208333333333333</v>
      </c>
      <c r="H3" s="3" t="str">
        <f>E3+(A3*C3*F3)+G3</f>
      </c>
    </row>
    <row r="4" ht="16" customHeight="true">
      <c r="A4" s="4"/>
      <c r="B4" s="4"/>
      <c r="C4" s="4"/>
      <c r="D4" s="4"/>
      <c r="E4" s="4"/>
      <c r="F4" s="4"/>
      <c r="G4" s="4"/>
      <c r="H4" s="4"/>
    </row>
    <row r="5" ht="16" customHeight="true">
      <c r="A5" s="4"/>
      <c r="B5" s="4"/>
      <c r="C5" s="4"/>
      <c r="D5" s="4"/>
      <c r="E5" s="4"/>
      <c r="F5" s="4"/>
      <c r="G5" s="4"/>
      <c r="H5" s="4"/>
    </row>
    <row r="6" ht="16" customHeight="true">
      <c r="A6" s="4"/>
      <c r="B6" s="4"/>
      <c r="C6" s="4"/>
      <c r="D6" s="4"/>
      <c r="E6" s="4"/>
      <c r="F6" s="4"/>
      <c r="G6" s="4"/>
      <c r="H6" s="4"/>
    </row>
    <row r="7" ht="51" customHeight="true">
      <c r="A7" s="1" t="s">
        <v>8</v>
      </c>
      <c r="B7" s="1" t="s">
        <v>1</v>
      </c>
      <c r="C7" s="1"/>
      <c r="D7" s="1" t="s">
        <v>3</v>
      </c>
      <c r="E7" s="1" t="s">
        <v>4</v>
      </c>
      <c r="F7" s="1" t="s">
        <v>5</v>
      </c>
      <c r="G7" s="1" t="s">
        <v>6</v>
      </c>
      <c r="H7" s="1" t="s">
        <v>7</v>
      </c>
    </row>
    <row r="8" ht="16" customHeight="true">
      <c r="A8" s="2">
        <v>1</v>
      </c>
      <c r="B8" s="2">
        <v>3</v>
      </c>
      <c r="C8" s="2"/>
      <c r="D8" s="3">
        <v>0.00277777777777777</v>
      </c>
      <c r="E8" s="3" t="str">
        <f>(A8*B8*D8)</f>
      </c>
      <c r="F8" s="3">
        <v>0.000347222222222222</v>
      </c>
      <c r="G8" s="3">
        <v>0.0208333333333333</v>
      </c>
      <c r="H8" s="31" t="str">
        <f>E8+(A8*F8)+G8</f>
      </c>
    </row>
    <row r="9" ht="16" customHeight="true">
      <c r="A9" s="4"/>
      <c r="B9" s="4"/>
      <c r="C9" s="4"/>
      <c r="D9" s="4"/>
      <c r="E9" s="4"/>
      <c r="F9" s="4"/>
      <c r="G9" s="4"/>
      <c r="H9" s="4"/>
    </row>
    <row r="10" ht="16" customHeight="true">
      <c r="A10" s="4"/>
      <c r="B10" s="4"/>
      <c r="C10" s="4"/>
      <c r="D10" s="4"/>
      <c r="E10" s="4"/>
      <c r="F10" s="4"/>
      <c r="G10" s="4"/>
      <c r="H10" s="4"/>
    </row>
    <row r="11" ht="16" customHeight="true">
      <c r="A11" s="4"/>
      <c r="B11" s="4"/>
      <c r="C11" s="4"/>
      <c r="D11" s="4"/>
      <c r="E11" s="4"/>
      <c r="F11" s="4"/>
      <c r="G11" s="4"/>
      <c r="H11" s="4"/>
    </row>
    <row r="13">
      <c r="E13" s="13" t="s">
        <v>46</v>
      </c>
      <c r="F13" s="13"/>
      <c r="G13" s="13"/>
      <c r="H13" s="13"/>
    </row>
    <row r="14">
      <c r="A14">
        <v>1</v>
      </c>
      <c r="E14" s="32" t="s">
        <v>47</v>
      </c>
      <c r="F14" s="32"/>
      <c r="G14" s="32"/>
      <c r="H14" s="31" t="str">
        <f>H2</f>
      </c>
    </row>
    <row r="15">
      <c r="E15" s="32" t="s">
        <v>48</v>
      </c>
      <c r="F15" s="32"/>
      <c r="G15" s="32"/>
      <c r="H15" s="31" t="str">
        <f>H8</f>
      </c>
    </row>
    <row r="16">
      <c r="E16" s="32" t="s">
        <v>49</v>
      </c>
      <c r="F16" s="32"/>
      <c r="G16" s="32"/>
      <c r="H16" s="31" t="str">
        <f>H14+H15</f>
      </c>
    </row>
    <row r="17">
      <c r="E17" s="32" t="s">
        <v>50</v>
      </c>
      <c r="F17" s="32"/>
      <c r="G17" s="32"/>
      <c r="H17" s="31" t="str">
        <f>H16/A14</f>
      </c>
    </row>
    <row r="18">
      <c r="E18" s="13" t="s">
        <v>51</v>
      </c>
      <c r="F18" s="13"/>
      <c r="G18" s="13"/>
      <c r="H18" s="33">
        <v>0.375</v>
      </c>
    </row>
    <row r="19">
      <c r="E19" s="13" t="s">
        <v>52</v>
      </c>
      <c r="F19" s="13"/>
      <c r="G19" s="13"/>
      <c r="H19" s="33" t="str">
        <f>H18+H17</f>
      </c>
    </row>
  </sheetData>
  <mergeCells count="1">
    <mergeCell ref="E13:H13"/>
  </mergeCells>
</worksheet>
</file>

<file path=xl/worksheets/sheet3.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8.83"/>
    <col customWidth="true" max="2" min="2" width="30"/>
    <col customWidth="true" max="3" min="3" width="8.83"/>
    <col customWidth="true" max="5" min="5" width="8.83"/>
    <col customWidth="true" max="7" min="7" width="8.83"/>
  </cols>
  <sheetData>
    <row r="1" ht="17" customHeight="true"/>
    <row r="2" ht="20" customHeight="true">
      <c r="A2" s="6"/>
      <c r="B2" s="5" t="str">
        <f>IF(data!$B$1="","Tournament Pools",data!$B$1&amp;" - Tournament Pools")</f>
      </c>
      <c r="G2" s="6"/>
    </row>
    <row r="3" ht="17" customHeight="true">
      <c r="A3" s="7"/>
      <c r="B3" s="7"/>
      <c r="C3" s="7"/>
      <c r="D3" s="7"/>
      <c r="E3" s="7"/>
      <c r="F3" s="7"/>
      <c r="G3" s="7"/>
      <c r="H3" s="7"/>
    </row>
    <row r="4" ht="17" customHeight="true">
      <c r="A4" s="8"/>
      <c r="B4" s="8"/>
      <c r="C4" s="8"/>
      <c r="D4" s="8"/>
      <c r="E4" s="8"/>
      <c r="F4" s="8"/>
      <c r="G4" s="8"/>
      <c r="H4" s="8"/>
    </row>
    <row r="5" ht="17" customHeight="true">
      <c r="B5" s="11" t="str">
        <f>'data'!$A$5</f>
      </c>
    </row>
    <row r="6" ht="17" customHeight="true">
      <c r="B6" s="12" t="str">
        <f>data!$D$3&amp;" "&amp;data!$B$3</f>
      </c>
    </row>
    <row r="7" ht="17" customHeight="true">
      <c r="B7" s="12" t="str">
        <f>data!$D$4&amp;" "&amp;data!$B$4</f>
      </c>
    </row>
    <row r="8">
      <c r="B8" s="12" t="str">
        <f>data!$D$5&amp;" "&amp;data!$B$5</f>
      </c>
    </row>
  </sheetData>
  <mergeCells count="1">
    <mergeCell ref="B2:F2"/>
  </mergeCells>
  <printOptions horizontalCentered="true" verticalCentered="true"/>
  <pageSetup fitToHeight="0" fitToWidth="1" orientation="portrait" paperSize="9"/>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4.83"/>
    <col customWidth="true" max="14" min="10" width="3.83"/>
    <col customWidth="true" max="15" min="15" width="34.83"/>
    <col customWidth="true" max="20" min="16" width="10.83"/>
    <col customWidth="true" hidden="true" max="21" min="21" width="9.140625"/>
  </cols>
  <sheetData>
    <row r="1">
      <c r="A1" s="13" t="s">
        <v>26</v>
      </c>
      <c r="B1" s="13"/>
      <c r="C1" s="13"/>
      <c r="D1" s="13"/>
      <c r="E1" s="13"/>
      <c r="F1" s="13"/>
      <c r="G1" s="13"/>
    </row>
    <row r="2">
      <c r="A2" s="13" t="str">
        <f>'data'!$A$5</f>
      </c>
      <c r="B2" s="13"/>
      <c r="C2" s="13"/>
      <c r="D2" s="13"/>
      <c r="E2" s="13"/>
      <c r="F2" s="13"/>
      <c r="G2" s="13"/>
    </row>
    <row r="3">
      <c r="A3" s="17" t="s">
        <v>27</v>
      </c>
      <c r="B3" s="14"/>
      <c r="C3" s="14"/>
      <c r="D3" s="14" t="s">
        <v>28</v>
      </c>
      <c r="E3" s="14"/>
      <c r="F3" s="14"/>
      <c r="G3" s="16" t="s">
        <v>29</v>
      </c>
    </row>
    <row r="4">
      <c r="A4" s="14" t="str">
        <f>data!$D$4&amp;" "&amp;data!$B$4</f>
      </c>
      <c r="B4" s="14" t="str">
        <f>IF(UPPER(D5)="X",0,IF((LEN(SUBSTITUTE(SUBSTITUTE(SUBSTITUTE(B5," ",""),"0",""),"-",""))+LEN(SUBSTITUTE(SUBSTITUTE(SUBSTITUTE(C5," ",""),"0",""),"-","")))&gt;(LEN(SUBSTITUTE(SUBSTITUTE(SUBSTITUTE(E5," ",""),"0",""),"-",""))+LEN(SUBSTITUTE(SUBSTITUTE(SUBSTITUTE(F5," ",""),"0",""),"-",""))),1,0))+IF(UPPER(D6)="X",0,IF((LEN(SUBSTITUTE(SUBSTITUTE(SUBSTITUTE(B6," ",""),"0",""),"-",""))+LEN(SUBSTITUTE(SUBSTITUTE(SUBSTITUTE(C6," ",""),"0",""),"-","")))&gt;(LEN(SUBSTITUTE(SUBSTITUTE(SUBSTITUTE(E6," ",""),"0",""),"-",""))+LEN(SUBSTITUTE(SUBSTITUTE(SUBSTITUTE(F6," ",""),"0",""),"-",""))),1,0))+IF(UPPER(D7)="X",0,IF((LEN(SUBSTITUTE(SUBSTITUTE(SUBSTITUTE(B7," ",""),"0",""),"-",""))+LEN(SUBSTITUTE(SUBSTITUTE(SUBSTITUTE(C7," ",""),"0",""),"-","")))&gt;(LEN(SUBSTITUTE(SUBSTITUTE(SUBSTITUTE(E7," ",""),"0",""),"-",""))+LEN(SUBSTITUTE(SUBSTITUTE(SUBSTITUTE(F7," ",""),"0",""),"-",""))),1,0))</f>
      </c>
      <c r="C4" s="14" t="str">
        <f>LEN(SUBSTITUTE(SUBSTITUTE(SUBSTITUTE(B5," ",""),"0",""),"-",""))+LEN(SUBSTITUTE(SUBSTITUTE(SUBSTITUTE(C5," ",""),"0",""),"-",""))+LEN(SUBSTITUTE(SUBSTITUTE(SUBSTITUTE(B6," ",""),"0",""),"-",""))+LEN(SUBSTITUTE(SUBSTITUTE(SUBSTITUTE(C6," ",""),"0",""),"-",""))+LEN(SUBSTITUTE(SUBSTITUTE(SUBSTITUTE(B7," ",""),"0",""),"-",""))+LEN(SUBSTITUTE(SUBSTITUTE(SUBSTITUTE(C7," ",""),"0",""),"-",""))</f>
      </c>
      <c r="D4" s="18"/>
      <c r="E4" s="14" t="str">
        <f>LEN(SUBSTITUTE(SUBSTITUTE(SUBSTITUTE(E5," ",""),"0",""),"-",""))+LEN(SUBSTITUTE(SUBSTITUTE(SUBSTITUTE(F5," ",""),"0",""),"-",""))+LEN(SUBSTITUTE(SUBSTITUTE(SUBSTITUTE(E6," ",""),"0",""),"-",""))+LEN(SUBSTITUTE(SUBSTITUTE(SUBSTITUTE(F6," ",""),"0",""),"-",""))+LEN(SUBSTITUTE(SUBSTITUTE(SUBSTITUTE(E7," ",""),"0",""),"-",""))+LEN(SUBSTITUTE(SUBSTITUTE(SUBSTITUTE(F7," ",""),"0",""),"-",""))</f>
      </c>
      <c r="F4" s="14" t="str">
        <f>IF(UPPER(D5)="X",0,IF((LEN(SUBSTITUTE(SUBSTITUTE(SUBSTITUTE(E5," ",""),"0",""),"-",""))+LEN(SUBSTITUTE(SUBSTITUTE(SUBSTITUTE(F5," ",""),"0",""),"-","")))&gt;(LEN(SUBSTITUTE(SUBSTITUTE(SUBSTITUTE(B5," ",""),"0",""),"-",""))+LEN(SUBSTITUTE(SUBSTITUTE(SUBSTITUTE(C5," ",""),"0",""),"-",""))),1,0))+IF(UPPER(D6)="X",0,IF((LEN(SUBSTITUTE(SUBSTITUTE(SUBSTITUTE(E6," ",""),"0",""),"-",""))+LEN(SUBSTITUTE(SUBSTITUTE(SUBSTITUTE(F6," ",""),"0",""),"-","")))&gt;(LEN(SUBSTITUTE(SUBSTITUTE(SUBSTITUTE(B6," ",""),"0",""),"-",""))+LEN(SUBSTITUTE(SUBSTITUTE(SUBSTITUTE(C6," ",""),"0",""),"-",""))),1,0))+IF(UPPER(D7)="X",0,IF((LEN(SUBSTITUTE(SUBSTITUTE(SUBSTITUTE(E7," ",""),"0",""),"-",""))+LEN(SUBSTITUTE(SUBSTITUTE(SUBSTITUTE(F7," ",""),"0",""),"-","")))&gt;(LEN(SUBSTITUTE(SUBSTITUTE(SUBSTITUTE(B7," ",""),"0",""),"-",""))+LEN(SUBSTITUTE(SUBSTITUTE(SUBSTITUTE(C7," ",""),"0",""),"-",""))),1,0))</f>
      </c>
      <c r="G4" s="14" t="str">
        <f>data!$D$3&amp;" "&amp;data!$B$3</f>
      </c>
    </row>
    <row r="5">
      <c r="A5" s="14">
        <v>1</v>
      </c>
      <c r="B5" s="18"/>
      <c r="C5" s="18"/>
      <c r="D5" s="18"/>
      <c r="E5" s="18"/>
      <c r="F5" s="18"/>
      <c r="G5" s="14">
        <v>1</v>
      </c>
    </row>
    <row r="6">
      <c r="A6" s="14">
        <v>2</v>
      </c>
      <c r="B6" s="18"/>
      <c r="C6" s="18"/>
      <c r="D6" s="18"/>
      <c r="E6" s="18"/>
      <c r="F6" s="18"/>
      <c r="G6" s="14">
        <v>2</v>
      </c>
    </row>
    <row r="7">
      <c r="A7" s="14">
        <v>3</v>
      </c>
      <c r="B7" s="18"/>
      <c r="C7" s="18"/>
      <c r="D7" s="18"/>
      <c r="E7" s="18"/>
      <c r="F7" s="18"/>
      <c r="G7" s="14">
        <v>3</v>
      </c>
    </row>
    <row r="9">
      <c r="A9" s="17" t="s">
        <v>27</v>
      </c>
      <c r="B9" s="14"/>
      <c r="C9" s="14"/>
      <c r="D9" s="14" t="s">
        <v>28</v>
      </c>
      <c r="E9" s="14"/>
      <c r="F9" s="14"/>
      <c r="G9" s="16" t="s">
        <v>29</v>
      </c>
    </row>
    <row r="10">
      <c r="A10" s="14" t="str">
        <f>data!$D$5&amp;" "&amp;data!$B$5</f>
      </c>
      <c r="B10" s="14" t="str">
        <f>IF(UPPER(D11)="X",0,IF((LEN(SUBSTITUTE(SUBSTITUTE(SUBSTITUTE(B11," ",""),"0",""),"-",""))+LEN(SUBSTITUTE(SUBSTITUTE(SUBSTITUTE(C11," ",""),"0",""),"-","")))&gt;(LEN(SUBSTITUTE(SUBSTITUTE(SUBSTITUTE(E11," ",""),"0",""),"-",""))+LEN(SUBSTITUTE(SUBSTITUTE(SUBSTITUTE(F11," ",""),"0",""),"-",""))),1,0))+IF(UPPER(D12)="X",0,IF((LEN(SUBSTITUTE(SUBSTITUTE(SUBSTITUTE(B12," ",""),"0",""),"-",""))+LEN(SUBSTITUTE(SUBSTITUTE(SUBSTITUTE(C12," ",""),"0",""),"-","")))&gt;(LEN(SUBSTITUTE(SUBSTITUTE(SUBSTITUTE(E12," ",""),"0",""),"-",""))+LEN(SUBSTITUTE(SUBSTITUTE(SUBSTITUTE(F12," ",""),"0",""),"-",""))),1,0))+IF(UPPER(D13)="X",0,IF((LEN(SUBSTITUTE(SUBSTITUTE(SUBSTITUTE(B13," ",""),"0",""),"-",""))+LEN(SUBSTITUTE(SUBSTITUTE(SUBSTITUTE(C13," ",""),"0",""),"-","")))&gt;(LEN(SUBSTITUTE(SUBSTITUTE(SUBSTITUTE(E13," ",""),"0",""),"-",""))+LEN(SUBSTITUTE(SUBSTITUTE(SUBSTITUTE(F13," ",""),"0",""),"-",""))),1,0))</f>
      </c>
      <c r="C10" s="14" t="str">
        <f>LEN(SUBSTITUTE(SUBSTITUTE(SUBSTITUTE(B11," ",""),"0",""),"-",""))+LEN(SUBSTITUTE(SUBSTITUTE(SUBSTITUTE(C11," ",""),"0",""),"-",""))+LEN(SUBSTITUTE(SUBSTITUTE(SUBSTITUTE(B12," ",""),"0",""),"-",""))+LEN(SUBSTITUTE(SUBSTITUTE(SUBSTITUTE(C12," ",""),"0",""),"-",""))+LEN(SUBSTITUTE(SUBSTITUTE(SUBSTITUTE(B13," ",""),"0",""),"-",""))+LEN(SUBSTITUTE(SUBSTITUTE(SUBSTITUTE(C13," ",""),"0",""),"-",""))</f>
      </c>
      <c r="D10" s="18"/>
      <c r="E10" s="14" t="str">
        <f>LEN(SUBSTITUTE(SUBSTITUTE(SUBSTITUTE(E11," ",""),"0",""),"-",""))+LEN(SUBSTITUTE(SUBSTITUTE(SUBSTITUTE(F11," ",""),"0",""),"-",""))+LEN(SUBSTITUTE(SUBSTITUTE(SUBSTITUTE(E12," ",""),"0",""),"-",""))+LEN(SUBSTITUTE(SUBSTITUTE(SUBSTITUTE(F12," ",""),"0",""),"-",""))+LEN(SUBSTITUTE(SUBSTITUTE(SUBSTITUTE(E13," ",""),"0",""),"-",""))+LEN(SUBSTITUTE(SUBSTITUTE(SUBSTITUTE(F13," ",""),"0",""),"-",""))</f>
      </c>
      <c r="F10" s="14" t="str">
        <f>IF(UPPER(D11)="X",0,IF((LEN(SUBSTITUTE(SUBSTITUTE(SUBSTITUTE(E11," ",""),"0",""),"-",""))+LEN(SUBSTITUTE(SUBSTITUTE(SUBSTITUTE(F11," ",""),"0",""),"-","")))&gt;(LEN(SUBSTITUTE(SUBSTITUTE(SUBSTITUTE(B11," ",""),"0",""),"-",""))+LEN(SUBSTITUTE(SUBSTITUTE(SUBSTITUTE(C11," ",""),"0",""),"-",""))),1,0))+IF(UPPER(D12)="X",0,IF((LEN(SUBSTITUTE(SUBSTITUTE(SUBSTITUTE(E12," ",""),"0",""),"-",""))+LEN(SUBSTITUTE(SUBSTITUTE(SUBSTITUTE(F12," ",""),"0",""),"-","")))&gt;(LEN(SUBSTITUTE(SUBSTITUTE(SUBSTITUTE(B12," ",""),"0",""),"-",""))+LEN(SUBSTITUTE(SUBSTITUTE(SUBSTITUTE(C12," ",""),"0",""),"-",""))),1,0))+IF(UPPER(D13)="X",0,IF((LEN(SUBSTITUTE(SUBSTITUTE(SUBSTITUTE(E13," ",""),"0",""),"-",""))+LEN(SUBSTITUTE(SUBSTITUTE(SUBSTITUTE(F13," ",""),"0",""),"-","")))&gt;(LEN(SUBSTITUTE(SUBSTITUTE(SUBSTITUTE(B13," ",""),"0",""),"-",""))+LEN(SUBSTITUTE(SUBSTITUTE(SUBSTITUTE(C13," ",""),"0",""),"-",""))),1,0))</f>
      </c>
      <c r="G10" s="14" t="str">
        <f>data!$D$3&amp;" "&amp;data!$B$3</f>
      </c>
    </row>
    <row r="11">
      <c r="A11" s="14">
        <v>1</v>
      </c>
      <c r="B11" s="18"/>
      <c r="C11" s="18"/>
      <c r="D11" s="18"/>
      <c r="E11" s="18"/>
      <c r="F11" s="18"/>
      <c r="G11" s="14">
        <v>1</v>
      </c>
    </row>
    <row r="12">
      <c r="A12" s="14">
        <v>2</v>
      </c>
      <c r="B12" s="18"/>
      <c r="C12" s="18"/>
      <c r="D12" s="18"/>
      <c r="E12" s="18"/>
      <c r="F12" s="18"/>
      <c r="G12" s="14">
        <v>2</v>
      </c>
    </row>
    <row r="13">
      <c r="A13" s="14">
        <v>3</v>
      </c>
      <c r="B13" s="18"/>
      <c r="C13" s="18"/>
      <c r="D13" s="18"/>
      <c r="E13" s="18"/>
      <c r="F13" s="18"/>
      <c r="G13" s="14">
        <v>3</v>
      </c>
    </row>
    <row r="15">
      <c r="A15" s="17" t="s">
        <v>27</v>
      </c>
      <c r="B15" s="14"/>
      <c r="C15" s="14"/>
      <c r="D15" s="14" t="s">
        <v>28</v>
      </c>
      <c r="E15" s="14"/>
      <c r="F15" s="14"/>
      <c r="G15" s="16" t="s">
        <v>29</v>
      </c>
    </row>
    <row r="16">
      <c r="A16" s="14" t="str">
        <f>data!$D$5&amp;" "&amp;data!$B$5</f>
      </c>
      <c r="B16" s="14" t="str">
        <f>IF(UPPER(D17)="X",0,IF((LEN(SUBSTITUTE(SUBSTITUTE(SUBSTITUTE(B17," ",""),"0",""),"-",""))+LEN(SUBSTITUTE(SUBSTITUTE(SUBSTITUTE(C17," ",""),"0",""),"-","")))&gt;(LEN(SUBSTITUTE(SUBSTITUTE(SUBSTITUTE(E17," ",""),"0",""),"-",""))+LEN(SUBSTITUTE(SUBSTITUTE(SUBSTITUTE(F17," ",""),"0",""),"-",""))),1,0))+IF(UPPER(D18)="X",0,IF((LEN(SUBSTITUTE(SUBSTITUTE(SUBSTITUTE(B18," ",""),"0",""),"-",""))+LEN(SUBSTITUTE(SUBSTITUTE(SUBSTITUTE(C18," ",""),"0",""),"-","")))&gt;(LEN(SUBSTITUTE(SUBSTITUTE(SUBSTITUTE(E18," ",""),"0",""),"-",""))+LEN(SUBSTITUTE(SUBSTITUTE(SUBSTITUTE(F18," ",""),"0",""),"-",""))),1,0))+IF(UPPER(D19)="X",0,IF((LEN(SUBSTITUTE(SUBSTITUTE(SUBSTITUTE(B19," ",""),"0",""),"-",""))+LEN(SUBSTITUTE(SUBSTITUTE(SUBSTITUTE(C19," ",""),"0",""),"-","")))&gt;(LEN(SUBSTITUTE(SUBSTITUTE(SUBSTITUTE(E19," ",""),"0",""),"-",""))+LEN(SUBSTITUTE(SUBSTITUTE(SUBSTITUTE(F19," ",""),"0",""),"-",""))),1,0))</f>
      </c>
      <c r="C16" s="14" t="str">
        <f>LEN(SUBSTITUTE(SUBSTITUTE(SUBSTITUTE(B17," ",""),"0",""),"-",""))+LEN(SUBSTITUTE(SUBSTITUTE(SUBSTITUTE(C17," ",""),"0",""),"-",""))+LEN(SUBSTITUTE(SUBSTITUTE(SUBSTITUTE(B18," ",""),"0",""),"-",""))+LEN(SUBSTITUTE(SUBSTITUTE(SUBSTITUTE(C18," ",""),"0",""),"-",""))+LEN(SUBSTITUTE(SUBSTITUTE(SUBSTITUTE(B19," ",""),"0",""),"-",""))+LEN(SUBSTITUTE(SUBSTITUTE(SUBSTITUTE(C19," ",""),"0",""),"-",""))</f>
      </c>
      <c r="D16" s="18"/>
      <c r="E16" s="14" t="str">
        <f>LEN(SUBSTITUTE(SUBSTITUTE(SUBSTITUTE(E17," ",""),"0",""),"-",""))+LEN(SUBSTITUTE(SUBSTITUTE(SUBSTITUTE(F17," ",""),"0",""),"-",""))+LEN(SUBSTITUTE(SUBSTITUTE(SUBSTITUTE(E18," ",""),"0",""),"-",""))+LEN(SUBSTITUTE(SUBSTITUTE(SUBSTITUTE(F18," ",""),"0",""),"-",""))+LEN(SUBSTITUTE(SUBSTITUTE(SUBSTITUTE(E19," ",""),"0",""),"-",""))+LEN(SUBSTITUTE(SUBSTITUTE(SUBSTITUTE(F19," ",""),"0",""),"-",""))</f>
      </c>
      <c r="F16" s="14" t="str">
        <f>IF(UPPER(D17)="X",0,IF((LEN(SUBSTITUTE(SUBSTITUTE(SUBSTITUTE(E17," ",""),"0",""),"-",""))+LEN(SUBSTITUTE(SUBSTITUTE(SUBSTITUTE(F17," ",""),"0",""),"-","")))&gt;(LEN(SUBSTITUTE(SUBSTITUTE(SUBSTITUTE(B17," ",""),"0",""),"-",""))+LEN(SUBSTITUTE(SUBSTITUTE(SUBSTITUTE(C17," ",""),"0",""),"-",""))),1,0))+IF(UPPER(D18)="X",0,IF((LEN(SUBSTITUTE(SUBSTITUTE(SUBSTITUTE(E18," ",""),"0",""),"-",""))+LEN(SUBSTITUTE(SUBSTITUTE(SUBSTITUTE(F18," ",""),"0",""),"-","")))&gt;(LEN(SUBSTITUTE(SUBSTITUTE(SUBSTITUTE(B18," ",""),"0",""),"-",""))+LEN(SUBSTITUTE(SUBSTITUTE(SUBSTITUTE(C18," ",""),"0",""),"-",""))),1,0))+IF(UPPER(D19)="X",0,IF((LEN(SUBSTITUTE(SUBSTITUTE(SUBSTITUTE(E19," ",""),"0",""),"-",""))+LEN(SUBSTITUTE(SUBSTITUTE(SUBSTITUTE(F19," ",""),"0",""),"-","")))&gt;(LEN(SUBSTITUTE(SUBSTITUTE(SUBSTITUTE(B19," ",""),"0",""),"-",""))+LEN(SUBSTITUTE(SUBSTITUTE(SUBSTITUTE(C19," ",""),"0",""),"-",""))),1,0))</f>
      </c>
      <c r="G16" s="14" t="str">
        <f>data!$D$4&amp;" "&amp;data!$B$4</f>
      </c>
    </row>
    <row r="17">
      <c r="A17" s="14">
        <v>1</v>
      </c>
      <c r="B17" s="18"/>
      <c r="C17" s="18"/>
      <c r="D17" s="18"/>
      <c r="E17" s="18"/>
      <c r="F17" s="18"/>
      <c r="G17" s="14">
        <v>1</v>
      </c>
    </row>
    <row r="18">
      <c r="A18" s="14">
        <v>2</v>
      </c>
      <c r="B18" s="18"/>
      <c r="C18" s="18"/>
      <c r="D18" s="18"/>
      <c r="E18" s="18"/>
      <c r="F18" s="18"/>
      <c r="G18" s="14">
        <v>2</v>
      </c>
    </row>
    <row r="19">
      <c r="A19" s="14">
        <v>3</v>
      </c>
      <c r="B19" s="18"/>
      <c r="C19" s="18"/>
      <c r="D19" s="18"/>
      <c r="E19" s="18"/>
      <c r="F19" s="18"/>
      <c r="G19" s="14">
        <v>3</v>
      </c>
    </row>
    <row r="22">
      <c r="A22" s="13" t="s">
        <v>30</v>
      </c>
      <c r="B22" s="13" t="s">
        <v>31</v>
      </c>
      <c r="C22" s="13" t="s">
        <v>32</v>
      </c>
      <c r="D22" s="13" t="s">
        <v>33</v>
      </c>
      <c r="E22" s="13"/>
      <c r="F22" s="13"/>
      <c r="G22" s="13" t="s">
        <v>34</v>
      </c>
    </row>
    <row r="23">
      <c r="A23" s="14" t="str">
        <f>data!$D$3&amp;" "&amp;data!$B$3</f>
      </c>
      <c r="B23" s="14" t="str">
        <f>IF(OR(COUNTA(B5:C7,E5:F7)&gt;0,D5="X",D5="x",D6="X",D6="x",D7="X",D7="x",OR(D4="X",D4="x")),IF(OR(OR(D4="X",D4="x"),AND(B4=F4,C4=E4)),0,IF(OR(F4&gt;B4,AND(F4=B4,E4&gt;C4)),1,0)),0)+IF(OR(COUNTA(B11:C13,E11:F13)&gt;0,D11="X",D11="x",D12="X",D12="x",D13="X",D13="x",OR(D10="X",D10="x")),IF(OR(OR(D10="X",D10="x"),AND(B10=F10,C10=E10)),0,IF(OR(F10&gt;B10,AND(F10=B10,E10&gt;C10)),1,0)),0)</f>
      </c>
      <c r="C23" s="14" t="str">
        <f>IF(OR(COUNTA(B5:C7,E5:F7)&gt;0,D5="X",D5="x",D6="X",D6="x",D7="X",D7="x",OR(D4="X",D4="x")),IF(OR(OR(D4="X",D4="x"),AND(B4=F4,C4=E4)),0,IF(OR(F4&lt;B4,AND(F4=B4,E4&lt;C4)),1,0)),0)+IF(OR(COUNTA(B11:C13,E11:F13)&gt;0,D11="X",D11="x",D12="X",D12="x",D13="X",D13="x",OR(D10="X",D10="x")),IF(OR(OR(D10="X",D10="x"),AND(B10=F10,C10=E10)),0,IF(OR(F10&lt;B10,AND(F10=B10,E10&lt;C10)),1,0)),0)</f>
      </c>
      <c r="D23" s="14" t="str">
        <f>IF(OR(COUNTA(B5:C7,E5:F7)&gt;0,D5="X",D5="x",D6="X",D6="x",D7="X",D7="x",OR(D4="X",D4="x")),IF(OR(OR(D4="X",D4="x"),AND(B4=F4,C4=E4)),1,0),0)+IF(OR(COUNTA(B11:C13,E11:F13)&gt;0,D11="X",D11="x",D12="X",D12="x",D13="X",D13="x",OR(D10="X",D10="x")),IF(OR(OR(D10="X",D10="x"),AND(B10=F10,C10=E10)),1,0),0)</f>
      </c>
      <c r="G23" s="18" t="str">
        <f>RANK(U23,$U$23:$U$25)+COUNTIF($U$22:U22,U23)</f>
      </c>
      <c r="U23" t="str">
        <f>(B23*1000000000)-(C23*10000000)+(D23*100000)+(B28*1000)-(C28*100)+(D28*10)+(E28*1)-(F28*0.01)</f>
      </c>
    </row>
    <row r="24">
      <c r="A24" s="14" t="str">
        <f>data!$D$4&amp;" "&amp;data!$B$4</f>
      </c>
      <c r="B24" s="14" t="str">
        <f>IF(OR(COUNTA(B5:C7,E5:F7)&gt;0,D5="X",D5="x",D6="X",D6="x",D7="X",D7="x",OR(D4="X",D4="x")),IF(OR(OR(D4="X",D4="x"),AND(B4=F4,C4=E4)),0,IF(OR(B4&gt;F4,AND(B4=F4,C4&gt;E4)),1,0)),0)+IF(OR(COUNTA(B17:C19,E17:F19)&gt;0,D17="X",D17="x",D18="X",D18="x",D19="X",D19="x",OR(D16="X",D16="x")),IF(OR(OR(D16="X",D16="x"),AND(B16=F16,C16=E16)),0,IF(OR(F16&gt;B16,AND(F16=B16,E16&gt;C16)),1,0)),0)</f>
      </c>
      <c r="C24" s="14" t="str">
        <f>IF(OR(COUNTA(B5:C7,E5:F7)&gt;0,D5="X",D5="x",D6="X",D6="x",D7="X",D7="x",OR(D4="X",D4="x")),IF(OR(OR(D4="X",D4="x"),AND(B4=F4,C4=E4)),0,IF(OR(B4&lt;F4,AND(B4=F4,C4&lt;E4)),1,0)),0)+IF(OR(COUNTA(B17:C19,E17:F19)&gt;0,D17="X",D17="x",D18="X",D18="x",D19="X",D19="x",OR(D16="X",D16="x")),IF(OR(OR(D16="X",D16="x"),AND(B16=F16,C16=E16)),0,IF(OR(F16&lt;B16,AND(F16=B16,E16&lt;C16)),1,0)),0)</f>
      </c>
      <c r="D24" s="14" t="str">
        <f>IF(OR(COUNTA(B5:C7,E5:F7)&gt;0,D5="X",D5="x",D6="X",D6="x",D7="X",D7="x",OR(D4="X",D4="x")),IF(OR(OR(D4="X",D4="x"),AND(B4=F4,C4=E4)),1,0),0)+IF(OR(COUNTA(B17:C19,E17:F19)&gt;0,D17="X",D17="x",D18="X",D18="x",D19="X",D19="x",OR(D16="X",D16="x")),IF(OR(OR(D16="X",D16="x"),AND(B16=F16,C16=E16)),1,0),0)</f>
      </c>
      <c r="G24" s="18" t="str">
        <f>RANK(U24,$U$23:$U$25)+COUNTIF($U$22:U23,U24)</f>
      </c>
      <c r="U24" t="str">
        <f>(B24*1000000000)-(C24*10000000)+(D24*100000)+(B29*1000)-(C29*100)+(D29*10)+(E29*1)-(F29*0.01)</f>
      </c>
    </row>
    <row r="25">
      <c r="A25" s="14" t="str">
        <f>data!$D$5&amp;" "&amp;data!$B$5</f>
      </c>
      <c r="B25" s="14" t="str">
        <f>IF(OR(COUNTA(B11:C13,E11:F13)&gt;0,D11="X",D11="x",D12="X",D12="x",D13="X",D13="x",OR(D10="X",D10="x")),IF(OR(OR(D10="X",D10="x"),AND(B10=F10,C10=E10)),0,IF(OR(B10&gt;F10,AND(B10=F10,C10&gt;E10)),1,0)),0)+IF(OR(COUNTA(B17:C19,E17:F19)&gt;0,D17="X",D17="x",D18="X",D18="x",D19="X",D19="x",OR(D16="X",D16="x")),IF(OR(OR(D16="X",D16="x"),AND(B16=F16,C16=E16)),0,IF(OR(B16&gt;F16,AND(B16=F16,C16&gt;E16)),1,0)),0)</f>
      </c>
      <c r="C25" s="14" t="str">
        <f>IF(OR(COUNTA(B11:C13,E11:F13)&gt;0,D11="X",D11="x",D12="X",D12="x",D13="X",D13="x",OR(D10="X",D10="x")),IF(OR(OR(D10="X",D10="x"),AND(B10=F10,C10=E10)),0,IF(OR(B10&lt;F10,AND(B10=F10,C10&lt;E10)),1,0)),0)+IF(OR(COUNTA(B17:C19,E17:F19)&gt;0,D17="X",D17="x",D18="X",D18="x",D19="X",D19="x",OR(D16="X",D16="x")),IF(OR(OR(D16="X",D16="x"),AND(B16=F16,C16=E16)),0,IF(OR(B16&lt;F16,AND(B16=F16,C16&lt;E16)),1,0)),0)</f>
      </c>
      <c r="D25" s="14" t="str">
        <f>IF(OR(COUNTA(B11:C13,E11:F13)&gt;0,D11="X",D11="x",D12="X",D12="x",D13="X",D13="x",OR(D10="X",D10="x")),IF(OR(OR(D10="X",D10="x"),AND(B10=F10,C10=E10)),1,0),0)+IF(OR(COUNTA(B17:C19,E17:F19)&gt;0,D17="X",D17="x",D18="X",D18="x",D19="X",D19="x",OR(D16="X",D16="x")),IF(OR(OR(D16="X",D16="x"),AND(B16=F16,C16=E16)),1,0),0)</f>
      </c>
      <c r="G25" s="18" t="str">
        <f>RANK(U25,$U$23:$U$25)+COUNTIF($U$22:U24,U25)</f>
      </c>
      <c r="U25" t="str">
        <f>(B25*1000000000)-(C25*10000000)+(D25*100000)+(B30*1000)-(C30*100)+(D30*10)+(E30*1)-(F30*0.01)</f>
      </c>
    </row>
    <row r="27">
      <c r="A27" s="13"/>
      <c r="B27" s="13" t="s">
        <v>35</v>
      </c>
      <c r="C27" s="13" t="s">
        <v>36</v>
      </c>
      <c r="D27" s="13" t="s">
        <v>37</v>
      </c>
      <c r="E27" s="13" t="s">
        <v>38</v>
      </c>
      <c r="F27" s="13" t="s">
        <v>39</v>
      </c>
    </row>
    <row r="28">
      <c r="A28" s="14" t="str">
        <f>data!$D$3&amp;" "&amp;data!$B$3</f>
      </c>
      <c r="B28" s="14" t="str">
        <f>IF(OR(COUNTA(B5:C7,E5:F7)&gt;0,OR(D4="X",D4="x"),UPPER(D5)="X",UPPER(D6)="X",UPPER(D7)="X"),F4,0)+IF(OR(COUNTA(B11:C13,E11:F13)&gt;0,OR(D10="X",D10="x"),UPPER(D11)="X",UPPER(D12)="X",UPPER(D13)="X"),F10,0)</f>
      </c>
      <c r="C28" s="14" t="str">
        <f>IF(OR(COUNTA(B5:C7,E5:F7)&gt;0,OR(D4="X",D4="x"),UPPER(D5)="X",UPPER(D6)="X",UPPER(D7)="X"),B4,0)+IF(OR(COUNTA(B11:C13,E11:F13)&gt;0,OR(D10="X",D10="x"),UPPER(D11)="X",UPPER(D12)="X",UPPER(D13)="X"),B10,0)</f>
      </c>
      <c r="D28" s="14" t="str">
        <f>IF(OR(COUNTA(B5:C7,E5:F7)&gt;0,OR(D4="X",D4="x"),UPPER(D5)="X",UPPER(D6)="X",UPPER(D7)="X"),(IF(OR(D5="X",D5="x",AND(COUNTA(B5,C5,E5,F5)&gt;0,(LEN(SUBSTITUTE(SUBSTITUTE(SUBSTITUTE(B5," ",""),"0",""),"-",""))+LEN(SUBSTITUTE(SUBSTITUTE(SUBSTITUTE(C5," ",""),"0",""),"-","")))=(LEN(SUBSTITUTE(SUBSTITUTE(SUBSTITUTE(E5," ",""),"0",""),"-",""))+LEN(SUBSTITUTE(SUBSTITUTE(SUBSTITUTE(F5," ",""),"0",""),"-",""))))),1,0)+IF(OR(D6="X",D6="x",AND(COUNTA(B6,C6,E6,F6)&gt;0,(LEN(SUBSTITUTE(SUBSTITUTE(SUBSTITUTE(B6," ",""),"0",""),"-",""))+LEN(SUBSTITUTE(SUBSTITUTE(SUBSTITUTE(C6," ",""),"0",""),"-","")))=(LEN(SUBSTITUTE(SUBSTITUTE(SUBSTITUTE(E6," ",""),"0",""),"-",""))+LEN(SUBSTITUTE(SUBSTITUTE(SUBSTITUTE(F6," ",""),"0",""),"-",""))))),1,0)+IF(OR(D7="X",D7="x",AND(COUNTA(B7,C7,E7,F7)&gt;0,(LEN(SUBSTITUTE(SUBSTITUTE(SUBSTITUTE(B7," ",""),"0",""),"-",""))+LEN(SUBSTITUTE(SUBSTITUTE(SUBSTITUTE(C7," ",""),"0",""),"-","")))=(LEN(SUBSTITUTE(SUBSTITUTE(SUBSTITUTE(E7," ",""),"0",""),"-",""))+LEN(SUBSTITUTE(SUBSTITUTE(SUBSTITUTE(F7," ",""),"0",""),"-",""))))),1,0)),0)+IF(OR(COUNTA(B11:C13,E11:F13)&gt;0,OR(D10="X",D10="x"),UPPER(D11)="X",UPPER(D12)="X",UPPER(D13)="X"),(IF(OR(D11="X",D11="x",AND(COUNTA(B11,C11,E11,F11)&gt;0,(LEN(SUBSTITUTE(SUBSTITUTE(SUBSTITUTE(B11," ",""),"0",""),"-",""))+LEN(SUBSTITUTE(SUBSTITUTE(SUBSTITUTE(C11," ",""),"0",""),"-","")))=(LEN(SUBSTITUTE(SUBSTITUTE(SUBSTITUTE(E11," ",""),"0",""),"-",""))+LEN(SUBSTITUTE(SUBSTITUTE(SUBSTITUTE(F11," ",""),"0",""),"-",""))))),1,0)+IF(OR(D12="X",D12="x",AND(COUNTA(B12,C12,E12,F12)&gt;0,(LEN(SUBSTITUTE(SUBSTITUTE(SUBSTITUTE(B12," ",""),"0",""),"-",""))+LEN(SUBSTITUTE(SUBSTITUTE(SUBSTITUTE(C12," ",""),"0",""),"-","")))=(LEN(SUBSTITUTE(SUBSTITUTE(SUBSTITUTE(E12," ",""),"0",""),"-",""))+LEN(SUBSTITUTE(SUBSTITUTE(SUBSTITUTE(F12," ",""),"0",""),"-",""))))),1,0)+IF(OR(D13="X",D13="x",AND(COUNTA(B13,C13,E13,F13)&gt;0,(LEN(SUBSTITUTE(SUBSTITUTE(SUBSTITUTE(B13," ",""),"0",""),"-",""))+LEN(SUBSTITUTE(SUBSTITUTE(SUBSTITUTE(C13," ",""),"0",""),"-","")))=(LEN(SUBSTITUTE(SUBSTITUTE(SUBSTITUTE(E13," ",""),"0",""),"-",""))+LEN(SUBSTITUTE(SUBSTITUTE(SUBSTITUTE(F13," ",""),"0",""),"-",""))))),1,0)),0)</f>
      </c>
      <c r="E28" s="14" t="str">
        <f>E4+E10</f>
      </c>
      <c r="F28" s="14" t="str">
        <f>C4+C10</f>
      </c>
    </row>
    <row r="29">
      <c r="A29" s="14" t="str">
        <f>data!$D$4&amp;" "&amp;data!$B$4</f>
      </c>
      <c r="B29" s="14" t="str">
        <f>IF(OR(COUNTA(B5:C7,E5:F7)&gt;0,OR(D4="X",D4="x"),UPPER(D5)="X",UPPER(D6)="X",UPPER(D7)="X"),B4,0)+IF(OR(COUNTA(B17:C19,E17:F19)&gt;0,OR(D16="X",D16="x"),UPPER(D17)="X",UPPER(D18)="X",UPPER(D19)="X"),F16,0)</f>
      </c>
      <c r="C29" s="14" t="str">
        <f>IF(OR(COUNTA(B5:C7,E5:F7)&gt;0,OR(D4="X",D4="x"),UPPER(D5)="X",UPPER(D6)="X",UPPER(D7)="X"),F4,0)+IF(OR(COUNTA(B17:C19,E17:F19)&gt;0,OR(D16="X",D16="x"),UPPER(D17)="X",UPPER(D18)="X",UPPER(D19)="X"),B16,0)</f>
      </c>
      <c r="D29" s="14" t="str">
        <f>IF(OR(COUNTA(B5:C7,E5:F7)&gt;0,OR(D4="X",D4="x"),UPPER(D5)="X",UPPER(D6)="X",UPPER(D7)="X"),(IF(OR(D5="X",D5="x",AND(COUNTA(B5,C5,E5,F5)&gt;0,(LEN(SUBSTITUTE(SUBSTITUTE(SUBSTITUTE(B5," ",""),"0",""),"-",""))+LEN(SUBSTITUTE(SUBSTITUTE(SUBSTITUTE(C5," ",""),"0",""),"-","")))=(LEN(SUBSTITUTE(SUBSTITUTE(SUBSTITUTE(E5," ",""),"0",""),"-",""))+LEN(SUBSTITUTE(SUBSTITUTE(SUBSTITUTE(F5," ",""),"0",""),"-",""))))),1,0)+IF(OR(D6="X",D6="x",AND(COUNTA(B6,C6,E6,F6)&gt;0,(LEN(SUBSTITUTE(SUBSTITUTE(SUBSTITUTE(B6," ",""),"0",""),"-",""))+LEN(SUBSTITUTE(SUBSTITUTE(SUBSTITUTE(C6," ",""),"0",""),"-","")))=(LEN(SUBSTITUTE(SUBSTITUTE(SUBSTITUTE(E6," ",""),"0",""),"-",""))+LEN(SUBSTITUTE(SUBSTITUTE(SUBSTITUTE(F6," ",""),"0",""),"-",""))))),1,0)+IF(OR(D7="X",D7="x",AND(COUNTA(B7,C7,E7,F7)&gt;0,(LEN(SUBSTITUTE(SUBSTITUTE(SUBSTITUTE(B7," ",""),"0",""),"-",""))+LEN(SUBSTITUTE(SUBSTITUTE(SUBSTITUTE(C7," ",""),"0",""),"-","")))=(LEN(SUBSTITUTE(SUBSTITUTE(SUBSTITUTE(E7," ",""),"0",""),"-",""))+LEN(SUBSTITUTE(SUBSTITUTE(SUBSTITUTE(F7," ",""),"0",""),"-",""))))),1,0)),0)+IF(OR(COUNTA(B17:C19,E17:F19)&gt;0,OR(D16="X",D16="x"),UPPER(D17)="X",UPPER(D18)="X",UPPER(D19)="X"),(IF(OR(D17="X",D17="x",AND(COUNTA(B17,C17,E17,F17)&gt;0,(LEN(SUBSTITUTE(SUBSTITUTE(SUBSTITUTE(B17," ",""),"0",""),"-",""))+LEN(SUBSTITUTE(SUBSTITUTE(SUBSTITUTE(C17," ",""),"0",""),"-","")))=(LEN(SUBSTITUTE(SUBSTITUTE(SUBSTITUTE(E17," ",""),"0",""),"-",""))+LEN(SUBSTITUTE(SUBSTITUTE(SUBSTITUTE(F17," ",""),"0",""),"-",""))))),1,0)+IF(OR(D18="X",D18="x",AND(COUNTA(B18,C18,E18,F18)&gt;0,(LEN(SUBSTITUTE(SUBSTITUTE(SUBSTITUTE(B18," ",""),"0",""),"-",""))+LEN(SUBSTITUTE(SUBSTITUTE(SUBSTITUTE(C18," ",""),"0",""),"-","")))=(LEN(SUBSTITUTE(SUBSTITUTE(SUBSTITUTE(E18," ",""),"0",""),"-",""))+LEN(SUBSTITUTE(SUBSTITUTE(SUBSTITUTE(F18," ",""),"0",""),"-",""))))),1,0)+IF(OR(D19="X",D19="x",AND(COUNTA(B19,C19,E19,F19)&gt;0,(LEN(SUBSTITUTE(SUBSTITUTE(SUBSTITUTE(B19," ",""),"0",""),"-",""))+LEN(SUBSTITUTE(SUBSTITUTE(SUBSTITUTE(C19," ",""),"0",""),"-","")))=(LEN(SUBSTITUTE(SUBSTITUTE(SUBSTITUTE(E19," ",""),"0",""),"-",""))+LEN(SUBSTITUTE(SUBSTITUTE(SUBSTITUTE(F19," ",""),"0",""),"-",""))))),1,0)),0)</f>
      </c>
      <c r="E29" s="14" t="str">
        <f>C4+E16</f>
      </c>
      <c r="F29" s="14" t="str">
        <f>E4+C16</f>
      </c>
    </row>
    <row r="30">
      <c r="A30" s="14" t="str">
        <f>data!$D$5&amp;" "&amp;data!$B$5</f>
      </c>
      <c r="B30" s="14" t="str">
        <f>IF(OR(COUNTA(B11:C13,E11:F13)&gt;0,OR(D10="X",D10="x"),UPPER(D11)="X",UPPER(D12)="X",UPPER(D13)="X"),B10,0)+IF(OR(COUNTA(B17:C19,E17:F19)&gt;0,OR(D16="X",D16="x"),UPPER(D17)="X",UPPER(D18)="X",UPPER(D19)="X"),B16,0)</f>
      </c>
      <c r="C30" s="14" t="str">
        <f>IF(OR(COUNTA(B11:C13,E11:F13)&gt;0,OR(D10="X",D10="x"),UPPER(D11)="X",UPPER(D12)="X",UPPER(D13)="X"),F10,0)+IF(OR(COUNTA(B17:C19,E17:F19)&gt;0,OR(D16="X",D16="x"),UPPER(D17)="X",UPPER(D18)="X",UPPER(D19)="X"),F16,0)</f>
      </c>
      <c r="D30" s="14" t="str">
        <f>IF(OR(COUNTA(B11:C13,E11:F13)&gt;0,OR(D10="X",D10="x"),UPPER(D11)="X",UPPER(D12)="X",UPPER(D13)="X"),(IF(OR(D11="X",D11="x",AND(COUNTA(B11,C11,E11,F11)&gt;0,(LEN(SUBSTITUTE(SUBSTITUTE(SUBSTITUTE(B11," ",""),"0",""),"-",""))+LEN(SUBSTITUTE(SUBSTITUTE(SUBSTITUTE(C11," ",""),"0",""),"-","")))=(LEN(SUBSTITUTE(SUBSTITUTE(SUBSTITUTE(E11," ",""),"0",""),"-",""))+LEN(SUBSTITUTE(SUBSTITUTE(SUBSTITUTE(F11," ",""),"0",""),"-",""))))),1,0)+IF(OR(D12="X",D12="x",AND(COUNTA(B12,C12,E12,F12)&gt;0,(LEN(SUBSTITUTE(SUBSTITUTE(SUBSTITUTE(B12," ",""),"0",""),"-",""))+LEN(SUBSTITUTE(SUBSTITUTE(SUBSTITUTE(C12," ",""),"0",""),"-","")))=(LEN(SUBSTITUTE(SUBSTITUTE(SUBSTITUTE(E12," ",""),"0",""),"-",""))+LEN(SUBSTITUTE(SUBSTITUTE(SUBSTITUTE(F12," ",""),"0",""),"-",""))))),1,0)+IF(OR(D13="X",D13="x",AND(COUNTA(B13,C13,E13,F13)&gt;0,(LEN(SUBSTITUTE(SUBSTITUTE(SUBSTITUTE(B13," ",""),"0",""),"-",""))+LEN(SUBSTITUTE(SUBSTITUTE(SUBSTITUTE(C13," ",""),"0",""),"-","")))=(LEN(SUBSTITUTE(SUBSTITUTE(SUBSTITUTE(E13," ",""),"0",""),"-",""))+LEN(SUBSTITUTE(SUBSTITUTE(SUBSTITUTE(F13," ",""),"0",""),"-",""))))),1,0)),0)+IF(OR(COUNTA(B17:C19,E17:F19)&gt;0,OR(D16="X",D16="x"),UPPER(D17)="X",UPPER(D18)="X",UPPER(D19)="X"),(IF(OR(D17="X",D17="x",AND(COUNTA(B17,C17,E17,F17)&gt;0,(LEN(SUBSTITUTE(SUBSTITUTE(SUBSTITUTE(B17," ",""),"0",""),"-",""))+LEN(SUBSTITUTE(SUBSTITUTE(SUBSTITUTE(C17," ",""),"0",""),"-","")))=(LEN(SUBSTITUTE(SUBSTITUTE(SUBSTITUTE(E17," ",""),"0",""),"-",""))+LEN(SUBSTITUTE(SUBSTITUTE(SUBSTITUTE(F17," ",""),"0",""),"-",""))))),1,0)+IF(OR(D18="X",D18="x",AND(COUNTA(B18,C18,E18,F18)&gt;0,(LEN(SUBSTITUTE(SUBSTITUTE(SUBSTITUTE(B18," ",""),"0",""),"-",""))+LEN(SUBSTITUTE(SUBSTITUTE(SUBSTITUTE(C18," ",""),"0",""),"-","")))=(LEN(SUBSTITUTE(SUBSTITUTE(SUBSTITUTE(E18," ",""),"0",""),"-",""))+LEN(SUBSTITUTE(SUBSTITUTE(SUBSTITUTE(F18," ",""),"0",""),"-",""))))),1,0)+IF(OR(D19="X",D19="x",AND(COUNTA(B19,C19,E19,F19)&gt;0,(LEN(SUBSTITUTE(SUBSTITUTE(SUBSTITUTE(B19," ",""),"0",""),"-",""))+LEN(SUBSTITUTE(SUBSTITUTE(SUBSTITUTE(C19," ",""),"0",""),"-","")))=(LEN(SUBSTITUTE(SUBSTITUTE(SUBSTITUTE(E19," ",""),"0",""),"-",""))+LEN(SUBSTITUTE(SUBSTITUTE(SUBSTITUTE(F19," ",""),"0",""),"-",""))))),1,0)),0)</f>
      </c>
      <c r="E30" s="14" t="str">
        <f>C10+C16</f>
      </c>
      <c r="F30" s="14" t="str">
        <f>E10+E16</f>
      </c>
    </row>
    <row r="33">
      <c r="F33" s="13"/>
      <c r="G33" s="13" t="s">
        <v>40</v>
      </c>
    </row>
    <row r="34">
      <c r="F34" t="s">
        <v>41</v>
      </c>
      <c r="G34" s="19" t="str">
        <f>IFERROR(INDEX($A$23:$A$30, MATCH(1, $G$23:$G$30, 0)), "-")</f>
      </c>
    </row>
    <row r="35">
      <c r="F35" t="s">
        <v>42</v>
      </c>
      <c r="G35" s="19" t="str">
        <f>IFERROR(INDEX($A$23:$A$30, MATCH(2, $G$23:$G$30, 0)), "-")</f>
      </c>
    </row>
    <row r="36">
      <c r="F36" t="s">
        <v>43</v>
      </c>
      <c r="G36" s="19" t="str">
        <f>IFERROR(INDEX($A$23:$A$30, MATCH(3, $G$23:$G$30, 0)), "-")</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2">
    <mergeCell ref="A1:G1"/>
    <mergeCell ref="A2:G2"/>
  </mergeCells>
  <printOptions horizontalCentered="true" verticalCentered="true"/>
  <pageSetup fitToHeight="0" fitToWidth="1" orientation="portrait" pageOrder="downThenOver" paperSize="9"/>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4.83"/>
    <col customWidth="true" max="14" min="10" width="3.83"/>
    <col customWidth="true" max="15" min="15" width="34.83"/>
    <col customWidth="true" max="20" min="16" width="10.83"/>
  </cols>
  <sheetData>
    <row r="1">
      <c r="A1" s="13" t="s">
        <v>26</v>
      </c>
      <c r="B1" s="13"/>
      <c r="C1" s="13"/>
      <c r="D1" s="13"/>
      <c r="E1" s="13"/>
      <c r="F1" s="13"/>
      <c r="G1" s="13"/>
    </row>
    <row r="2">
      <c r="A2" s="13" t="s">
        <v>44</v>
      </c>
      <c r="B2" s="13"/>
      <c r="C2" s="13"/>
      <c r="D2" s="13"/>
      <c r="E2" s="13"/>
      <c r="F2" s="13"/>
      <c r="G2" s="13"/>
    </row>
    <row r="3">
      <c r="A3" s="17" t="s">
        <v>27</v>
      </c>
      <c r="D3" s="14" t="s">
        <v>28</v>
      </c>
      <c r="G3" s="16" t="s">
        <v>29</v>
      </c>
    </row>
    <row r="4">
      <c r="A4" s="14" t="str">
        <f>CONCATENATE("Pool A-2nd ",'Pool Matches'!G35)</f>
      </c>
      <c r="B4" s="14"/>
      <c r="C4" s="14"/>
      <c r="D4" s="18"/>
      <c r="E4" s="14"/>
      <c r="F4" s="14"/>
      <c r="G4" s="14" t="str">
        <f>CONCATENATE("Pool A-1st ",'Pool Matches'!G34)</f>
      </c>
    </row>
    <row r="5">
      <c r="A5" s="14">
        <v>1</v>
      </c>
      <c r="B5" s="18"/>
      <c r="C5" s="18"/>
      <c r="D5" s="18"/>
      <c r="E5" s="18"/>
      <c r="F5" s="18"/>
      <c r="G5" s="14">
        <v>1</v>
      </c>
    </row>
    <row r="6">
      <c r="A6" s="14">
        <v>2</v>
      </c>
      <c r="B6" s="18"/>
      <c r="C6" s="18"/>
      <c r="D6" s="18"/>
      <c r="E6" s="18"/>
      <c r="F6" s="18"/>
      <c r="G6" s="14">
        <v>2</v>
      </c>
    </row>
    <row r="7">
      <c r="A7" s="14">
        <v>3</v>
      </c>
      <c r="B7" s="18"/>
      <c r="C7" s="18"/>
      <c r="D7" s="18"/>
      <c r="E7" s="18"/>
      <c r="F7" s="18"/>
      <c r="G7" s="14">
        <v>3</v>
      </c>
    </row>
    <row r="9">
      <c r="A9" s="14" t="str">
        <f>CONCATENATE("Pool A-2nd ",'Pool Matches'!G35)</f>
      </c>
      <c r="B9" s="14" t="s">
        <v>35</v>
      </c>
      <c r="C9" s="14" t="s">
        <v>38</v>
      </c>
      <c r="D9" s="14"/>
      <c r="E9" s="14" t="s">
        <v>38</v>
      </c>
      <c r="F9" s="14" t="s">
        <v>35</v>
      </c>
      <c r="G9" s="14" t="str">
        <f>CONCATENATE("Pool A-1st ",'Pool Matches'!G34)</f>
      </c>
    </row>
    <row r="10">
      <c r="A10" s="14" t="s">
        <v>45</v>
      </c>
      <c r="B10" s="14" t="str">
        <f>IF(UPPER(D5)="X",0,IF((LEN(SUBSTITUTE(SUBSTITUTE(SUBSTITUTE(B5," ",""),"0",""),"-",""))+LEN(SUBSTITUTE(SUBSTITUTE(SUBSTITUTE(C5," ",""),"0",""),"-","")))&gt;(LEN(SUBSTITUTE(SUBSTITUTE(SUBSTITUTE(E5," ",""),"0",""),"-",""))+LEN(SUBSTITUTE(SUBSTITUTE(SUBSTITUTE(F5," ",""),"0",""),"-",""))),1,0))+IF(UPPER(D6)="X",0,IF((LEN(SUBSTITUTE(SUBSTITUTE(SUBSTITUTE(B6," ",""),"0",""),"-",""))+LEN(SUBSTITUTE(SUBSTITUTE(SUBSTITUTE(C6," ",""),"0",""),"-","")))&gt;(LEN(SUBSTITUTE(SUBSTITUTE(SUBSTITUTE(E6," ",""),"0",""),"-",""))+LEN(SUBSTITUTE(SUBSTITUTE(SUBSTITUTE(F6," ",""),"0",""),"-",""))),1,0))+IF(UPPER(D7)="X",0,IF((LEN(SUBSTITUTE(SUBSTITUTE(SUBSTITUTE(B7," ",""),"0",""),"-",""))+LEN(SUBSTITUTE(SUBSTITUTE(SUBSTITUTE(C7," ",""),"0",""),"-","")))&gt;(LEN(SUBSTITUTE(SUBSTITUTE(SUBSTITUTE(E7," ",""),"0",""),"-",""))+LEN(SUBSTITUTE(SUBSTITUTE(SUBSTITUTE(F7," ",""),"0",""),"-",""))),1,0))</f>
      </c>
      <c r="C10" s="14" t="str">
        <f>LEN(SUBSTITUTE(SUBSTITUTE(SUBSTITUTE(B5," ",""),"0",""),"-",""))+LEN(SUBSTITUTE(SUBSTITUTE(SUBSTITUTE(C5," ",""),"0",""),"-",""))+LEN(SUBSTITUTE(SUBSTITUTE(SUBSTITUTE(B6," ",""),"0",""),"-",""))+LEN(SUBSTITUTE(SUBSTITUTE(SUBSTITUTE(C6," ",""),"0",""),"-",""))+LEN(SUBSTITUTE(SUBSTITUTE(SUBSTITUTE(B7," ",""),"0",""),"-",""))+LEN(SUBSTITUTE(SUBSTITUTE(SUBSTITUTE(C7," ",""),"0",""),"-",""))</f>
      </c>
      <c r="D10" s="14"/>
      <c r="E10" s="14" t="str">
        <f>LEN(SUBSTITUTE(SUBSTITUTE(SUBSTITUTE(E5," ",""),"0",""),"-",""))+LEN(SUBSTITUTE(SUBSTITUTE(SUBSTITUTE(F5," ",""),"0",""),"-",""))+LEN(SUBSTITUTE(SUBSTITUTE(SUBSTITUTE(E6," ",""),"0",""),"-",""))+LEN(SUBSTITUTE(SUBSTITUTE(SUBSTITUTE(F6," ",""),"0",""),"-",""))+LEN(SUBSTITUTE(SUBSTITUTE(SUBSTITUTE(E7," ",""),"0",""),"-",""))+LEN(SUBSTITUTE(SUBSTITUTE(SUBSTITUTE(F7," ",""),"0",""),"-",""))</f>
      </c>
      <c r="F10" s="14" t="str">
        <f>IF(UPPER(D5)="X",0,IF((LEN(SUBSTITUTE(SUBSTITUTE(SUBSTITUTE(E5," ",""),"0",""),"-",""))+LEN(SUBSTITUTE(SUBSTITUTE(SUBSTITUTE(F5," ",""),"0",""),"-","")))&gt;(LEN(SUBSTITUTE(SUBSTITUTE(SUBSTITUTE(B5," ",""),"0",""),"-",""))+LEN(SUBSTITUTE(SUBSTITUTE(SUBSTITUTE(C5," ",""),"0",""),"-",""))),1,0))+IF(UPPER(D6)="X",0,IF((LEN(SUBSTITUTE(SUBSTITUTE(SUBSTITUTE(E6," ",""),"0",""),"-",""))+LEN(SUBSTITUTE(SUBSTITUTE(SUBSTITUTE(F6," ",""),"0",""),"-","")))&gt;(LEN(SUBSTITUTE(SUBSTITUTE(SUBSTITUTE(B6," ",""),"0",""),"-",""))+LEN(SUBSTITUTE(SUBSTITUTE(SUBSTITUTE(C6," ",""),"0",""),"-",""))),1,0))+IF(UPPER(D7)="X",0,IF((LEN(SUBSTITUTE(SUBSTITUTE(SUBSTITUTE(E7," ",""),"0",""),"-",""))+LEN(SUBSTITUTE(SUBSTITUTE(SUBSTITUTE(F7," ",""),"0",""),"-","")))&gt;(LEN(SUBSTITUTE(SUBSTITUTE(SUBSTITUTE(B7," ",""),"0",""),"-",""))+LEN(SUBSTITUTE(SUBSTITUTE(SUBSTITUTE(C7," ",""),"0",""),"-",""))),1,0))</f>
      </c>
      <c r="G10" s="14" t="s">
        <v>45</v>
      </c>
    </row>
    <row r="13">
      <c r="F13" t="s">
        <v>41</v>
      </c>
      <c r="G13" s="19"/>
    </row>
    <row r="14">
      <c r="F14" t="s">
        <v>42</v>
      </c>
      <c r="G14" s="19"/>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2">
    <mergeCell ref="A1:G1"/>
    <mergeCell ref="A2:G2"/>
  </mergeCells>
  <printOptions horizontalCentered="true" verticalCentered="true"/>
  <pageSetup fitToHeight="0" fitToWidth="1" orientation="portrait" pageOrder="downThenOver" paperSize="9"/>
</worksheet>
</file>

<file path=xl/worksheets/sheet8.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3" t="str">
        <f>IF(data!$B$1="","Shiaijo A",data!$B$1&amp;" - Shiaijo A")</f>
      </c>
      <c r="B1" s="13"/>
      <c r="C1" s="13"/>
      <c r="D1" s="13"/>
      <c r="E1" s="13"/>
    </row>
    <row r="4">
      <c r="A4" s="24" t="str">
        <f>'data'!$A$5</f>
      </c>
    </row>
    <row r="5">
      <c r="A5" s="25" t="str">
        <f>data!$D$3&amp;" "&amp;data!$B$3</f>
      </c>
      <c r="C5" s="23" t="str">
        <f>CONCATENATE("Pool A-1st ",'Pool Matches'!G34)</f>
      </c>
    </row>
    <row r="6">
      <c r="A6" s="26" t="str">
        <f>data!$D$4&amp;" "&amp;data!$B$4</f>
      </c>
      <c r="D6" s="22"/>
      <c r="E6" s="21">
        <v>1</v>
      </c>
    </row>
    <row r="7">
      <c r="A7" s="27" t="str">
        <f>data!$D$5&amp;" "&amp;data!$B$5</f>
      </c>
      <c r="C7" s="23" t="str">
        <f>CONCATENATE("Pool A-2nd ",'Pool Matches'!G35)</f>
      </c>
      <c r="D7" s="15"/>
      <c r="E7" s="20"/>
    </row>
    <row r="8">
      <c r="A8" s="2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E1"/>
  </mergeCells>
  <printOptions horizontalCentered="true" verticalCentered="true"/>
  <pageSetup fitToHeight="0" fitToWidth="1" orientation="portrait" paperSize="9"/>
</worksheet>
</file>

<file path=xl/worksheets/sheet9.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28" t="str">
        <f>'data'!$D$3</f>
      </c>
      <c r="B1" s="29" t="str">
        <f>'data'!$B$3</f>
      </c>
    </row>
    <row r="2" ht="270" customHeight="true">
      <c r="A2" s="28" t="str">
        <f>'data'!$D$4</f>
      </c>
      <c r="B2" s="29" t="str">
        <f>'data'!$B$4</f>
      </c>
    </row>
    <row r="3" ht="270" customHeight="true">
      <c r="A3" s="28" t="str">
        <f>'data'!$D$5</f>
      </c>
      <c r="B3" s="29" t="str">
        <f>'data'!$B$5</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1" manualBreakCount="1">
    <brk id="3" max="16383" man="true"/>
  </rowBreaks>
  <colBreaks/>
</worksheet>
</file>

<file path=xl/worksheets/sheet10.xml><?xml version="1.0" encoding="utf-8"?>
<worksheet xmlns="http://schemas.openxmlformats.org/spreadsheetml/2006/main">
  <dimension ref="A1"/>
  <sheetViews>
    <sheetView tabSelected="true" workbookViewId="0"/>
  </sheetViews>
  <cols>
    <col customWidth="true" max="1" min="1" width="88"/>
  </cols>
  <sheetData>
    <row r="1" ht="409" customHeight="true">
      <c r="A1" s="30" t="s">
        <v>19</v>
      </c>
    </row>
    <row r="2" ht="409" customHeight="true">
      <c r="A2" s="30" t="s">
        <v>19</v>
      </c>
    </row>
    <row r="3" ht="409" customHeight="true">
      <c r="A3" s="30" t="s">
        <v>22</v>
      </c>
    </row>
    <row r="4" ht="409" customHeight="true">
      <c r="A4" s="30" t="s">
        <v>22</v>
      </c>
    </row>
    <row r="5" ht="409" customHeight="true">
      <c r="A5" s="30" t="s">
        <v>25</v>
      </c>
    </row>
    <row r="6" ht="409" customHeight="true">
      <c r="A6" s="30" t="s">
        <v>25</v>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portrait" paperSize="9"/>
  <rowBreaks count="3" manualBreakCount="3">
    <brk id="2" max="16383" man="true"/>
    <brk id="4" max="16383" man="true"/>
    <brk id="6" max="16383" man="true"/>
  </rowBreaks>
  <colBrea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