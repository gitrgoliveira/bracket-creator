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Names to Print" sheetId="6" r:id="rId8"/>
    <sheet name="Tree 1" sheetId="8" r:id="rId11"/>
    <sheet name="Tree 2" sheetId="9" r:id="rId12"/>
  </sheets>
  <definedNames>
    <definedName localSheetId="3" name="_xlnm.Print_Area">'Names to Print'!$A$1:$B$24</definedName>
    <definedName localSheetId="2" name="_xlnm.Print_Area">'Elimination Matches'!$A$1:$O$122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<sst xmlns="http://schemas.openxmlformats.org/spreadsheetml/2006/main" count="121" uniqueCount="121">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</sst>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15"/>
    <col customWidth="true" max="26" min="2" width="30"/>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ageSetup orientation="landscape"/>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19" t="s">
        <v>115</v>
      </c>
      <c r="F14" s="19"/>
      <c r="G14" s="19"/>
      <c r="H14" s="22" t="str">
        <f>H2</f>
      </c>
    </row>
    <row r="15">
      <c r="E15" s="19" t="s">
        <v>116</v>
      </c>
      <c r="F15" s="19"/>
      <c r="G15" s="19"/>
      <c r="H15" s="22" t="str">
        <f>H8</f>
      </c>
    </row>
    <row r="16">
      <c r="E16" s="19" t="s">
        <v>117</v>
      </c>
      <c r="F16" s="19"/>
      <c r="G16" s="19"/>
      <c r="H16" s="22" t="str">
        <f>H14+H15</f>
      </c>
    </row>
    <row r="17">
      <c r="E17" s="19" t="s">
        <v>118</v>
      </c>
      <c r="F17" s="19"/>
      <c r="G17" s="19"/>
      <c r="H17" s="22" t="str">
        <f>H16/A14</f>
      </c>
    </row>
    <row r="18">
      <c r="E18" s="11" t="s">
        <v>119</v>
      </c>
      <c r="F18" s="11"/>
      <c r="G18" s="11"/>
      <c r="H18" s="23">
        <v>0.375</v>
      </c>
    </row>
    <row r="19">
      <c r="E19" s="11" t="s">
        <v>120</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'data'!$B$8</f>
      </c>
      <c r="B4" s="19"/>
      <c r="C4" s="19"/>
      <c r="D4" s="19"/>
      <c r="E4" s="19"/>
      <c r="F4" s="19"/>
      <c r="G4" s="19" t="str">
        <f>'data'!$B$7</f>
      </c>
      <c r="I4" s="19" t="str">
        <f>'data'!$B$19</f>
      </c>
      <c r="J4" s="19"/>
      <c r="K4" s="19"/>
      <c r="L4" s="19"/>
      <c r="M4" s="19"/>
      <c r="N4" s="19"/>
      <c r="O4" s="19" t="str">
        <f>'data'!$B$18</f>
      </c>
    </row>
    <row r="6">
      <c r="F6" t="s">
        <v>90</v>
      </c>
      <c r="G6" s="15"/>
      <c r="N6" t="s">
        <v>90</v>
      </c>
      <c r="O6" s="15"/>
    </row>
    <row r="7">
      <c r="F7" t="s">
        <v>91</v>
      </c>
      <c r="G7" s="15"/>
      <c r="N7" t="s">
        <v>91</v>
      </c>
      <c r="O7" s="15"/>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'data'!$B$12</f>
      </c>
      <c r="B12" s="19"/>
      <c r="C12" s="19"/>
      <c r="D12" s="19"/>
      <c r="E12" s="19"/>
      <c r="F12" s="19"/>
      <c r="G12" s="19" t="str">
        <f>'data'!$B$10</f>
      </c>
      <c r="I12" s="19" t="str">
        <f>'data'!$B$21</f>
      </c>
      <c r="J12" s="19"/>
      <c r="K12" s="19"/>
      <c r="L12" s="19"/>
      <c r="M12" s="19"/>
      <c r="N12" s="19"/>
      <c r="O12" s="19" t="str">
        <f>'data'!$B$4</f>
      </c>
    </row>
    <row r="14">
      <c r="F14" t="s">
        <v>90</v>
      </c>
      <c r="G14" s="15"/>
      <c r="N14" t="s">
        <v>90</v>
      </c>
      <c r="O14" s="15"/>
    </row>
    <row r="15">
      <c r="F15" t="s">
        <v>91</v>
      </c>
      <c r="G15" s="15"/>
      <c r="N15" t="s">
        <v>91</v>
      </c>
      <c r="O15" s="15"/>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'data'!$B$6</f>
      </c>
      <c r="B20" s="19"/>
      <c r="C20" s="19"/>
      <c r="D20" s="19"/>
      <c r="E20" s="19"/>
      <c r="F20" s="19"/>
      <c r="G20" s="19" t="str">
        <f>'data'!$B$13</f>
      </c>
      <c r="I20" s="19" t="str">
        <f>'data'!$B$24</f>
      </c>
      <c r="J20" s="19"/>
      <c r="K20" s="19"/>
      <c r="L20" s="19"/>
      <c r="M20" s="19"/>
      <c r="N20" s="19"/>
      <c r="O20" s="19" t="str">
        <f>'data'!$B$23</f>
      </c>
    </row>
    <row r="22">
      <c r="F22" t="s">
        <v>90</v>
      </c>
      <c r="G22" s="15"/>
      <c r="N22" t="s">
        <v>90</v>
      </c>
      <c r="O22" s="15"/>
    </row>
    <row r="23">
      <c r="F23" t="s">
        <v>91</v>
      </c>
      <c r="G23" s="15"/>
      <c r="N23" t="s">
        <v>91</v>
      </c>
      <c r="O23" s="15"/>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'data'!$B$16</f>
      </c>
      <c r="B28" s="19"/>
      <c r="C28" s="19"/>
      <c r="D28" s="19"/>
      <c r="E28" s="19"/>
      <c r="F28" s="19"/>
      <c r="G28" s="19" t="str">
        <f>'data'!$B$15</f>
      </c>
      <c r="I28" s="19" t="str">
        <f>'data'!$B$5</f>
      </c>
      <c r="J28" s="19"/>
      <c r="K28" s="19"/>
      <c r="L28" s="19"/>
      <c r="M28" s="19"/>
      <c r="N28" s="19"/>
      <c r="O28" s="19" t="str">
        <f>'data'!$B$26</f>
      </c>
    </row>
    <row r="30">
      <c r="F30" t="s">
        <v>90</v>
      </c>
      <c r="G30" s="15"/>
      <c r="N30" t="s">
        <v>90</v>
      </c>
      <c r="O30" s="15"/>
    </row>
    <row r="31">
      <c r="F31" t="s">
        <v>91</v>
      </c>
      <c r="G31" s="15"/>
      <c r="N31" t="s">
        <v>91</v>
      </c>
      <c r="O31" s="15"/>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19"/>
      <c r="C41" s="19"/>
      <c r="D41" s="19"/>
      <c r="E41" s="19"/>
      <c r="F41" s="19"/>
      <c r="G41" s="19" t="str">
        <f>'data'!$B$21</f>
      </c>
      <c r="I41" s="19" t="str">
        <f>CONCATENATE("M 5 ",O6)</f>
      </c>
      <c r="J41" s="19"/>
      <c r="K41" s="19"/>
      <c r="L41" s="19"/>
      <c r="M41" s="19"/>
      <c r="N41" s="19"/>
      <c r="O41" s="19" t="str">
        <f>'data'!$B$17</f>
      </c>
    </row>
    <row r="43">
      <c r="F43" t="s">
        <v>90</v>
      </c>
      <c r="G43" s="15"/>
      <c r="N43" t="s">
        <v>90</v>
      </c>
      <c r="O43" s="15"/>
    </row>
    <row r="44">
      <c r="F44" t="s">
        <v>91</v>
      </c>
      <c r="G44" s="15"/>
      <c r="N44" t="s">
        <v>91</v>
      </c>
      <c r="O44" s="15"/>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19"/>
      <c r="C49" s="19"/>
      <c r="D49" s="19"/>
      <c r="E49" s="19"/>
      <c r="F49" s="19"/>
      <c r="G49" s="19" t="str">
        <f>'data'!$B$9</f>
      </c>
      <c r="I49" s="19" t="str">
        <f>CONCATENATE("M 6 ",O14)</f>
      </c>
      <c r="J49" s="19"/>
      <c r="K49" s="19"/>
      <c r="L49" s="19"/>
      <c r="M49" s="19"/>
      <c r="N49" s="19"/>
      <c r="O49" s="19" t="str">
        <f>'data'!$B$20</f>
      </c>
    </row>
    <row r="51">
      <c r="F51" t="s">
        <v>90</v>
      </c>
      <c r="G51" s="15"/>
      <c r="N51" t="s">
        <v>90</v>
      </c>
      <c r="O51" s="15"/>
    </row>
    <row r="52">
      <c r="F52" t="s">
        <v>91</v>
      </c>
      <c r="G52" s="15"/>
      <c r="N52" t="s">
        <v>91</v>
      </c>
      <c r="O52" s="15"/>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19"/>
      <c r="C57" s="19"/>
      <c r="D57" s="19"/>
      <c r="E57" s="19"/>
      <c r="F57" s="19"/>
      <c r="G57" s="19" t="str">
        <f>'data'!$B$12</f>
      </c>
      <c r="I57" s="19" t="str">
        <f>CONCATENATE("M 7 ",O22)</f>
      </c>
      <c r="J57" s="19"/>
      <c r="K57" s="19"/>
      <c r="L57" s="19"/>
      <c r="M57" s="19"/>
      <c r="N57" s="19"/>
      <c r="O57" s="19" t="str">
        <f>'data'!$B$22</f>
      </c>
    </row>
    <row r="59">
      <c r="F59" t="s">
        <v>90</v>
      </c>
      <c r="G59" s="15"/>
      <c r="N59" t="s">
        <v>90</v>
      </c>
      <c r="O59" s="15"/>
    </row>
    <row r="60">
      <c r="F60" t="s">
        <v>91</v>
      </c>
      <c r="G60" s="15"/>
      <c r="N60" t="s">
        <v>91</v>
      </c>
      <c r="O60" s="15"/>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19"/>
      <c r="C65" s="19"/>
      <c r="D65" s="19"/>
      <c r="E65" s="19"/>
      <c r="F65" s="19"/>
      <c r="G65" s="19" t="str">
        <f>'data'!$B$14</f>
      </c>
      <c r="I65" s="19" t="str">
        <f>CONCATENATE("M 8 ",O30)</f>
      </c>
      <c r="J65" s="19"/>
      <c r="K65" s="19"/>
      <c r="L65" s="19"/>
      <c r="M65" s="19"/>
      <c r="N65" s="19"/>
      <c r="O65" s="19" t="str">
        <f>'data'!$B$25</f>
      </c>
    </row>
    <row r="67">
      <c r="F67" t="s">
        <v>90</v>
      </c>
      <c r="G67" s="15"/>
      <c r="N67" t="s">
        <v>90</v>
      </c>
      <c r="O67" s="15"/>
    </row>
    <row r="68">
      <c r="F68" t="s">
        <v>91</v>
      </c>
      <c r="G68" s="15"/>
      <c r="N68" t="s">
        <v>91</v>
      </c>
      <c r="O68" s="15"/>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19"/>
      <c r="C78" s="19"/>
      <c r="D78" s="19"/>
      <c r="E78" s="19"/>
      <c r="F78" s="19"/>
      <c r="G78" s="19" t="str">
        <f>CONCATENATE("M 9 ",G43)</f>
      </c>
      <c r="I78" s="19" t="str">
        <f>CONCATENATE("M 14 ",O51)</f>
      </c>
      <c r="J78" s="19"/>
      <c r="K78" s="19"/>
      <c r="L78" s="19"/>
      <c r="M78" s="19"/>
      <c r="N78" s="19"/>
      <c r="O78" s="19" t="str">
        <f>CONCATENATE("M 13 ",O43)</f>
      </c>
    </row>
    <row r="80">
      <c r="F80" t="s">
        <v>90</v>
      </c>
      <c r="G80" s="15"/>
      <c r="N80" t="s">
        <v>90</v>
      </c>
      <c r="O80" s="15"/>
    </row>
    <row r="81">
      <c r="F81" t="s">
        <v>91</v>
      </c>
      <c r="G81" s="15"/>
      <c r="N81" t="s">
        <v>91</v>
      </c>
      <c r="O81" s="15"/>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19"/>
      <c r="C86" s="19"/>
      <c r="D86" s="19"/>
      <c r="E86" s="19"/>
      <c r="F86" s="19"/>
      <c r="G86" s="19" t="str">
        <f>CONCATENATE("M 11 ",G59)</f>
      </c>
      <c r="I86" s="19" t="str">
        <f>CONCATENATE("M 16 ",O67)</f>
      </c>
      <c r="J86" s="19"/>
      <c r="K86" s="19"/>
      <c r="L86" s="19"/>
      <c r="M86" s="19"/>
      <c r="N86" s="19"/>
      <c r="O86" s="19" t="str">
        <f>CONCATENATE("M 15 ",O59)</f>
      </c>
    </row>
    <row r="88">
      <c r="F88" t="s">
        <v>90</v>
      </c>
      <c r="G88" s="15"/>
      <c r="N88" t="s">
        <v>90</v>
      </c>
      <c r="O88" s="15"/>
    </row>
    <row r="89">
      <c r="F89" t="s">
        <v>91</v>
      </c>
      <c r="G89" s="15"/>
      <c r="N89" t="s">
        <v>91</v>
      </c>
      <c r="O89" s="15"/>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19"/>
      <c r="C99" s="19"/>
      <c r="D99" s="19"/>
      <c r="E99" s="19"/>
      <c r="F99" s="19"/>
      <c r="G99" s="19" t="str">
        <f>CONCATENATE("M 17 ",G80)</f>
      </c>
      <c r="I99" s="19" t="str">
        <f>CONCATENATE("M 20 ",O88)</f>
      </c>
      <c r="J99" s="19"/>
      <c r="K99" s="19"/>
      <c r="L99" s="19"/>
      <c r="M99" s="19"/>
      <c r="N99" s="19"/>
      <c r="O99" s="19" t="str">
        <f>CONCATENATE("M 19 ",O80)</f>
      </c>
    </row>
    <row r="101">
      <c r="F101" t="s">
        <v>90</v>
      </c>
      <c r="G101" s="15"/>
      <c r="N101" t="s">
        <v>90</v>
      </c>
      <c r="O101" s="15"/>
    </row>
    <row r="102">
      <c r="F102" t="s">
        <v>91</v>
      </c>
      <c r="G102" s="15"/>
      <c r="N102" t="s">
        <v>91</v>
      </c>
      <c r="O102" s="15"/>
    </row>
    <row r="110">
      <c r="A110" s="11" t="s">
        <v>113</v>
      </c>
      <c r="B110" s="11"/>
      <c r="C110" s="11"/>
      <c r="D110" s="11"/>
      <c r="E110" s="11"/>
      <c r="F110" s="11"/>
      <c r="G110" s="11"/>
    </row>
    <row r="111">
      <c r="A111" s="21" t="s">
        <v>87</v>
      </c>
      <c r="D111" s="19" t="s">
        <v>88</v>
      </c>
      <c r="G111" s="20" t="s">
        <v>89</v>
      </c>
    </row>
    <row r="112">
      <c r="A112" s="19" t="str">
        <f>CONCATENATE("M 22 ",O101)</f>
      </c>
      <c r="B112" s="19"/>
      <c r="C112" s="19"/>
      <c r="D112" s="19"/>
      <c r="E112" s="19"/>
      <c r="F112" s="19"/>
      <c r="G112" s="19" t="str">
        <f>CONCATENATE("M 21 ",G101)</f>
      </c>
    </row>
    <row r="114">
      <c r="F114" t="s">
        <v>90</v>
      </c>
      <c r="G114" s="15"/>
    </row>
    <row r="115">
      <c r="F115" t="s">
        <v>91</v>
      </c>
      <c r="G115" s="15"/>
    </row>
  </sheetData>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3</v>
      </c>
      <c r="B9" s="18" t="str">
        <f>data!D6</f>
      </c>
    </row>
    <row r="10" ht="270" customHeight="true">
      <c r="A10" s="17">
        <v>11</v>
      </c>
      <c r="B10" s="18" t="str">
        <f>data!D14</f>
      </c>
    </row>
    <row r="11" ht="270" customHeight="true">
      <c r="A11" s="17">
        <v>12</v>
      </c>
      <c r="B11" s="18" t="str">
        <f>data!D15</f>
      </c>
    </row>
    <row r="12" ht="270" customHeight="true">
      <c r="A12" s="17">
        <v>13</v>
      </c>
      <c r="B12" s="18" t="str">
        <f>data!D16</f>
      </c>
    </row>
    <row r="13" ht="270" customHeight="true">
      <c r="A13" s="17">
        <v>14</v>
      </c>
      <c r="B13" s="18" t="str">
        <f>data!D17</f>
      </c>
    </row>
    <row r="14" ht="270" customHeight="true">
      <c r="A14" s="17">
        <v>15</v>
      </c>
      <c r="B14" s="18" t="str">
        <f>data!D18</f>
      </c>
    </row>
    <row r="15" ht="270" customHeight="true">
      <c r="A15" s="17">
        <v>16</v>
      </c>
      <c r="B15" s="18" t="str">
        <f>data!D19</f>
      </c>
    </row>
    <row r="16" ht="270" customHeight="true">
      <c r="A16" s="17">
        <v>17</v>
      </c>
      <c r="B16" s="18" t="str">
        <f>data!D20</f>
      </c>
    </row>
    <row r="17" ht="270" customHeight="true">
      <c r="A17" s="17">
        <v>1</v>
      </c>
      <c r="B17" s="18" t="str">
        <f>data!D4</f>
      </c>
    </row>
    <row r="18" ht="270" customHeight="true">
      <c r="A18" s="17">
        <v>18</v>
      </c>
      <c r="B18" s="18" t="str">
        <f>data!D21</f>
      </c>
    </row>
    <row r="19" ht="270" customHeight="true">
      <c r="A19" s="17">
        <v>19</v>
      </c>
      <c r="B19" s="18" t="str">
        <f>data!D22</f>
      </c>
    </row>
    <row r="20" ht="270" customHeight="true">
      <c r="A20" s="17">
        <v>20</v>
      </c>
      <c r="B20" s="18" t="str">
        <f>data!D23</f>
      </c>
    </row>
    <row r="21" ht="270" customHeight="true">
      <c r="A21" s="17">
        <v>21</v>
      </c>
      <c r="B21" s="18" t="str">
        <f>data!D24</f>
      </c>
    </row>
    <row r="22" ht="270" customHeight="true">
      <c r="A22" s="17">
        <v>22</v>
      </c>
      <c r="B22" s="18" t="str">
        <f>data!D25</f>
      </c>
    </row>
    <row r="23" ht="270" customHeight="true">
      <c r="A23" s="17">
        <v>23</v>
      </c>
      <c r="B23" s="18" t="str">
        <f>data!D26</f>
      </c>
    </row>
    <row r="24" ht="270" customHeight="true">
      <c r="A24" s="17">
        <v>2</v>
      </c>
      <c r="B24" s="18" t="str">
        <f>data!D5</f>
      </c>
    </row>
  </sheetData>
  <pageMargins left="0.1" right="0.1" top="0.1" bottom="0.1" header="0.1" footer="0.1"/>
  <pageSetup orientation="landscape" paperSize="8"/>
  <rowBreaks count="8" manualBreakCount="8">
    <brk id="3" max="16383" man="true"/>
    <brk id="6" max="16383" man="true"/>
    <brk id="9" max="16383" man="true"/>
    <brk id="12" max="16383" man="true"/>
    <brk id="15" max="16383" man="true"/>
    <brk id="18" max="16383" man="true"/>
    <brk id="21" max="16383" man="true"/>
    <brk id="24"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9</v>
      </c>
    </row>
    <row r="9">
      <c r="C9" s="16" t="s">
        <v>30</v>
      </c>
      <c r="G9" s="12"/>
      <c r="H9" s="14"/>
      <c r="I9" s="12"/>
    </row>
    <row r="10">
      <c r="D10" s="14"/>
      <c r="E10" s="13">
        <v>1</v>
      </c>
      <c r="F10" s="15"/>
      <c r="G10" s="12"/>
      <c r="I10" s="12"/>
    </row>
    <row r="11">
      <c r="C11" s="16" t="s">
        <v>33</v>
      </c>
      <c r="D11" s="15"/>
      <c r="E11" s="12"/>
      <c r="I11" s="12"/>
    </row>
    <row r="12">
      <c r="I12" s="13">
        <v>17</v>
      </c>
    </row>
    <row r="13">
      <c r="I13" s="12"/>
      <c r="J13" s="14"/>
      <c r="K13" s="12"/>
    </row>
    <row r="14">
      <c r="E14" s="16" t="s">
        <v>36</v>
      </c>
      <c r="I14" s="12"/>
      <c r="K14" s="12"/>
    </row>
    <row r="15">
      <c r="F15" s="14"/>
      <c r="G15" s="12"/>
      <c r="I15" s="12"/>
      <c r="K15" s="12"/>
    </row>
    <row r="16">
      <c r="G16" s="13">
        <v>10</v>
      </c>
      <c r="H16" s="15"/>
      <c r="I16" s="12"/>
      <c r="K16" s="12"/>
    </row>
    <row r="17">
      <c r="C17" s="16" t="s">
        <v>39</v>
      </c>
      <c r="G17" s="12"/>
      <c r="K17" s="12"/>
    </row>
    <row r="18">
      <c r="D18" s="14"/>
      <c r="E18" s="13">
        <v>2</v>
      </c>
      <c r="F18" s="15"/>
      <c r="G18" s="12"/>
      <c r="K18" s="12"/>
    </row>
    <row r="19">
      <c r="C19" s="16" t="s">
        <v>42</v>
      </c>
      <c r="D19" s="15"/>
      <c r="E19" s="12"/>
      <c r="K19" s="12"/>
    </row>
    <row r="20">
      <c r="K20" s="13">
        <v>21</v>
      </c>
    </row>
    <row r="21">
      <c r="K21" s="12"/>
    </row>
    <row r="22">
      <c r="E22" s="16" t="s">
        <v>42</v>
      </c>
      <c r="K22" s="12"/>
    </row>
    <row r="23">
      <c r="F23" s="14"/>
      <c r="G23" s="12"/>
      <c r="K23" s="12"/>
    </row>
    <row r="24">
      <c r="G24" s="13">
        <v>11</v>
      </c>
      <c r="K24" s="12"/>
    </row>
    <row r="25">
      <c r="C25" s="16" t="s">
        <v>45</v>
      </c>
      <c r="G25" s="12"/>
      <c r="H25" s="14"/>
      <c r="I25" s="12"/>
      <c r="K25" s="12"/>
    </row>
    <row r="26">
      <c r="D26" s="14"/>
      <c r="E26" s="13">
        <v>3</v>
      </c>
      <c r="F26" s="15"/>
      <c r="G26" s="12"/>
      <c r="I26" s="12"/>
      <c r="K26" s="12"/>
    </row>
    <row r="27">
      <c r="C27" s="16" t="s">
        <v>27</v>
      </c>
      <c r="D27" s="15"/>
      <c r="E27" s="12"/>
      <c r="I27" s="12"/>
      <c r="K27" s="12"/>
    </row>
    <row r="28">
      <c r="I28" s="13">
        <v>18</v>
      </c>
      <c r="J28" s="15"/>
      <c r="K28" s="12"/>
    </row>
    <row r="29">
      <c r="I29" s="12"/>
    </row>
    <row r="30">
      <c r="E30" s="16" t="s">
        <v>48</v>
      </c>
      <c r="I30" s="12"/>
    </row>
    <row r="31">
      <c r="F31" s="14"/>
      <c r="G31" s="12"/>
      <c r="I31" s="12"/>
    </row>
    <row r="32">
      <c r="G32" s="13">
        <v>12</v>
      </c>
      <c r="H32" s="15"/>
      <c r="I32" s="12"/>
    </row>
    <row r="33">
      <c r="C33" s="16" t="s">
        <v>51</v>
      </c>
      <c r="G33" s="12"/>
    </row>
    <row r="34">
      <c r="D34" s="14"/>
      <c r="E34" s="13">
        <v>4</v>
      </c>
      <c r="F34" s="15"/>
      <c r="G34" s="12"/>
    </row>
    <row r="35">
      <c r="C35" s="16" t="s">
        <v>54</v>
      </c>
      <c r="D35" s="15"/>
      <c r="E35" s="12"/>
    </row>
  </sheetData>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57</v>
      </c>
    </row>
    <row r="7">
      <c r="F7" s="14"/>
      <c r="G7" s="12"/>
    </row>
    <row r="8">
      <c r="G8" s="13">
        <v>13</v>
      </c>
    </row>
    <row r="9">
      <c r="C9" s="16" t="s">
        <v>60</v>
      </c>
      <c r="G9" s="12"/>
      <c r="H9" s="14"/>
      <c r="I9" s="12"/>
    </row>
    <row r="10">
      <c r="D10" s="14"/>
      <c r="E10" s="13">
        <v>5</v>
      </c>
      <c r="F10" s="15"/>
      <c r="G10" s="12"/>
      <c r="I10" s="12"/>
    </row>
    <row r="11">
      <c r="C11" s="16" t="s">
        <v>63</v>
      </c>
      <c r="D11" s="15"/>
      <c r="E11" s="12"/>
      <c r="I11" s="12"/>
    </row>
    <row r="12">
      <c r="I12" s="13">
        <v>19</v>
      </c>
    </row>
    <row r="13">
      <c r="I13" s="12"/>
      <c r="J13" s="14"/>
      <c r="K13" s="12"/>
    </row>
    <row r="14">
      <c r="E14" s="16" t="s">
        <v>66</v>
      </c>
      <c r="I14" s="12"/>
      <c r="K14" s="12"/>
    </row>
    <row r="15">
      <c r="F15" s="14"/>
      <c r="G15" s="12"/>
      <c r="I15" s="12"/>
      <c r="K15" s="12"/>
    </row>
    <row r="16">
      <c r="G16" s="13">
        <v>14</v>
      </c>
      <c r="H16" s="15"/>
      <c r="I16" s="12"/>
      <c r="K16" s="12"/>
    </row>
    <row r="17">
      <c r="C17" s="16" t="s">
        <v>21</v>
      </c>
      <c r="G17" s="12"/>
      <c r="K17" s="12"/>
    </row>
    <row r="18">
      <c r="D18" s="14"/>
      <c r="E18" s="13">
        <v>6</v>
      </c>
      <c r="F18" s="15"/>
      <c r="G18" s="12"/>
      <c r="K18" s="12"/>
    </row>
    <row r="19">
      <c r="C19" s="16" t="s">
        <v>18</v>
      </c>
      <c r="D19" s="15"/>
      <c r="E19" s="12"/>
      <c r="K19" s="12"/>
    </row>
    <row r="20">
      <c r="K20" s="13">
        <v>22</v>
      </c>
    </row>
    <row r="21">
      <c r="K21" s="12"/>
    </row>
    <row r="22">
      <c r="E22" s="16" t="s">
        <v>71</v>
      </c>
      <c r="K22" s="12"/>
    </row>
    <row r="23">
      <c r="F23" s="14"/>
      <c r="G23" s="12"/>
      <c r="K23" s="12"/>
    </row>
    <row r="24">
      <c r="G24" s="13">
        <v>15</v>
      </c>
      <c r="K24" s="12"/>
    </row>
    <row r="25">
      <c r="C25" s="16" t="s">
        <v>74</v>
      </c>
      <c r="G25" s="12"/>
      <c r="H25" s="14"/>
      <c r="I25" s="12"/>
      <c r="K25" s="12"/>
    </row>
    <row r="26">
      <c r="D26" s="14"/>
      <c r="E26" s="13">
        <v>7</v>
      </c>
      <c r="F26" s="15"/>
      <c r="G26" s="12"/>
      <c r="I26" s="12"/>
      <c r="K26" s="12"/>
    </row>
    <row r="27">
      <c r="C27" s="16" t="s">
        <v>77</v>
      </c>
      <c r="D27" s="15"/>
      <c r="E27" s="12"/>
      <c r="I27" s="12"/>
      <c r="K27" s="12"/>
    </row>
    <row r="28">
      <c r="I28" s="13">
        <v>20</v>
      </c>
      <c r="J28" s="15"/>
      <c r="K28" s="12"/>
    </row>
    <row r="29">
      <c r="I29" s="12"/>
    </row>
    <row r="30">
      <c r="E30" s="16" t="s">
        <v>80</v>
      </c>
      <c r="I30" s="12"/>
    </row>
    <row r="31">
      <c r="F31" s="14"/>
      <c r="G31" s="12"/>
      <c r="I31" s="12"/>
    </row>
    <row r="32">
      <c r="G32" s="13">
        <v>16</v>
      </c>
      <c r="H32" s="15"/>
      <c r="I32" s="12"/>
    </row>
    <row r="33">
      <c r="C33" s="16" t="s">
        <v>83</v>
      </c>
      <c r="G33" s="12"/>
    </row>
    <row r="34">
      <c r="D34" s="14"/>
      <c r="E34" s="13">
        <v>8</v>
      </c>
      <c r="F34" s="15"/>
      <c r="G34" s="12"/>
    </row>
    <row r="35">
      <c r="C35" s="16" t="s">
        <v>24</v>
      </c>
      <c r="D35" s="15"/>
      <c r="E35" s="12"/>
    </row>
  </sheetData>
  <mergeCells count="1">
    <mergeCell ref="A1:P1"/>
  </mergeCell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