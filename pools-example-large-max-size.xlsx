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<sst xmlns="http://schemas.openxmlformats.org/spreadsheetml/2006/main" count="412" uniqueCount="412">
  <si>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</si>
  <si>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</si>
  <si>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</si>
  <si>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</si>
  <si>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</si>
  <si>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</si>
  <si>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</si>
  <si>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</si>
  <si>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</si>
  <si>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</si>
  <si>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</si>
  <si>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</si>
  <si>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</si>
  <si>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</si>
  <si>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</si>
  <si>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</si>
  <si>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</si>
  <si>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Kaden Martin</t>
  </si>
  <si>
    <t>Team Alpha</t>
  </si>
  <si>
    <t>MARTIN</t>
  </si>
  <si>
    <t>Jane Austen</t>
  </si>
  <si>
    <t>Team Kappa</t>
  </si>
  <si>
    <t>AUSTEN</t>
  </si>
  <si>
    <t>Quirinus Quirrell</t>
  </si>
  <si>
    <t>Team Rho</t>
  </si>
  <si>
    <t>QUIRRELL</t>
  </si>
  <si>
    <t>Pool B</t>
  </si>
  <si>
    <t>Michael Lewis</t>
  </si>
  <si>
    <t>Team Gamma</t>
  </si>
  <si>
    <t>LEWIS</t>
  </si>
  <si>
    <t>Bram Stoker</t>
  </si>
  <si>
    <t>Team Beta</t>
  </si>
  <si>
    <t>STOKER</t>
  </si>
  <si>
    <t>Isaac White</t>
  </si>
  <si>
    <t>Team Iota</t>
  </si>
  <si>
    <t>WHITE</t>
  </si>
  <si>
    <t>Pool C</t>
  </si>
  <si>
    <t>Oliver Walker</t>
  </si>
  <si>
    <t>Team Epsilon</t>
  </si>
  <si>
    <t>WALKER</t>
  </si>
  <si>
    <t>Nolan Clark</t>
  </si>
  <si>
    <t>Team Delta</t>
  </si>
  <si>
    <t>CLARK</t>
  </si>
  <si>
    <t>Petyr Baelish</t>
  </si>
  <si>
    <t>Team Pi</t>
  </si>
  <si>
    <t>BAELISH</t>
  </si>
  <si>
    <t>Pool D</t>
  </si>
  <si>
    <t>Gabriel Thomas</t>
  </si>
  <si>
    <t>Team Eta</t>
  </si>
  <si>
    <t>THOMAS</t>
  </si>
  <si>
    <t>Kevin Clark</t>
  </si>
  <si>
    <t>Tyrion Lannister</t>
  </si>
  <si>
    <t>Team Upsilon</t>
  </si>
  <si>
    <t>LANNISTER</t>
  </si>
  <si>
    <t>Pool E</t>
  </si>
  <si>
    <t>Victor Lopez</t>
  </si>
  <si>
    <t>LOPEZ</t>
  </si>
  <si>
    <t>Charles Dickens</t>
  </si>
  <si>
    <t>DICKENS</t>
  </si>
  <si>
    <t>Katniss Everdeen</t>
  </si>
  <si>
    <t>Team Lambda</t>
  </si>
  <si>
    <t>EVERDEEN</t>
  </si>
  <si>
    <t>Pool F</t>
  </si>
  <si>
    <t>Samwise Gamgee</t>
  </si>
  <si>
    <t>Team Tau</t>
  </si>
  <si>
    <t>GAMGEE</t>
  </si>
  <si>
    <t>Mary Shelley</t>
  </si>
  <si>
    <t>Team Nu</t>
  </si>
  <si>
    <t>SHELLEY</t>
  </si>
  <si>
    <t>Ron Weasley</t>
  </si>
  <si>
    <t>Team Sigma</t>
  </si>
  <si>
    <t>WEASLEY</t>
  </si>
  <si>
    <t>Pool G</t>
  </si>
  <si>
    <t>Xavier Scott</t>
  </si>
  <si>
    <t>SCOTT</t>
  </si>
  <si>
    <t>Emily Bronte</t>
  </si>
  <si>
    <t>BRONTE</t>
  </si>
  <si>
    <t>Othello</t>
  </si>
  <si>
    <t>Team Omicron</t>
  </si>
  <si>
    <t>OTHELLO</t>
  </si>
  <si>
    <t>Pool H</t>
  </si>
  <si>
    <t>Ryan Hall</t>
  </si>
  <si>
    <t>Team Theta</t>
  </si>
  <si>
    <t>HALL</t>
  </si>
  <si>
    <t>Fyodor Dostoevsky</t>
  </si>
  <si>
    <t>Team Zeta</t>
  </si>
  <si>
    <t>DOSTOEVSKY</t>
  </si>
  <si>
    <t>Ygritte</t>
  </si>
  <si>
    <t>YGRITTE</t>
  </si>
  <si>
    <t>Pool I</t>
  </si>
  <si>
    <t>Quentin Allen</t>
  </si>
  <si>
    <t>ALLEN</t>
  </si>
  <si>
    <t>Neville Longbottom</t>
  </si>
  <si>
    <t>Team Xi</t>
  </si>
  <si>
    <t>LONGBOTTOM</t>
  </si>
  <si>
    <t>Virginia Woolf</t>
  </si>
  <si>
    <t>Team Chi</t>
  </si>
  <si>
    <t>WOOLF</t>
  </si>
  <si>
    <t>Pool J</t>
  </si>
  <si>
    <t>William Hill</t>
  </si>
  <si>
    <t>HILL</t>
  </si>
  <si>
    <t>Herman Melville</t>
  </si>
  <si>
    <t>MELVILLE</t>
  </si>
  <si>
    <t>Yann Martel</t>
  </si>
  <si>
    <t>MARTEL</t>
  </si>
  <si>
    <t>Pool K</t>
  </si>
  <si>
    <t>Steven Hernandez</t>
  </si>
  <si>
    <t>HERNANDEZ</t>
  </si>
  <si>
    <t>Tristan Young</t>
  </si>
  <si>
    <t>YOUNG</t>
  </si>
  <si>
    <t>Legolas Greenleaf</t>
  </si>
  <si>
    <t>Team Mu</t>
  </si>
  <si>
    <t>GREENLEAF</t>
  </si>
  <si>
    <t>Pool L</t>
  </si>
  <si>
    <t>Owen Rodriguez</t>
  </si>
  <si>
    <t>RODRIGUEZ</t>
  </si>
  <si>
    <t>Ulysses Hernandez</t>
  </si>
  <si>
    <t>Willy Wonka</t>
  </si>
  <si>
    <t>Team Psi</t>
  </si>
  <si>
    <t>WONKA</t>
  </si>
  <si>
    <t>Pool M</t>
  </si>
  <si>
    <t>Dylan Moore</t>
  </si>
  <si>
    <t>MOORE</t>
  </si>
  <si>
    <t>George Orwell</t>
  </si>
  <si>
    <t>ORWELL</t>
  </si>
  <si>
    <t>Parker Lewis</t>
  </si>
  <si>
    <t>Pool N</t>
  </si>
  <si>
    <t>Yosef Green</t>
  </si>
  <si>
    <t>GREEN</t>
  </si>
  <si>
    <t>Mason Martinez</t>
  </si>
  <si>
    <t>MARTINEZ</t>
  </si>
  <si>
    <t>Uriel Wright</t>
  </si>
  <si>
    <t>WRIGHT</t>
  </si>
  <si>
    <t>Pool O</t>
  </si>
  <si>
    <t>Liam Thompson</t>
  </si>
  <si>
    <t>THOMPSON</t>
  </si>
  <si>
    <t>Zachary Adams</t>
  </si>
  <si>
    <t>ADAMS</t>
  </si>
  <si>
    <t>Xaro Xhoan Daxos</t>
  </si>
  <si>
    <t>Team Omega</t>
  </si>
  <si>
    <t>DAXOS</t>
  </si>
  <si>
    <t>Pool P</t>
  </si>
  <si>
    <t>Isaac Asimov</t>
  </si>
  <si>
    <t>ASIMOV</t>
  </si>
  <si>
    <t>Ursula K Le Guin</t>
  </si>
  <si>
    <t>Team Phi</t>
  </si>
  <si>
    <t>LE GUIN</t>
  </si>
  <si>
    <t>Pool Q</t>
  </si>
  <si>
    <t>Xavier Herbert</t>
  </si>
  <si>
    <t>HERBERT</t>
  </si>
  <si>
    <t>Lewis Carroll</t>
  </si>
  <si>
    <t>CARROLL</t>
  </si>
  <si>
    <t>William Shakespeare</t>
  </si>
  <si>
    <t>SHAKESPEARE</t>
  </si>
  <si>
    <t>Pool R</t>
  </si>
  <si>
    <t>Nathan Lee</t>
  </si>
  <si>
    <t>LEE</t>
  </si>
  <si>
    <t>Yosef Hill</t>
  </si>
  <si>
    <t>Aaron Thompson</t>
  </si>
  <si>
    <t>Pool S</t>
  </si>
  <si>
    <t>Finn Anderson</t>
  </si>
  <si>
    <t>ANDERSON</t>
  </si>
  <si>
    <t>Luke Rodriguez</t>
  </si>
  <si>
    <t>Arthur Conan</t>
  </si>
  <si>
    <t>CONAN</t>
  </si>
  <si>
    <t>Pool T</t>
  </si>
  <si>
    <t>Hudson Jackson</t>
  </si>
  <si>
    <t>JACKSON</t>
  </si>
  <si>
    <t>William Wright</t>
  </si>
  <si>
    <t>Ulysses</t>
  </si>
  <si>
    <t>ULYSSES</t>
  </si>
  <si>
    <t>Pool U</t>
  </si>
  <si>
    <t>Paul Hall</t>
  </si>
  <si>
    <t>Quinn Walker</t>
  </si>
  <si>
    <t>Voldemort</t>
  </si>
  <si>
    <t>VOLDEMORT</t>
  </si>
  <si>
    <t>Pool V</t>
  </si>
  <si>
    <t>Thomas King</t>
  </si>
  <si>
    <t>KING</t>
  </si>
  <si>
    <t>Xavier Lopez</t>
  </si>
  <si>
    <t>Hermione Granger</t>
  </si>
  <si>
    <t>GRANGER</t>
  </si>
  <si>
    <t>Pool W</t>
  </si>
  <si>
    <t>Robert Young</t>
  </si>
  <si>
    <t>Vincent King</t>
  </si>
  <si>
    <t>Albus Dumbledore</t>
  </si>
  <si>
    <t>DUMBLEDORE</t>
  </si>
  <si>
    <t>Pool X</t>
  </si>
  <si>
    <t>Jackson Harris</t>
  </si>
  <si>
    <t>HARRIS</t>
  </si>
  <si>
    <t>Nathaniel Hawthorne</t>
  </si>
  <si>
    <t>HAWTHORNE</t>
  </si>
  <si>
    <t>Inigo Montoya</t>
  </si>
  <si>
    <t>MONTOYA</t>
  </si>
  <si>
    <t>Pool Y</t>
  </si>
  <si>
    <t>Sebastian Allen</t>
  </si>
  <si>
    <t>Kurt Vonnegut</t>
  </si>
  <si>
    <t>VONNEGUT</t>
  </si>
  <si>
    <t>Daenerys Targaryen</t>
  </si>
  <si>
    <t>TARGARYEN</t>
  </si>
  <si>
    <t>Pool Z</t>
  </si>
  <si>
    <t>Caleb Wilson</t>
  </si>
  <si>
    <t>WILSON</t>
  </si>
  <si>
    <t>Oscar Wilde</t>
  </si>
  <si>
    <t>WILDE</t>
  </si>
  <si>
    <t>Gandalf The Grey</t>
  </si>
  <si>
    <t>GANDALF</t>
  </si>
  <si>
    <t>Pool AA</t>
  </si>
  <si>
    <t>Benjamin Evans</t>
  </si>
  <si>
    <t>EVANS</t>
  </si>
  <si>
    <t>Philip K Dick</t>
  </si>
  <si>
    <t>DICK</t>
  </si>
  <si>
    <t>Frodo Baggins</t>
  </si>
  <si>
    <t>BAGGINS</t>
  </si>
  <si>
    <t>Pool BB</t>
  </si>
  <si>
    <t>Moby Dick</t>
  </si>
  <si>
    <t>Quentin Blake</t>
  </si>
  <si>
    <t>BLAKE</t>
  </si>
  <si>
    <t>Eddard Stark</t>
  </si>
  <si>
    <t>STARK</t>
  </si>
  <si>
    <t>Pool CC</t>
  </si>
  <si>
    <t>Jon Snow</t>
  </si>
  <si>
    <t>SNOW</t>
  </si>
  <si>
    <t>Ray Bradbury</t>
  </si>
  <si>
    <t>BRADBURY</t>
  </si>
  <si>
    <t>Bilbo Baggins</t>
  </si>
  <si>
    <t>Pool DD</t>
  </si>
  <si>
    <t>Elijah Taylor</t>
  </si>
  <si>
    <t>TAYLOR</t>
  </si>
  <si>
    <t>Sylvia Plath</t>
  </si>
  <si>
    <t>PLATH</t>
  </si>
  <si>
    <t>Cersei Lannister</t>
  </si>
  <si>
    <t>Pool EE</t>
  </si>
  <si>
    <t>Daniel Defoe</t>
  </si>
  <si>
    <t>DEFOE</t>
  </si>
  <si>
    <t>Thomas Hardy</t>
  </si>
  <si>
    <t>HARDY</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</si>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</sst>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18</v>
      </c>
      <c r="D13" t="s">
        <v>42</v>
      </c>
    </row>
    <row r="14">
      <c r="A14" t="s">
        <v>46</v>
      </c>
      <c r="B14" t="s">
        <v>51</v>
      </c>
      <c r="C14" t="s">
        <v>52</v>
      </c>
      <c r="D14" t="s">
        <v>53</v>
      </c>
    </row>
    <row r="15">
      <c r="A15" t="s">
        <v>54</v>
      </c>
      <c r="B15" t="s">
        <v>55</v>
      </c>
      <c r="C15" t="s">
        <v>31</v>
      </c>
      <c r="D15" t="s">
        <v>56</v>
      </c>
    </row>
    <row r="16">
      <c r="A16" t="s">
        <v>54</v>
      </c>
      <c r="B16" t="s">
        <v>57</v>
      </c>
      <c r="C16" t="s">
        <v>28</v>
      </c>
      <c r="D16" t="s">
        <v>58</v>
      </c>
    </row>
    <row r="17">
      <c r="A17" t="s">
        <v>54</v>
      </c>
      <c r="B17" t="s">
        <v>59</v>
      </c>
      <c r="C17" t="s">
        <v>60</v>
      </c>
      <c r="D17" t="s">
        <v>61</v>
      </c>
    </row>
    <row r="18">
      <c r="A18" t="s">
        <v>62</v>
      </c>
      <c r="B18" t="s">
        <v>63</v>
      </c>
      <c r="C18" t="s">
        <v>64</v>
      </c>
      <c r="D18" t="s">
        <v>65</v>
      </c>
    </row>
    <row r="19">
      <c r="A19" t="s">
        <v>62</v>
      </c>
      <c r="B19" t="s">
        <v>66</v>
      </c>
      <c r="C19" t="s">
        <v>67</v>
      </c>
      <c r="D19" t="s">
        <v>68</v>
      </c>
    </row>
    <row r="20">
      <c r="A20" t="s">
        <v>62</v>
      </c>
      <c r="B20" t="s">
        <v>69</v>
      </c>
      <c r="C20" t="s">
        <v>70</v>
      </c>
      <c r="D20" t="s">
        <v>71</v>
      </c>
    </row>
    <row r="21">
      <c r="A21" t="s">
        <v>72</v>
      </c>
      <c r="B21" t="s">
        <v>73</v>
      </c>
      <c r="C21" t="s">
        <v>41</v>
      </c>
      <c r="D21" t="s">
        <v>74</v>
      </c>
    </row>
    <row r="22">
      <c r="A22" t="s">
        <v>72</v>
      </c>
      <c r="B22" t="s">
        <v>75</v>
      </c>
      <c r="C22" t="s">
        <v>38</v>
      </c>
      <c r="D22" t="s">
        <v>76</v>
      </c>
    </row>
    <row r="23">
      <c r="A23" t="s">
        <v>72</v>
      </c>
      <c r="B23" t="s">
        <v>77</v>
      </c>
      <c r="C23" t="s">
        <v>78</v>
      </c>
      <c r="D23" t="s">
        <v>79</v>
      </c>
    </row>
    <row r="24">
      <c r="A24" t="s">
        <v>80</v>
      </c>
      <c r="B24" t="s">
        <v>81</v>
      </c>
      <c r="C24" t="s">
        <v>82</v>
      </c>
      <c r="D24" t="s">
        <v>83</v>
      </c>
    </row>
    <row r="25">
      <c r="A25" t="s">
        <v>80</v>
      </c>
      <c r="B25" t="s">
        <v>84</v>
      </c>
      <c r="C25" t="s">
        <v>85</v>
      </c>
      <c r="D25" t="s">
        <v>86</v>
      </c>
    </row>
    <row r="26">
      <c r="A26" t="s">
        <v>80</v>
      </c>
      <c r="B26" t="s">
        <v>87</v>
      </c>
      <c r="C26" t="s">
        <v>18</v>
      </c>
      <c r="D26" t="s">
        <v>88</v>
      </c>
    </row>
    <row r="27">
      <c r="A27" t="s">
        <v>89</v>
      </c>
      <c r="B27" t="s">
        <v>90</v>
      </c>
      <c r="C27" t="s">
        <v>31</v>
      </c>
      <c r="D27" t="s">
        <v>91</v>
      </c>
    </row>
    <row r="28">
      <c r="A28" t="s">
        <v>89</v>
      </c>
      <c r="B28" t="s">
        <v>92</v>
      </c>
      <c r="C28" t="s">
        <v>93</v>
      </c>
      <c r="D28" t="s">
        <v>94</v>
      </c>
    </row>
    <row r="29">
      <c r="A29" t="s">
        <v>89</v>
      </c>
      <c r="B29" t="s">
        <v>95</v>
      </c>
      <c r="C29" t="s">
        <v>96</v>
      </c>
      <c r="D29" t="s">
        <v>97</v>
      </c>
    </row>
    <row r="30">
      <c r="A30" t="s">
        <v>98</v>
      </c>
      <c r="B30" t="s">
        <v>99</v>
      </c>
      <c r="C30" t="s">
        <v>28</v>
      </c>
      <c r="D30" t="s">
        <v>100</v>
      </c>
    </row>
    <row r="31">
      <c r="A31" t="s">
        <v>98</v>
      </c>
      <c r="B31" t="s">
        <v>101</v>
      </c>
      <c r="C31" t="s">
        <v>82</v>
      </c>
      <c r="D31" t="s">
        <v>102</v>
      </c>
    </row>
    <row r="32">
      <c r="A32" t="s">
        <v>98</v>
      </c>
      <c r="B32" t="s">
        <v>103</v>
      </c>
      <c r="C32" t="s">
        <v>18</v>
      </c>
      <c r="D32" t="s">
        <v>104</v>
      </c>
    </row>
    <row r="33">
      <c r="A33" t="s">
        <v>105</v>
      </c>
      <c r="B33" t="s">
        <v>106</v>
      </c>
      <c r="C33" t="s">
        <v>41</v>
      </c>
      <c r="D33" t="s">
        <v>107</v>
      </c>
    </row>
    <row r="34">
      <c r="A34" t="s">
        <v>105</v>
      </c>
      <c r="B34" t="s">
        <v>108</v>
      </c>
      <c r="C34" t="s">
        <v>21</v>
      </c>
      <c r="D34" t="s">
        <v>109</v>
      </c>
    </row>
    <row r="35">
      <c r="A35" t="s">
        <v>105</v>
      </c>
      <c r="B35" t="s">
        <v>110</v>
      </c>
      <c r="C35" t="s">
        <v>111</v>
      </c>
      <c r="D35" t="s">
        <v>112</v>
      </c>
    </row>
    <row r="36">
      <c r="A36" t="s">
        <v>113</v>
      </c>
      <c r="B36" t="s">
        <v>114</v>
      </c>
      <c r="C36" t="s">
        <v>38</v>
      </c>
      <c r="D36" t="s">
        <v>115</v>
      </c>
    </row>
    <row r="37">
      <c r="A37" t="s">
        <v>113</v>
      </c>
      <c r="B37" t="s">
        <v>116</v>
      </c>
      <c r="C37" t="s">
        <v>18</v>
      </c>
      <c r="D37" t="s">
        <v>107</v>
      </c>
    </row>
    <row r="38">
      <c r="A38" t="s">
        <v>113</v>
      </c>
      <c r="B38" t="s">
        <v>117</v>
      </c>
      <c r="C38" t="s">
        <v>118</v>
      </c>
      <c r="D38" t="s">
        <v>119</v>
      </c>
    </row>
    <row r="39">
      <c r="A39" t="s">
        <v>120</v>
      </c>
      <c r="B39" t="s">
        <v>121</v>
      </c>
      <c r="C39" t="s">
        <v>41</v>
      </c>
      <c r="D39" t="s">
        <v>122</v>
      </c>
    </row>
    <row r="40">
      <c r="A40" t="s">
        <v>120</v>
      </c>
      <c r="B40" t="s">
        <v>123</v>
      </c>
      <c r="C40" t="s">
        <v>48</v>
      </c>
      <c r="D40" t="s">
        <v>124</v>
      </c>
    </row>
    <row r="41">
      <c r="A41" t="s">
        <v>120</v>
      </c>
      <c r="B41" t="s">
        <v>125</v>
      </c>
      <c r="C41" t="s">
        <v>85</v>
      </c>
      <c r="D41" t="s">
        <v>29</v>
      </c>
    </row>
    <row r="42">
      <c r="A42" t="s">
        <v>126</v>
      </c>
      <c r="B42" t="s">
        <v>127</v>
      </c>
      <c r="C42" t="s">
        <v>38</v>
      </c>
      <c r="D42" t="s">
        <v>128</v>
      </c>
    </row>
    <row r="43">
      <c r="A43" t="s">
        <v>126</v>
      </c>
      <c r="B43" t="s">
        <v>129</v>
      </c>
      <c r="C43" t="s">
        <v>28</v>
      </c>
      <c r="D43" t="s">
        <v>130</v>
      </c>
    </row>
    <row r="44">
      <c r="A44" t="s">
        <v>126</v>
      </c>
      <c r="B44" t="s">
        <v>131</v>
      </c>
      <c r="C44" t="s">
        <v>18</v>
      </c>
      <c r="D44" t="s">
        <v>132</v>
      </c>
    </row>
    <row r="45">
      <c r="A45" t="s">
        <v>133</v>
      </c>
      <c r="B45" t="s">
        <v>134</v>
      </c>
      <c r="C45" t="s">
        <v>31</v>
      </c>
      <c r="D45" t="s">
        <v>135</v>
      </c>
    </row>
    <row r="46">
      <c r="A46" t="s">
        <v>133</v>
      </c>
      <c r="B46" t="s">
        <v>136</v>
      </c>
      <c r="C46" t="s">
        <v>18</v>
      </c>
      <c r="D46" t="s">
        <v>137</v>
      </c>
    </row>
    <row r="47">
      <c r="A47" t="s">
        <v>133</v>
      </c>
      <c r="B47" t="s">
        <v>138</v>
      </c>
      <c r="C47" t="s">
        <v>139</v>
      </c>
      <c r="D47" t="s">
        <v>140</v>
      </c>
    </row>
    <row r="48">
      <c r="A48" t="s">
        <v>141</v>
      </c>
      <c r="B48" t="s">
        <v>142</v>
      </c>
      <c r="C48" t="s">
        <v>34</v>
      </c>
      <c r="D48" t="s">
        <v>143</v>
      </c>
    </row>
    <row r="49">
      <c r="A49" t="s">
        <v>141</v>
      </c>
      <c r="B49" t="s">
        <v>144</v>
      </c>
      <c r="C49" t="s">
        <v>145</v>
      </c>
      <c r="D49" t="s">
        <v>146</v>
      </c>
    </row>
    <row r="50">
      <c r="A50" t="s">
        <v>147</v>
      </c>
      <c r="B50" t="s">
        <v>148</v>
      </c>
      <c r="C50" t="s">
        <v>139</v>
      </c>
      <c r="D50" t="s">
        <v>149</v>
      </c>
    </row>
    <row r="51">
      <c r="A51" t="s">
        <v>147</v>
      </c>
      <c r="B51" t="s">
        <v>150</v>
      </c>
      <c r="C51" t="s">
        <v>111</v>
      </c>
      <c r="D51" t="s">
        <v>151</v>
      </c>
    </row>
    <row r="52">
      <c r="A52" t="s">
        <v>147</v>
      </c>
      <c r="B52" t="s">
        <v>152</v>
      </c>
      <c r="C52" t="s">
        <v>118</v>
      </c>
      <c r="D52" t="s">
        <v>153</v>
      </c>
    </row>
    <row r="53">
      <c r="A53" t="s">
        <v>154</v>
      </c>
      <c r="B53" t="s">
        <v>155</v>
      </c>
      <c r="C53" t="s">
        <v>41</v>
      </c>
      <c r="D53" t="s">
        <v>156</v>
      </c>
    </row>
    <row r="54">
      <c r="A54" t="s">
        <v>154</v>
      </c>
      <c r="B54" t="s">
        <v>157</v>
      </c>
      <c r="C54" t="s">
        <v>38</v>
      </c>
      <c r="D54" t="s">
        <v>100</v>
      </c>
    </row>
    <row r="55">
      <c r="A55" t="s">
        <v>154</v>
      </c>
      <c r="B55" t="s">
        <v>158</v>
      </c>
      <c r="C55" t="s">
        <v>18</v>
      </c>
      <c r="D55" t="s">
        <v>135</v>
      </c>
    </row>
    <row r="56">
      <c r="A56" t="s">
        <v>159</v>
      </c>
      <c r="B56" t="s">
        <v>160</v>
      </c>
      <c r="C56" t="s">
        <v>85</v>
      </c>
      <c r="D56" t="s">
        <v>161</v>
      </c>
    </row>
    <row r="57">
      <c r="A57" t="s">
        <v>159</v>
      </c>
      <c r="B57" t="s">
        <v>162</v>
      </c>
      <c r="C57" t="s">
        <v>31</v>
      </c>
      <c r="D57" t="s">
        <v>115</v>
      </c>
    </row>
    <row r="58">
      <c r="A58" t="s">
        <v>159</v>
      </c>
      <c r="B58" t="s">
        <v>163</v>
      </c>
      <c r="C58" t="s">
        <v>18</v>
      </c>
      <c r="D58" t="s">
        <v>164</v>
      </c>
    </row>
    <row r="59">
      <c r="A59" t="s">
        <v>165</v>
      </c>
      <c r="B59" t="s">
        <v>166</v>
      </c>
      <c r="C59" t="s">
        <v>82</v>
      </c>
      <c r="D59" t="s">
        <v>167</v>
      </c>
    </row>
    <row r="60">
      <c r="A60" t="s">
        <v>165</v>
      </c>
      <c r="B60" t="s">
        <v>168</v>
      </c>
      <c r="C60" t="s">
        <v>28</v>
      </c>
      <c r="D60" t="s">
        <v>132</v>
      </c>
    </row>
    <row r="61">
      <c r="A61" t="s">
        <v>165</v>
      </c>
      <c r="B61" t="s">
        <v>169</v>
      </c>
      <c r="C61" t="s">
        <v>145</v>
      </c>
      <c r="D61" t="s">
        <v>170</v>
      </c>
    </row>
    <row r="62">
      <c r="A62" t="s">
        <v>171</v>
      </c>
      <c r="B62" t="s">
        <v>172</v>
      </c>
      <c r="C62" t="s">
        <v>18</v>
      </c>
      <c r="D62" t="s">
        <v>83</v>
      </c>
    </row>
    <row r="63">
      <c r="A63" t="s">
        <v>171</v>
      </c>
      <c r="B63" t="s">
        <v>173</v>
      </c>
      <c r="C63" t="s">
        <v>48</v>
      </c>
      <c r="D63" t="s">
        <v>39</v>
      </c>
    </row>
    <row r="64">
      <c r="A64" t="s">
        <v>171</v>
      </c>
      <c r="B64" t="s">
        <v>174</v>
      </c>
      <c r="C64" t="s">
        <v>96</v>
      </c>
      <c r="D64" t="s">
        <v>175</v>
      </c>
    </row>
    <row r="65">
      <c r="A65" t="s">
        <v>176</v>
      </c>
      <c r="B65" t="s">
        <v>177</v>
      </c>
      <c r="C65" t="s">
        <v>38</v>
      </c>
      <c r="D65" t="s">
        <v>178</v>
      </c>
    </row>
    <row r="66">
      <c r="A66" t="s">
        <v>176</v>
      </c>
      <c r="B66" t="s">
        <v>179</v>
      </c>
      <c r="C66" t="s">
        <v>41</v>
      </c>
      <c r="D66" t="s">
        <v>56</v>
      </c>
    </row>
    <row r="67">
      <c r="A67" t="s">
        <v>176</v>
      </c>
      <c r="B67" t="s">
        <v>180</v>
      </c>
      <c r="C67" t="s">
        <v>82</v>
      </c>
      <c r="D67" t="s">
        <v>181</v>
      </c>
    </row>
    <row r="68">
      <c r="A68" t="s">
        <v>182</v>
      </c>
      <c r="B68" t="s">
        <v>183</v>
      </c>
      <c r="C68" t="s">
        <v>28</v>
      </c>
      <c r="D68" t="s">
        <v>109</v>
      </c>
    </row>
    <row r="69">
      <c r="A69" t="s">
        <v>182</v>
      </c>
      <c r="B69" t="s">
        <v>184</v>
      </c>
      <c r="C69" t="s">
        <v>31</v>
      </c>
      <c r="D69" t="s">
        <v>178</v>
      </c>
    </row>
    <row r="70">
      <c r="A70" t="s">
        <v>182</v>
      </c>
      <c r="B70" t="s">
        <v>185</v>
      </c>
      <c r="C70" t="s">
        <v>18</v>
      </c>
      <c r="D70" t="s">
        <v>186</v>
      </c>
    </row>
    <row r="71">
      <c r="A71" t="s">
        <v>187</v>
      </c>
      <c r="B71" t="s">
        <v>188</v>
      </c>
      <c r="C71" t="s">
        <v>21</v>
      </c>
      <c r="D71" t="s">
        <v>189</v>
      </c>
    </row>
    <row r="72">
      <c r="A72" t="s">
        <v>187</v>
      </c>
      <c r="B72" t="s">
        <v>190</v>
      </c>
      <c r="C72" t="s">
        <v>93</v>
      </c>
      <c r="D72" t="s">
        <v>191</v>
      </c>
    </row>
    <row r="73">
      <c r="A73" t="s">
        <v>187</v>
      </c>
      <c r="B73" t="s">
        <v>192</v>
      </c>
      <c r="C73" t="s">
        <v>34</v>
      </c>
      <c r="D73" t="s">
        <v>193</v>
      </c>
    </row>
    <row r="74">
      <c r="A74" t="s">
        <v>194</v>
      </c>
      <c r="B74" t="s">
        <v>195</v>
      </c>
      <c r="C74" t="s">
        <v>34</v>
      </c>
      <c r="D74" t="s">
        <v>91</v>
      </c>
    </row>
    <row r="75">
      <c r="A75" t="s">
        <v>194</v>
      </c>
      <c r="B75" t="s">
        <v>196</v>
      </c>
      <c r="C75" t="s">
        <v>60</v>
      </c>
      <c r="D75" t="s">
        <v>197</v>
      </c>
    </row>
    <row r="76">
      <c r="A76" t="s">
        <v>194</v>
      </c>
      <c r="B76" t="s">
        <v>198</v>
      </c>
      <c r="C76" t="s">
        <v>41</v>
      </c>
      <c r="D76" t="s">
        <v>199</v>
      </c>
    </row>
    <row r="77">
      <c r="A77" t="s">
        <v>200</v>
      </c>
      <c r="B77" t="s">
        <v>201</v>
      </c>
      <c r="C77" t="s">
        <v>28</v>
      </c>
      <c r="D77" t="s">
        <v>202</v>
      </c>
    </row>
    <row r="78">
      <c r="A78" t="s">
        <v>200</v>
      </c>
      <c r="B78" t="s">
        <v>203</v>
      </c>
      <c r="C78" t="s">
        <v>78</v>
      </c>
      <c r="D78" t="s">
        <v>204</v>
      </c>
    </row>
    <row r="79">
      <c r="A79" t="s">
        <v>200</v>
      </c>
      <c r="B79" t="s">
        <v>205</v>
      </c>
      <c r="C79" t="s">
        <v>48</v>
      </c>
      <c r="D79" t="s">
        <v>206</v>
      </c>
    </row>
    <row r="80">
      <c r="A80" t="s">
        <v>207</v>
      </c>
      <c r="B80" t="s">
        <v>208</v>
      </c>
      <c r="C80" t="s">
        <v>31</v>
      </c>
      <c r="D80" t="s">
        <v>209</v>
      </c>
    </row>
    <row r="81">
      <c r="A81" t="s">
        <v>207</v>
      </c>
      <c r="B81" t="s">
        <v>210</v>
      </c>
      <c r="C81" t="s">
        <v>44</v>
      </c>
      <c r="D81" t="s">
        <v>211</v>
      </c>
    </row>
    <row r="82">
      <c r="A82" t="s">
        <v>207</v>
      </c>
      <c r="B82" t="s">
        <v>212</v>
      </c>
      <c r="C82" t="s">
        <v>85</v>
      </c>
      <c r="D82" t="s">
        <v>213</v>
      </c>
    </row>
    <row r="83">
      <c r="A83" t="s">
        <v>214</v>
      </c>
      <c r="B83" t="s">
        <v>215</v>
      </c>
      <c r="C83" t="s">
        <v>67</v>
      </c>
      <c r="D83" t="s">
        <v>211</v>
      </c>
    </row>
    <row r="84">
      <c r="A84" t="s">
        <v>214</v>
      </c>
      <c r="B84" t="s">
        <v>216</v>
      </c>
      <c r="C84" t="s">
        <v>24</v>
      </c>
      <c r="D84" t="s">
        <v>217</v>
      </c>
    </row>
    <row r="85">
      <c r="A85" t="s">
        <v>214</v>
      </c>
      <c r="B85" t="s">
        <v>218</v>
      </c>
      <c r="C85" t="s">
        <v>38</v>
      </c>
      <c r="D85" t="s">
        <v>219</v>
      </c>
    </row>
    <row r="86">
      <c r="A86" t="s">
        <v>220</v>
      </c>
      <c r="B86" t="s">
        <v>221</v>
      </c>
      <c r="C86" t="s">
        <v>21</v>
      </c>
      <c r="D86" t="s">
        <v>222</v>
      </c>
    </row>
    <row r="87">
      <c r="A87" t="s">
        <v>220</v>
      </c>
      <c r="B87" t="s">
        <v>223</v>
      </c>
      <c r="C87" t="s">
        <v>70</v>
      </c>
      <c r="D87" t="s">
        <v>224</v>
      </c>
    </row>
    <row r="88">
      <c r="A88" t="s">
        <v>220</v>
      </c>
      <c r="B88" t="s">
        <v>225</v>
      </c>
      <c r="C88" t="s">
        <v>31</v>
      </c>
      <c r="D88" t="s">
        <v>213</v>
      </c>
    </row>
    <row r="89">
      <c r="A89" t="s">
        <v>226</v>
      </c>
      <c r="B89" t="s">
        <v>227</v>
      </c>
      <c r="C89" t="s">
        <v>38</v>
      </c>
      <c r="D89" t="s">
        <v>228</v>
      </c>
    </row>
    <row r="90">
      <c r="A90" t="s">
        <v>226</v>
      </c>
      <c r="B90" t="s">
        <v>229</v>
      </c>
      <c r="C90" t="s">
        <v>64</v>
      </c>
      <c r="D90" t="s">
        <v>230</v>
      </c>
    </row>
    <row r="91">
      <c r="A91" t="s">
        <v>226</v>
      </c>
      <c r="B91" t="s">
        <v>231</v>
      </c>
      <c r="C91" t="s">
        <v>28</v>
      </c>
      <c r="D91" t="s">
        <v>53</v>
      </c>
    </row>
    <row r="92">
      <c r="A92" t="s">
        <v>232</v>
      </c>
      <c r="B92" t="s">
        <v>233</v>
      </c>
      <c r="C92" t="s">
        <v>41</v>
      </c>
      <c r="D92" t="s">
        <v>234</v>
      </c>
    </row>
    <row r="93">
      <c r="A93" t="s">
        <v>232</v>
      </c>
      <c r="B93" t="s">
        <v>235</v>
      </c>
      <c r="C93" t="s">
        <v>52</v>
      </c>
      <c r="D93" t="s">
        <v>236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R-2nd ",'Pool Matches'!O33)</f>
      </c>
      <c r="D11" s="15"/>
      <c r="E11" s="20"/>
      <c r="I11" s="20"/>
    </row>
    <row r="12">
      <c r="A12" s="27" t="str">
        <f>"3. " &amp; data!$B$8</f>
      </c>
      <c r="I12" s="21">
        <v>47</v>
      </c>
    </row>
    <row r="13">
      <c r="A13" s="22"/>
      <c r="C13" s="23" t="str">
        <f>CONCATENATE("Pool C-1st ",'Pool Matches'!G49)</f>
      </c>
      <c r="I13" s="20"/>
      <c r="J13" s="22"/>
      <c r="K13" s="20"/>
    </row>
    <row r="14">
      <c r="A14" s="24" t="str">
        <f>'data'!$A$11</f>
      </c>
      <c r="D14" s="22"/>
      <c r="E14" s="21">
        <v>3</v>
      </c>
      <c r="I14" s="20"/>
      <c r="K14" s="20"/>
    </row>
    <row r="15">
      <c r="A15" s="25" t="str">
        <f>"1. " &amp; data!$B$9</f>
      </c>
      <c r="C15" s="23" t="str">
        <f>CONCATENATE("Pool S-2nd ",'Pool Matches'!O50)</f>
      </c>
      <c r="D15" s="15"/>
      <c r="E15" s="20"/>
      <c r="F15" s="22"/>
      <c r="G15" s="20"/>
      <c r="I15" s="20"/>
      <c r="K15" s="20"/>
    </row>
    <row r="16">
      <c r="A16" s="26" t="str">
        <f>"2. " &amp; data!$B$10</f>
      </c>
      <c r="G16" s="21">
        <v>32</v>
      </c>
      <c r="H16" s="15"/>
      <c r="I16" s="20"/>
      <c r="K16" s="20"/>
    </row>
    <row r="17">
      <c r="A17" s="27" t="str">
        <f>"3. " &amp; 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"1. " &amp; data!$B$12</f>
      </c>
      <c r="K20" s="21">
        <v>55</v>
      </c>
    </row>
    <row r="21">
      <c r="A21" s="26" t="str">
        <f>"2. " &amp; data!$B$13</f>
      </c>
      <c r="C21" s="23" t="str">
        <f>CONCATENATE("Pool E-1st ",'Pool Matches'!G83)</f>
      </c>
      <c r="K21" s="20"/>
    </row>
    <row r="22">
      <c r="A22" s="27" t="str">
        <f>"3. " &amp; 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"1. " &amp; data!$B$15</f>
      </c>
      <c r="C25" s="23" t="str">
        <f>CONCATENATE("Pool F-1st ",'Pool Matches'!G100)</f>
      </c>
      <c r="G25" s="20"/>
      <c r="H25" s="22"/>
      <c r="I25" s="20"/>
      <c r="K25" s="20"/>
    </row>
    <row r="26">
      <c r="A26" s="26" t="str">
        <f>"2. " &amp; data!$B$16</f>
      </c>
      <c r="D26" s="22"/>
      <c r="E26" s="21">
        <v>6</v>
      </c>
      <c r="F26" s="15"/>
      <c r="G26" s="20"/>
      <c r="I26" s="20"/>
      <c r="K26" s="20"/>
    </row>
    <row r="27">
      <c r="A27" s="27" t="str">
        <f>"3. " &amp; 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"1. " &amp; data!$B$18</f>
      </c>
      <c r="D30" s="22"/>
      <c r="E30" s="21">
        <v>7</v>
      </c>
      <c r="I30" s="20"/>
    </row>
    <row r="31">
      <c r="A31" s="26" t="str">
        <f>"2. " &amp; data!$B$19</f>
      </c>
      <c r="C31" s="23" t="str">
        <f>CONCATENATE("Pool W-2nd ",'Pool Matches'!O118)</f>
      </c>
      <c r="D31" s="15"/>
      <c r="E31" s="20"/>
      <c r="F31" s="22"/>
      <c r="G31" s="20"/>
      <c r="I31" s="20"/>
    </row>
    <row r="32">
      <c r="A32" s="27" t="str">
        <f>"3. " &amp; data!$B$20</f>
      </c>
      <c r="G32" s="21">
        <v>34</v>
      </c>
      <c r="H32" s="15"/>
      <c r="I32" s="20"/>
    </row>
    <row r="33">
      <c r="A33" s="22"/>
      <c r="C33" s="23" t="str">
        <f>CONCATENATE("Pool H-1st ",'Pool Matches'!G134)</f>
      </c>
      <c r="G33" s="20"/>
    </row>
    <row r="34">
      <c r="A34" s="24" t="str">
        <f>'data'!$A$23</f>
      </c>
      <c r="D34" s="22"/>
      <c r="E34" s="21">
        <v>8</v>
      </c>
      <c r="F34" s="15"/>
      <c r="G34" s="20"/>
    </row>
    <row r="35">
      <c r="A35" s="25" t="str">
        <f>"1. " &amp; data!$B$21</f>
      </c>
      <c r="C35" s="23" t="str">
        <f>CONCATENATE("Pool X-2nd ",'Pool Matches'!O135)</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Matches'!G151)</f>
      </c>
    </row>
    <row r="7">
      <c r="A7" s="27" t="str">
        <f>"3. " &amp; data!$B$29</f>
      </c>
      <c r="F7" s="22"/>
      <c r="G7" s="20"/>
    </row>
    <row r="8">
      <c r="A8" s="22"/>
      <c r="G8" s="21">
        <v>35</v>
      </c>
    </row>
    <row r="9">
      <c r="A9" s="24" t="str">
        <f>'data'!$A$32</f>
      </c>
      <c r="C9" s="23" t="str">
        <f>CONCATENATE("Pool J-1st ",'Pool Matches'!G168)</f>
      </c>
      <c r="G9" s="20"/>
      <c r="H9" s="22"/>
      <c r="I9" s="20"/>
    </row>
    <row r="10">
      <c r="A10" s="25" t="str">
        <f>"1. " &amp; data!$B$30</f>
      </c>
      <c r="D10" s="22"/>
      <c r="E10" s="21">
        <v>9</v>
      </c>
      <c r="F10" s="15"/>
      <c r="G10" s="20"/>
      <c r="I10" s="20"/>
    </row>
    <row r="11">
      <c r="A11" s="26" t="str">
        <f>"2. " &amp; data!$B$31</f>
      </c>
      <c r="C11" s="23" t="str">
        <f>CONCATENATE("Pool Y-2nd ",'Pool Matches'!O152)</f>
      </c>
      <c r="D11" s="15"/>
      <c r="E11" s="20"/>
      <c r="I11" s="20"/>
    </row>
    <row r="12">
      <c r="A12" s="27" t="str">
        <f>"3. " &amp; data!$B$32</f>
      </c>
      <c r="I12" s="21">
        <v>49</v>
      </c>
    </row>
    <row r="13">
      <c r="A13" s="22"/>
      <c r="C13" s="23" t="str">
        <f>CONCATENATE("Pool K-1st ",'Pool Matches'!G185)</f>
      </c>
      <c r="I13" s="20"/>
      <c r="J13" s="22"/>
      <c r="K13" s="20"/>
    </row>
    <row r="14">
      <c r="A14" s="24" t="str">
        <f>'data'!$A$35</f>
      </c>
      <c r="D14" s="22"/>
      <c r="E14" s="21">
        <v>10</v>
      </c>
      <c r="I14" s="20"/>
      <c r="K14" s="20"/>
    </row>
    <row r="15">
      <c r="A15" s="25" t="str">
        <f>"1. " &amp; data!$B$33</f>
      </c>
      <c r="C15" s="23" t="str">
        <f>CONCATENATE("Pool Z-2nd ",'Pool Matches'!O169)</f>
      </c>
      <c r="D15" s="15"/>
      <c r="E15" s="20"/>
      <c r="F15" s="22"/>
      <c r="G15" s="20"/>
      <c r="I15" s="20"/>
      <c r="K15" s="20"/>
    </row>
    <row r="16">
      <c r="A16" s="26" t="str">
        <f>"2. " &amp; data!$B$34</f>
      </c>
      <c r="G16" s="21">
        <v>36</v>
      </c>
      <c r="H16" s="15"/>
      <c r="I16" s="20"/>
      <c r="K16" s="20"/>
    </row>
    <row r="17">
      <c r="A17" s="27" t="str">
        <f>"3. " &amp; 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"1. " &amp; data!$B$36</f>
      </c>
      <c r="K20" s="21">
        <v>56</v>
      </c>
    </row>
    <row r="21">
      <c r="A21" s="26" t="str">
        <f>"2. " &amp; data!$B$37</f>
      </c>
      <c r="C21" s="23" t="str">
        <f>CONCATENATE("Pool M-1st ",'Pool Matches'!G219)</f>
      </c>
      <c r="K21" s="20"/>
    </row>
    <row r="22">
      <c r="A22" s="27" t="str">
        <f>"3. " &amp; 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"1. " &amp; data!$B$39</f>
      </c>
      <c r="C25" s="23" t="str">
        <f>CONCATENATE("Pool N-1st ",'Pool Matches'!G236)</f>
      </c>
      <c r="G25" s="20"/>
      <c r="H25" s="22"/>
      <c r="I25" s="20"/>
      <c r="K25" s="20"/>
    </row>
    <row r="26">
      <c r="A26" s="26" t="str">
        <f>"2. " &amp; data!$B$40</f>
      </c>
      <c r="D26" s="22"/>
      <c r="E26" s="21">
        <v>13</v>
      </c>
      <c r="F26" s="15"/>
      <c r="G26" s="20"/>
      <c r="I26" s="20"/>
      <c r="K26" s="20"/>
    </row>
    <row r="27">
      <c r="A27" s="27" t="str">
        <f>"3. " &amp; 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"1. " &amp; data!$B$42</f>
      </c>
      <c r="D30" s="22"/>
      <c r="E30" s="21">
        <v>14</v>
      </c>
      <c r="I30" s="20"/>
    </row>
    <row r="31">
      <c r="A31" s="26" t="str">
        <f>"2. " &amp; data!$B$43</f>
      </c>
      <c r="C31" s="23" t="str">
        <f>CONCATENATE("Pool DD-2nd ",'Pool Matches'!O237)</f>
      </c>
      <c r="D31" s="15"/>
      <c r="E31" s="20"/>
      <c r="F31" s="22"/>
      <c r="G31" s="20"/>
      <c r="I31" s="20"/>
    </row>
    <row r="32">
      <c r="A32" s="27" t="str">
        <f>"3. " &amp; data!$B$44</f>
      </c>
      <c r="G32" s="21">
        <v>38</v>
      </c>
      <c r="H32" s="15"/>
      <c r="I32" s="20"/>
    </row>
    <row r="33">
      <c r="A33" s="22"/>
      <c r="C33" s="23" t="str">
        <f>CONCATENATE("Pool P-1st ",'Pool Matches'!G267)</f>
      </c>
      <c r="G33" s="20"/>
    </row>
    <row r="34">
      <c r="A34" s="24" t="str">
        <f>'data'!$A$47</f>
      </c>
      <c r="D34" s="22"/>
      <c r="E34" s="21">
        <v>15</v>
      </c>
      <c r="F34" s="15"/>
      <c r="G34" s="20"/>
    </row>
    <row r="35">
      <c r="A35" s="25" t="str">
        <f>"1. " &amp; data!$B$45</f>
      </c>
      <c r="C35" s="23" t="str">
        <f>CONCATENATE("Pool EE-2nd ",'Pool Matches'!O253)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Matches'!O15)</f>
      </c>
    </row>
    <row r="6">
      <c r="A6" s="26" t="str">
        <f>"2. " &amp; data!$B$51</f>
      </c>
      <c r="D6" s="22"/>
      <c r="E6" s="21">
        <v>16</v>
      </c>
    </row>
    <row r="7">
      <c r="A7" s="27" t="str">
        <f>"3. " &amp; 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"1. " &amp; data!$B$53</f>
      </c>
      <c r="D10" s="22"/>
      <c r="E10" s="21">
        <v>17</v>
      </c>
      <c r="F10" s="15"/>
      <c r="G10" s="20"/>
      <c r="I10" s="20"/>
    </row>
    <row r="11">
      <c r="A11" s="26" t="str">
        <f>"2. " &amp; data!$B$54</f>
      </c>
      <c r="C11" s="23" t="str">
        <f>CONCATENATE("Pool B-2nd ",'Pool Matches'!G33)</f>
      </c>
      <c r="D11" s="15"/>
      <c r="E11" s="20"/>
      <c r="I11" s="20"/>
    </row>
    <row r="12">
      <c r="A12" s="27" t="str">
        <f>"3. " &amp; data!$B$55</f>
      </c>
      <c r="I12" s="21">
        <v>51</v>
      </c>
    </row>
    <row r="13">
      <c r="A13" s="22"/>
      <c r="C13" s="23" t="str">
        <f>CONCATENATE("Pool S-1st ",'Pool Matches'!O49)</f>
      </c>
      <c r="I13" s="20"/>
      <c r="J13" s="22"/>
      <c r="K13" s="20"/>
    </row>
    <row r="14">
      <c r="A14" s="24" t="str">
        <f>'data'!$A$58</f>
      </c>
      <c r="D14" s="22"/>
      <c r="E14" s="21">
        <v>18</v>
      </c>
      <c r="I14" s="20"/>
      <c r="K14" s="20"/>
    </row>
    <row r="15">
      <c r="A15" s="25" t="str">
        <f>"1. " &amp; data!$B$56</f>
      </c>
      <c r="C15" s="23" t="str">
        <f>CONCATENATE("Pool C-2nd ",'Pool Matches'!G50)</f>
      </c>
      <c r="D15" s="15"/>
      <c r="E15" s="20"/>
      <c r="F15" s="22"/>
      <c r="G15" s="20"/>
      <c r="I15" s="20"/>
      <c r="K15" s="20"/>
    </row>
    <row r="16">
      <c r="A16" s="26" t="str">
        <f>"2. " &amp; data!$B$57</f>
      </c>
      <c r="G16" s="21">
        <v>40</v>
      </c>
      <c r="H16" s="15"/>
      <c r="I16" s="20"/>
      <c r="K16" s="20"/>
    </row>
    <row r="17">
      <c r="A17" s="27" t="str">
        <f>"3. " &amp; 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"1. " &amp; data!$B$59</f>
      </c>
      <c r="K20" s="21">
        <v>57</v>
      </c>
    </row>
    <row r="21">
      <c r="A21" s="26" t="str">
        <f>"2. " &amp; data!$B$60</f>
      </c>
      <c r="C21" s="23" t="str">
        <f>CONCATENATE("Pool U-1st ",'Pool Matches'!O83)</f>
      </c>
      <c r="K21" s="20"/>
    </row>
    <row r="22">
      <c r="A22" s="27" t="str">
        <f>"3. " &amp; 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"1. " &amp; data!$B$62</f>
      </c>
      <c r="C25" s="23" t="str">
        <f>CONCATENATE("Pool V-1st ",'Pool Matches'!O100)</f>
      </c>
      <c r="G25" s="20"/>
      <c r="H25" s="22"/>
      <c r="I25" s="20"/>
      <c r="K25" s="20"/>
    </row>
    <row r="26">
      <c r="A26" s="26" t="str">
        <f>"2. " &amp; data!$B$63</f>
      </c>
      <c r="D26" s="22"/>
      <c r="E26" s="21">
        <v>21</v>
      </c>
      <c r="F26" s="15"/>
      <c r="G26" s="20"/>
      <c r="I26" s="20"/>
      <c r="K26" s="20"/>
    </row>
    <row r="27">
      <c r="A27" s="27" t="str">
        <f>"3. " &amp; 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"1. " &amp; data!$B$65</f>
      </c>
      <c r="D30" s="22"/>
      <c r="E30" s="21">
        <v>22</v>
      </c>
      <c r="I30" s="20"/>
    </row>
    <row r="31">
      <c r="A31" s="26" t="str">
        <f>"2. " &amp; data!$B$66</f>
      </c>
      <c r="C31" s="23" t="str">
        <f>CONCATENATE("Pool G-2nd ",'Pool Matches'!G118)</f>
      </c>
      <c r="D31" s="15"/>
      <c r="E31" s="20"/>
      <c r="F31" s="22"/>
      <c r="G31" s="20"/>
      <c r="I31" s="20"/>
    </row>
    <row r="32">
      <c r="A32" s="27" t="str">
        <f>"3. " &amp; data!$B$67</f>
      </c>
      <c r="G32" s="21">
        <v>42</v>
      </c>
      <c r="H32" s="15"/>
      <c r="I32" s="20"/>
    </row>
    <row r="33">
      <c r="A33" s="22"/>
      <c r="C33" s="23" t="str">
        <f>CONCATENATE("Pool X-1st ",'Pool Matches'!O134)</f>
      </c>
      <c r="G33" s="20"/>
    </row>
    <row r="34">
      <c r="A34" s="24" t="str">
        <f>'data'!$A$70</f>
      </c>
      <c r="D34" s="22"/>
      <c r="E34" s="21">
        <v>23</v>
      </c>
      <c r="F34" s="15"/>
      <c r="G34" s="20"/>
    </row>
    <row r="35">
      <c r="A35" s="25" t="str">
        <f>"1. " &amp; data!$B$68</f>
      </c>
      <c r="C35" s="23" t="str">
        <f>CONCATENATE("Pool H-2nd ",'Pool Matches'!G135)</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Matches'!O151)</f>
      </c>
    </row>
    <row r="7">
      <c r="A7" s="27" t="str">
        <f>"3. " &amp; data!$B$76</f>
      </c>
      <c r="F7" s="22"/>
      <c r="G7" s="20"/>
    </row>
    <row r="8">
      <c r="A8" s="22"/>
      <c r="G8" s="21">
        <v>43</v>
      </c>
    </row>
    <row r="9">
      <c r="A9" s="24" t="str">
        <f>'data'!$A$79</f>
      </c>
      <c r="C9" s="23" t="str">
        <f>CONCATENATE("Pool Z-1st ",'Pool Matches'!O168)</f>
      </c>
      <c r="G9" s="20"/>
      <c r="H9" s="22"/>
      <c r="I9" s="20"/>
    </row>
    <row r="10">
      <c r="A10" s="25" t="str">
        <f>"1. " &amp; data!$B$77</f>
      </c>
      <c r="D10" s="22"/>
      <c r="E10" s="21">
        <v>24</v>
      </c>
      <c r="F10" s="15"/>
      <c r="G10" s="20"/>
      <c r="I10" s="20"/>
    </row>
    <row r="11">
      <c r="A11" s="26" t="str">
        <f>"2. " &amp; data!$B$78</f>
      </c>
      <c r="C11" s="23" t="str">
        <f>CONCATENATE("Pool I-2nd ",'Pool Matches'!G152)</f>
      </c>
      <c r="D11" s="15"/>
      <c r="E11" s="20"/>
      <c r="I11" s="20"/>
    </row>
    <row r="12">
      <c r="A12" s="27" t="str">
        <f>"3. " &amp; data!$B$79</f>
      </c>
      <c r="I12" s="21">
        <v>53</v>
      </c>
    </row>
    <row r="13">
      <c r="A13" s="22"/>
      <c r="C13" s="23" t="str">
        <f>CONCATENATE("Pool AA-1st ",'Pool Matches'!O185)</f>
      </c>
      <c r="I13" s="20"/>
      <c r="J13" s="22"/>
      <c r="K13" s="20"/>
    </row>
    <row r="14">
      <c r="A14" s="24" t="str">
        <f>'data'!$A$82</f>
      </c>
      <c r="D14" s="22"/>
      <c r="E14" s="21">
        <v>25</v>
      </c>
      <c r="I14" s="20"/>
      <c r="K14" s="20"/>
    </row>
    <row r="15">
      <c r="A15" s="25" t="str">
        <f>"1. " &amp; data!$B$80</f>
      </c>
      <c r="C15" s="23" t="str">
        <f>CONCATENATE("Pool J-2nd ",'Pool Matches'!G169)</f>
      </c>
      <c r="D15" s="15"/>
      <c r="E15" s="20"/>
      <c r="F15" s="22"/>
      <c r="G15" s="20"/>
      <c r="I15" s="20"/>
      <c r="K15" s="20"/>
    </row>
    <row r="16">
      <c r="A16" s="26" t="str">
        <f>"2. " &amp; data!$B$81</f>
      </c>
      <c r="G16" s="21">
        <v>44</v>
      </c>
      <c r="H16" s="15"/>
      <c r="I16" s="20"/>
      <c r="K16" s="20"/>
    </row>
    <row r="17">
      <c r="A17" s="27" t="str">
        <f>"3. " &amp; 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"1. " &amp; data!$B$83</f>
      </c>
      <c r="K20" s="21">
        <v>58</v>
      </c>
    </row>
    <row r="21">
      <c r="A21" s="26" t="str">
        <f>"2. " &amp; data!$B$84</f>
      </c>
      <c r="C21" s="23" t="str">
        <f>CONCATENATE("Pool CC-1st ",'Pool Matches'!O219)</f>
      </c>
      <c r="K21" s="20"/>
    </row>
    <row r="22">
      <c r="A22" s="27" t="str">
        <f>"3. " &amp; 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"1. " &amp; data!$B$86</f>
      </c>
      <c r="C25" s="23" t="str">
        <f>CONCATENATE("Pool DD-1st ",'Pool Matches'!O236)</f>
      </c>
      <c r="G25" s="20"/>
      <c r="H25" s="22"/>
      <c r="I25" s="20"/>
      <c r="K25" s="20"/>
    </row>
    <row r="26">
      <c r="A26" s="26" t="str">
        <f>"2. " &amp; data!$B$87</f>
      </c>
      <c r="D26" s="22"/>
      <c r="E26" s="21">
        <v>28</v>
      </c>
      <c r="F26" s="15"/>
      <c r="G26" s="20"/>
      <c r="I26" s="20"/>
      <c r="K26" s="20"/>
    </row>
    <row r="27">
      <c r="A27" s="27" t="str">
        <f>"3. " &amp; 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"1. " &amp; data!$B$89</f>
      </c>
      <c r="D30" s="22"/>
      <c r="E30" s="21">
        <v>29</v>
      </c>
      <c r="I30" s="20"/>
    </row>
    <row r="31">
      <c r="A31" s="26" t="str">
        <f>"2. " &amp; data!$B$90</f>
      </c>
      <c r="C31" s="23" t="str">
        <f>CONCATENATE("Pool N-2nd ",'Pool Matches'!G237)</f>
      </c>
      <c r="D31" s="15"/>
      <c r="E31" s="20"/>
      <c r="F31" s="22"/>
      <c r="G31" s="20"/>
      <c r="I31" s="20"/>
    </row>
    <row r="32">
      <c r="A32" s="27" t="str">
        <f>"3. " &amp; data!$B$91</f>
      </c>
      <c r="G32" s="21">
        <v>46</v>
      </c>
      <c r="H32" s="15"/>
      <c r="I32" s="20"/>
    </row>
    <row r="33">
      <c r="A33" s="22"/>
      <c r="C33" s="23" t="str">
        <f>CONCATENATE("Pool O-2nd ",'Pool Matches'!G254)</f>
      </c>
      <c r="G33" s="20"/>
    </row>
    <row r="34">
      <c r="A34" s="24" t="str">
        <f>'data'!$A$93</f>
      </c>
      <c r="D34" s="22"/>
      <c r="E34" s="21">
        <v>30</v>
      </c>
      <c r="F34" s="15"/>
      <c r="G34" s="20"/>
    </row>
    <row r="35">
      <c r="A35" s="25" t="str">
        <f>"1. " &amp; data!$B$92</f>
      </c>
      <c r="C35" s="23" t="str">
        <f>CONCATENATE("Pool P-2nd ",'Pool Matches'!G268)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