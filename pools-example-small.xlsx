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Matches'!$A$1:$O$109</definedName>
    <definedName localSheetId="7" name="_xlnm.Print_Area">'Names to Print A'!$A$1:$B$7</definedName>
    <definedName localSheetId="8" name="_xlnm.Print_Area">'Names to Print B'!$A$1:$B$3</definedName>
    <definedName localSheetId="4" name="_xlnm.Print_Area">'Elimination Matches'!$A$1:$O$64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<sst xmlns="http://schemas.openxmlformats.org/spreadsheetml/2006/main" count="76" uniqueCount="76">
  <si>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</si>
  <si>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</si>
  <si>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</si>
  <si>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</si>
  <si>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</si>
  <si>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</si>
  <si>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</si>
  <si>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</si>
  <si>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</si>
  <si>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</si>
  <si>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</si>
  <si>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</si>
  <si>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</si>
  <si>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</si>
  <si>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</si>
  <si>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</si>
  <si>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</si>
  <si>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</si>
  <si>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</si>
  <si>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</si>
  <si>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</si>
  <si>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</si>
  <si>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</si>
  <si>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</si>
  <si>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</si>
  <si>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</si>
  <si>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</si>
  <si>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</si>
  <si>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</si>
  <si>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</si>
  <si>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</si>
  <si>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</si>
  <si>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</si>
  <si>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</si>
  <si>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</si>
  <si>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</si>
  <si>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</si>
  <si>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</si>
  <si>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W</t>
  </si>
  <si>
    <t>L</t>
  </si>
  <si>
    <t>T</t>
  </si>
  <si>
    <t>IV</t>
  </si>
  <si>
    <t>IL</t>
  </si>
  <si>
    <t>IT</t>
  </si>
  <si>
    <t>PW</t>
  </si>
  <si>
    <t>PL</t>
  </si>
  <si>
    <t>Ranking</t>
  </si>
  <si>
    <t xml:space="preserve">1. </t>
  </si>
  <si>
    <t xml:space="preserve">2. </t>
  </si>
  <si>
    <t xml:space="preserve">3. </t>
  </si>
  <si>
    <t xml:space="preserve">4. </t>
  </si>
  <si>
    <t>A1</t>
  </si>
  <si>
    <t>A2</t>
  </si>
  <si>
    <t>A3</t>
  </si>
  <si>
    <t>A4</t>
  </si>
  <si>
    <t>B1</t>
  </si>
  <si>
    <t>B2</t>
  </si>
  <si>
    <t>B3</t>
  </si>
  <si>
    <t>C1</t>
  </si>
  <si>
    <t>C2</t>
  </si>
  <si>
    <t>C3</t>
  </si>
  <si>
    <t>Round 1 - Match 1</t>
  </si>
  <si>
    <t>Victories / Points</t>
  </si>
  <si>
    <t>1.</t>
  </si>
  <si>
    <t>2.</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</si>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</sst>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8" t="str">
        <f>SUMPRODUCT((UPPER(D5:D9)&lt;&gt;"X")*((LEN(SUBSTITUTE(SUBSTITUTE(SUBSTITUTE(B5:B9," ",""),"0",""),"-",""))+LEN(SUBSTITUTE(SUBSTITUTE(SUBSTITUTE(C5:C9," ",""),"0",""),"-","")))&gt;(LEN(SUBSTITUTE(SUBSTITUTE(SUBSTITUTE(E5:E9," ",""),"0",""),"-",""))+LEN(SUBSTITUTE(SUBSTITUTE(SUBSTITUTE(F5:F9," ",""),"0",""),"-",""))))*1)</f>
      </c>
      <c r="C4" s="18" t="str">
        <f>SUMPRODUCT(LEN(SUBSTITUTE(SUBSTITUTE(SUBSTITUTE(B5:B9," ",""),"0",""),"-",""))+LEN(SUBSTITUTE(SUBSTITUTE(SUBSTITUTE(C5:C9," ",""),"0",""),"-","")))</f>
      </c>
      <c r="D4" s="18"/>
      <c r="E4" s="18" t="str">
        <f>SUMPRODUCT(LEN(SUBSTITUTE(SUBSTITUTE(SUBSTITUTE(E5:E9," ",""),"0",""),"-",""))+LEN(SUBSTITUTE(SUBSTITUTE(SUBSTITUTE(F5:F9," ",""),"0",""),"-","")))</f>
      </c>
      <c r="F4" s="18" t="str">
        <f>SUMPRODUCT((UPPER(D5:D9)&lt;&gt;"X")*((LEN(SUBSTITUTE(SUBSTITUTE(SUBSTITUTE(E5:E9," ",""),"0",""),"-",""))+LEN(SUBSTITUTE(SUBSTITUTE(SUBSTITUTE(F5:F9," ",""),"0",""),"-","")))&gt;(LEN(SUBSTITUTE(SUBSTITUTE(SUBSTITUTE(B5:B9," ",""),"0",""),"-",""))+LEN(SUBSTITUTE(SUBSTITUTE(SUBSTITUTE(C5:C9," ",""),"0",""),"-",""))))*1)</f>
      </c>
      <c r="G4" s="14" t="str">
        <f>data!$B$3</f>
      </c>
      <c r="I4" s="14" t="str">
        <f>data!$B$11</f>
      </c>
      <c r="J4" s="18" t="str">
        <f>SUMPRODUCT((UPPER(L5:L9)&lt;&gt;"X")*((LEN(SUBSTITUTE(SUBSTITUTE(SUBSTITUTE(J5:J9," ",""),"0",""),"-",""))+LEN(SUBSTITUTE(SUBSTITUTE(SUBSTITUTE(K5:K9," ",""),"0",""),"-","")))&gt;(LEN(SUBSTITUTE(SUBSTITUTE(SUBSTITUTE(M5:M9," ",""),"0",""),"-",""))+LEN(SUBSTITUTE(SUBSTITUTE(SUBSTITUTE(N5:N9," ",""),"0",""),"-",""))))*1)</f>
      </c>
      <c r="K4" s="18" t="str">
        <f>SUMPRODUCT(LEN(SUBSTITUTE(SUBSTITUTE(SUBSTITUTE(J5:J9," ",""),"0",""),"-",""))+LEN(SUBSTITUTE(SUBSTITUTE(SUBSTITUTE(K5:K9," ",""),"0",""),"-","")))</f>
      </c>
      <c r="L4" s="18"/>
      <c r="M4" s="18" t="str">
        <f>SUMPRODUCT(LEN(SUBSTITUTE(SUBSTITUTE(SUBSTITUTE(M5:M9," ",""),"0",""),"-",""))+LEN(SUBSTITUTE(SUBSTITUTE(SUBSTITUTE(N5:N9," ",""),"0",""),"-","")))</f>
      </c>
      <c r="N4" s="18" t="str">
        <f>SUMPRODUCT((UPPER(L5:L9)&lt;&gt;"X")*((LEN(SUBSTITUTE(SUBSTITUTE(SUBSTITUTE(M5:M9," ",""),"0",""),"-",""))+LEN(SUBSTITUTE(SUBSTITUTE(SUBSTITUTE(N5:N9," ",""),"0",""),"-","")))&gt;(LEN(SUBSTITUTE(SUBSTITUTE(SUBSTITUTE(J5:J9," ",""),"0",""),"-",""))+LEN(SUBSTITUTE(SUBSTITUTE(SUBSTITUTE(K5:K9," ",""),"0",""),"-",""))))*1)</f>
      </c>
      <c r="O4" s="14" t="str">
        <f>data!$B$10</f>
      </c>
    </row>
    <row r="5">
      <c r="A5" s="18">
        <v>1</v>
      </c>
      <c r="B5" s="18"/>
      <c r="C5" s="18"/>
      <c r="D5" s="18"/>
      <c r="E5" s="18"/>
      <c r="F5" s="18"/>
      <c r="G5" s="18">
        <v>1</v>
      </c>
      <c r="I5" s="18">
        <v>1</v>
      </c>
      <c r="J5" s="18"/>
      <c r="K5" s="18"/>
      <c r="L5" s="18"/>
      <c r="M5" s="18"/>
      <c r="N5" s="18"/>
      <c r="O5" s="18">
        <v>1</v>
      </c>
    </row>
    <row r="6">
      <c r="A6" s="18">
        <v>2</v>
      </c>
      <c r="B6" s="18"/>
      <c r="C6" s="18"/>
      <c r="D6" s="18"/>
      <c r="E6" s="18"/>
      <c r="F6" s="18"/>
      <c r="G6" s="18">
        <v>2</v>
      </c>
      <c r="I6" s="18">
        <v>2</v>
      </c>
      <c r="J6" s="18"/>
      <c r="K6" s="18"/>
      <c r="L6" s="18"/>
      <c r="M6" s="18"/>
      <c r="N6" s="18"/>
      <c r="O6" s="18">
        <v>2</v>
      </c>
    </row>
    <row r="7">
      <c r="A7" s="18">
        <v>3</v>
      </c>
      <c r="B7" s="18"/>
      <c r="C7" s="18"/>
      <c r="D7" s="18"/>
      <c r="E7" s="18"/>
      <c r="F7" s="18"/>
      <c r="G7" s="18">
        <v>3</v>
      </c>
      <c r="I7" s="18">
        <v>3</v>
      </c>
      <c r="J7" s="18"/>
      <c r="K7" s="18"/>
      <c r="L7" s="18"/>
      <c r="M7" s="18"/>
      <c r="N7" s="18"/>
      <c r="O7" s="18">
        <v>3</v>
      </c>
    </row>
    <row r="8">
      <c r="A8" s="18">
        <v>4</v>
      </c>
      <c r="B8" s="18"/>
      <c r="C8" s="18"/>
      <c r="D8" s="18"/>
      <c r="E8" s="18"/>
      <c r="F8" s="18"/>
      <c r="G8" s="18">
        <v>4</v>
      </c>
      <c r="I8" s="18">
        <v>4</v>
      </c>
      <c r="J8" s="18"/>
      <c r="K8" s="18"/>
      <c r="L8" s="18"/>
      <c r="M8" s="18"/>
      <c r="N8" s="18"/>
      <c r="O8" s="18">
        <v>4</v>
      </c>
    </row>
    <row r="9">
      <c r="A9" s="18">
        <v>5</v>
      </c>
      <c r="B9" s="18"/>
      <c r="C9" s="18"/>
      <c r="D9" s="18"/>
      <c r="E9" s="18"/>
      <c r="F9" s="18"/>
      <c r="G9" s="18">
        <v>5</v>
      </c>
      <c r="I9" s="18">
        <v>5</v>
      </c>
      <c r="J9" s="18"/>
      <c r="K9" s="18"/>
      <c r="L9" s="18"/>
      <c r="M9" s="18"/>
      <c r="N9" s="18"/>
      <c r="O9" s="18">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8" t="str">
        <f>SUMPRODUCT((UPPER(D13:D17)&lt;&gt;"X")*((LEN(SUBSTITUTE(SUBSTITUTE(SUBSTITUTE(B13:B17," ",""),"0",""),"-",""))+LEN(SUBSTITUTE(SUBSTITUTE(SUBSTITUTE(C13:C17," ",""),"0",""),"-","")))&gt;(LEN(SUBSTITUTE(SUBSTITUTE(SUBSTITUTE(E13:E17," ",""),"0",""),"-",""))+LEN(SUBSTITUTE(SUBSTITUTE(SUBSTITUTE(F13:F17," ",""),"0",""),"-",""))))*1)</f>
      </c>
      <c r="C12" s="18" t="str">
        <f>SUMPRODUCT(LEN(SUBSTITUTE(SUBSTITUTE(SUBSTITUTE(B13:B17," ",""),"0",""),"-",""))+LEN(SUBSTITUTE(SUBSTITUTE(SUBSTITUTE(C13:C17," ",""),"0",""),"-","")))</f>
      </c>
      <c r="D12" s="18"/>
      <c r="E12" s="18" t="str">
        <f>SUMPRODUCT(LEN(SUBSTITUTE(SUBSTITUTE(SUBSTITUTE(E13:E17," ",""),"0",""),"-",""))+LEN(SUBSTITUTE(SUBSTITUTE(SUBSTITUTE(F13:F17," ",""),"0",""),"-","")))</f>
      </c>
      <c r="F12" s="18" t="str">
        <f>SUMPRODUCT((UPPER(D13:D17)&lt;&gt;"X")*((LEN(SUBSTITUTE(SUBSTITUTE(SUBSTITUTE(E13:E17," ",""),"0",""),"-",""))+LEN(SUBSTITUTE(SUBSTITUTE(SUBSTITUTE(F13:F17," ",""),"0",""),"-","")))&gt;(LEN(SUBSTITUTE(SUBSTITUTE(SUBSTITUTE(B13:B17," ",""),"0",""),"-",""))+LEN(SUBSTITUTE(SUBSTITUTE(SUBSTITUTE(C13:C17," ",""),"0",""),"-",""))))*1)</f>
      </c>
      <c r="G12" s="14" t="str">
        <f>data!$B$5</f>
      </c>
      <c r="I12" s="14" t="str">
        <f>data!$B$12</f>
      </c>
      <c r="J12" s="18" t="str">
        <f>SUMPRODUCT((UPPER(L13:L17)&lt;&gt;"X")*((LEN(SUBSTITUTE(SUBSTITUTE(SUBSTITUTE(J13:J17," ",""),"0",""),"-",""))+LEN(SUBSTITUTE(SUBSTITUTE(SUBSTITUTE(K13:K17," ",""),"0",""),"-","")))&gt;(LEN(SUBSTITUTE(SUBSTITUTE(SUBSTITUTE(M13:M17," ",""),"0",""),"-",""))+LEN(SUBSTITUTE(SUBSTITUTE(SUBSTITUTE(N13:N17," ",""),"0",""),"-",""))))*1)</f>
      </c>
      <c r="K12" s="18" t="str">
        <f>SUMPRODUCT(LEN(SUBSTITUTE(SUBSTITUTE(SUBSTITUTE(J13:J17," ",""),"0",""),"-",""))+LEN(SUBSTITUTE(SUBSTITUTE(SUBSTITUTE(K13:K17," ",""),"0",""),"-","")))</f>
      </c>
      <c r="L12" s="18"/>
      <c r="M12" s="18" t="str">
        <f>SUMPRODUCT(LEN(SUBSTITUTE(SUBSTITUTE(SUBSTITUTE(M13:M17," ",""),"0",""),"-",""))+LEN(SUBSTITUTE(SUBSTITUTE(SUBSTITUTE(N13:N17," ",""),"0",""),"-","")))</f>
      </c>
      <c r="N12" s="18" t="str">
        <f>SUMPRODUCT((UPPER(L13:L17)&lt;&gt;"X")*((LEN(SUBSTITUTE(SUBSTITUTE(SUBSTITUTE(M13:M17," ",""),"0",""),"-",""))+LEN(SUBSTITUTE(SUBSTITUTE(SUBSTITUTE(N13:N17," ",""),"0",""),"-","")))&gt;(LEN(SUBSTITUTE(SUBSTITUTE(SUBSTITUTE(J13:J17," ",""),"0",""),"-",""))+LEN(SUBSTITUTE(SUBSTITUTE(SUBSTITUTE(K13:K17," ",""),"0",""),"-",""))))*1)</f>
      </c>
      <c r="O12" s="14" t="str">
        <f>data!$B$10</f>
      </c>
    </row>
    <row r="13">
      <c r="A13" s="18">
        <v>1</v>
      </c>
      <c r="B13" s="18"/>
      <c r="C13" s="18"/>
      <c r="D13" s="18"/>
      <c r="E13" s="18"/>
      <c r="F13" s="18"/>
      <c r="G13" s="18">
        <v>1</v>
      </c>
      <c r="I13" s="18">
        <v>1</v>
      </c>
      <c r="J13" s="18"/>
      <c r="K13" s="18"/>
      <c r="L13" s="18"/>
      <c r="M13" s="18"/>
      <c r="N13" s="18"/>
      <c r="O13" s="18">
        <v>1</v>
      </c>
    </row>
    <row r="14">
      <c r="A14" s="18">
        <v>2</v>
      </c>
      <c r="B14" s="18"/>
      <c r="C14" s="18"/>
      <c r="D14" s="18"/>
      <c r="E14" s="18"/>
      <c r="F14" s="18"/>
      <c r="G14" s="18">
        <v>2</v>
      </c>
      <c r="I14" s="18">
        <v>2</v>
      </c>
      <c r="J14" s="18"/>
      <c r="K14" s="18"/>
      <c r="L14" s="18"/>
      <c r="M14" s="18"/>
      <c r="N14" s="18"/>
      <c r="O14" s="18">
        <v>2</v>
      </c>
    </row>
    <row r="15">
      <c r="A15" s="18">
        <v>3</v>
      </c>
      <c r="B15" s="18"/>
      <c r="C15" s="18"/>
      <c r="D15" s="18"/>
      <c r="E15" s="18"/>
      <c r="F15" s="18"/>
      <c r="G15" s="18">
        <v>3</v>
      </c>
      <c r="I15" s="18">
        <v>3</v>
      </c>
      <c r="J15" s="18"/>
      <c r="K15" s="18"/>
      <c r="L15" s="18"/>
      <c r="M15" s="18"/>
      <c r="N15" s="18"/>
      <c r="O15" s="18">
        <v>3</v>
      </c>
    </row>
    <row r="16">
      <c r="A16" s="18">
        <v>4</v>
      </c>
      <c r="B16" s="18"/>
      <c r="C16" s="18"/>
      <c r="D16" s="18"/>
      <c r="E16" s="18"/>
      <c r="F16" s="18"/>
      <c r="G16" s="18">
        <v>4</v>
      </c>
      <c r="I16" s="18">
        <v>4</v>
      </c>
      <c r="J16" s="18"/>
      <c r="K16" s="18"/>
      <c r="L16" s="18"/>
      <c r="M16" s="18"/>
      <c r="N16" s="18"/>
      <c r="O16" s="18">
        <v>4</v>
      </c>
    </row>
    <row r="17">
      <c r="A17" s="18">
        <v>5</v>
      </c>
      <c r="B17" s="18"/>
      <c r="C17" s="18"/>
      <c r="D17" s="18"/>
      <c r="E17" s="18"/>
      <c r="F17" s="18"/>
      <c r="G17" s="18">
        <v>5</v>
      </c>
      <c r="I17" s="18">
        <v>5</v>
      </c>
      <c r="J17" s="18"/>
      <c r="K17" s="18"/>
      <c r="L17" s="18"/>
      <c r="M17" s="18"/>
      <c r="N17" s="18"/>
      <c r="O17" s="18">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8" t="str">
        <f>SUMPRODUCT((UPPER(D21:D25)&lt;&gt;"X")*((LEN(SUBSTITUTE(SUBSTITUTE(SUBSTITUTE(B21:B25," ",""),"0",""),"-",""))+LEN(SUBSTITUTE(SUBSTITUTE(SUBSTITUTE(C21:C25," ",""),"0",""),"-","")))&gt;(LEN(SUBSTITUTE(SUBSTITUTE(SUBSTITUTE(E21:E25," ",""),"0",""),"-",""))+LEN(SUBSTITUTE(SUBSTITUTE(SUBSTITUTE(F21:F25," ",""),"0",""),"-",""))))*1)</f>
      </c>
      <c r="C20" s="18" t="str">
        <f>SUMPRODUCT(LEN(SUBSTITUTE(SUBSTITUTE(SUBSTITUTE(B21:B25," ",""),"0",""),"-",""))+LEN(SUBSTITUTE(SUBSTITUTE(SUBSTITUTE(C21:C25," ",""),"0",""),"-","")))</f>
      </c>
      <c r="D20" s="18"/>
      <c r="E20" s="18" t="str">
        <f>SUMPRODUCT(LEN(SUBSTITUTE(SUBSTITUTE(SUBSTITUTE(E21:E25," ",""),"0",""),"-",""))+LEN(SUBSTITUTE(SUBSTITUTE(SUBSTITUTE(F21:F25," ",""),"0",""),"-","")))</f>
      </c>
      <c r="F20" s="18" t="str">
        <f>SUMPRODUCT((UPPER(D21:D25)&lt;&gt;"X")*((LEN(SUBSTITUTE(SUBSTITUTE(SUBSTITUTE(E21:E25," ",""),"0",""),"-",""))+LEN(SUBSTITUTE(SUBSTITUTE(SUBSTITUTE(F21:F25," ",""),"0",""),"-","")))&gt;(LEN(SUBSTITUTE(SUBSTITUTE(SUBSTITUTE(B21:B25," ",""),"0",""),"-",""))+LEN(SUBSTITUTE(SUBSTITUTE(SUBSTITUTE(C21:C25," ",""),"0",""),"-",""))))*1)</f>
      </c>
      <c r="G20" s="14" t="str">
        <f>data!$B$5</f>
      </c>
      <c r="I20" s="14" t="str">
        <f>data!$B$12</f>
      </c>
      <c r="J20" s="18" t="str">
        <f>SUMPRODUCT((UPPER(L21:L25)&lt;&gt;"X")*((LEN(SUBSTITUTE(SUBSTITUTE(SUBSTITUTE(J21:J25," ",""),"0",""),"-",""))+LEN(SUBSTITUTE(SUBSTITUTE(SUBSTITUTE(K21:K25," ",""),"0",""),"-","")))&gt;(LEN(SUBSTITUTE(SUBSTITUTE(SUBSTITUTE(M21:M25," ",""),"0",""),"-",""))+LEN(SUBSTITUTE(SUBSTITUTE(SUBSTITUTE(N21:N25," ",""),"0",""),"-",""))))*1)</f>
      </c>
      <c r="K20" s="18" t="str">
        <f>SUMPRODUCT(LEN(SUBSTITUTE(SUBSTITUTE(SUBSTITUTE(J21:J25," ",""),"0",""),"-",""))+LEN(SUBSTITUTE(SUBSTITUTE(SUBSTITUTE(K21:K25," ",""),"0",""),"-","")))</f>
      </c>
      <c r="L20" s="18"/>
      <c r="M20" s="18" t="str">
        <f>SUMPRODUCT(LEN(SUBSTITUTE(SUBSTITUTE(SUBSTITUTE(M21:M25," ",""),"0",""),"-",""))+LEN(SUBSTITUTE(SUBSTITUTE(SUBSTITUTE(N21:N25," ",""),"0",""),"-","")))</f>
      </c>
      <c r="N20" s="18" t="str">
        <f>SUMPRODUCT((UPPER(L21:L25)&lt;&gt;"X")*((LEN(SUBSTITUTE(SUBSTITUTE(SUBSTITUTE(M21:M25," ",""),"0",""),"-",""))+LEN(SUBSTITUTE(SUBSTITUTE(SUBSTITUTE(N21:N25," ",""),"0",""),"-","")))&gt;(LEN(SUBSTITUTE(SUBSTITUTE(SUBSTITUTE(J21:J25," ",""),"0",""),"-",""))+LEN(SUBSTITUTE(SUBSTITUTE(SUBSTITUTE(K21:K25," ",""),"0",""),"-",""))))*1)</f>
      </c>
      <c r="O20" s="14" t="str">
        <f>data!$B$11</f>
      </c>
    </row>
    <row r="21">
      <c r="A21" s="18">
        <v>1</v>
      </c>
      <c r="B21" s="18"/>
      <c r="C21" s="18"/>
      <c r="D21" s="18"/>
      <c r="E21" s="18"/>
      <c r="F21" s="18"/>
      <c r="G21" s="18">
        <v>1</v>
      </c>
      <c r="I21" s="18">
        <v>1</v>
      </c>
      <c r="J21" s="18"/>
      <c r="K21" s="18"/>
      <c r="L21" s="18"/>
      <c r="M21" s="18"/>
      <c r="N21" s="18"/>
      <c r="O21" s="18">
        <v>1</v>
      </c>
    </row>
    <row r="22">
      <c r="A22" s="18">
        <v>2</v>
      </c>
      <c r="B22" s="18"/>
      <c r="C22" s="18"/>
      <c r="D22" s="18"/>
      <c r="E22" s="18"/>
      <c r="F22" s="18"/>
      <c r="G22" s="18">
        <v>2</v>
      </c>
      <c r="I22" s="18">
        <v>2</v>
      </c>
      <c r="J22" s="18"/>
      <c r="K22" s="18"/>
      <c r="L22" s="18"/>
      <c r="M22" s="18"/>
      <c r="N22" s="18"/>
      <c r="O22" s="18">
        <v>2</v>
      </c>
    </row>
    <row r="23">
      <c r="A23" s="18">
        <v>3</v>
      </c>
      <c r="B23" s="18"/>
      <c r="C23" s="18"/>
      <c r="D23" s="18"/>
      <c r="E23" s="18"/>
      <c r="F23" s="18"/>
      <c r="G23" s="18">
        <v>3</v>
      </c>
      <c r="I23" s="18">
        <v>3</v>
      </c>
      <c r="J23" s="18"/>
      <c r="K23" s="18"/>
      <c r="L23" s="18"/>
      <c r="M23" s="18"/>
      <c r="N23" s="18"/>
      <c r="O23" s="18">
        <v>3</v>
      </c>
    </row>
    <row r="24">
      <c r="A24" s="18">
        <v>4</v>
      </c>
      <c r="B24" s="18"/>
      <c r="C24" s="18"/>
      <c r="D24" s="18"/>
      <c r="E24" s="18"/>
      <c r="F24" s="18"/>
      <c r="G24" s="18">
        <v>4</v>
      </c>
      <c r="I24" s="18">
        <v>4</v>
      </c>
      <c r="J24" s="18"/>
      <c r="K24" s="18"/>
      <c r="L24" s="18"/>
      <c r="M24" s="18"/>
      <c r="N24" s="18"/>
      <c r="O24" s="18">
        <v>4</v>
      </c>
    </row>
    <row r="25">
      <c r="A25" s="18">
        <v>5</v>
      </c>
      <c r="B25" s="18"/>
      <c r="C25" s="18"/>
      <c r="D25" s="18"/>
      <c r="E25" s="18"/>
      <c r="F25" s="18"/>
      <c r="G25" s="18">
        <v>5</v>
      </c>
      <c r="I25" s="18">
        <v>5</v>
      </c>
      <c r="J25" s="18"/>
      <c r="K25" s="18"/>
      <c r="L25" s="18"/>
      <c r="M25" s="18"/>
      <c r="N25" s="18"/>
      <c r="O25" s="18">
        <v>5</v>
      </c>
    </row>
    <row r="27">
      <c r="A27" s="17" t="s">
        <v>35</v>
      </c>
      <c r="B27" s="14"/>
      <c r="C27" s="14"/>
      <c r="D27" s="14" t="s">
        <v>36</v>
      </c>
      <c r="E27" s="14"/>
      <c r="F27" s="14"/>
      <c r="G27" s="16" t="s">
        <v>37</v>
      </c>
    </row>
    <row r="28">
      <c r="A28" s="14" t="str">
        <f>data!$B$6</f>
      </c>
      <c r="B28" s="18" t="str">
        <f>SUMPRODUCT((UPPER(D29:D33)&lt;&gt;"X")*((LEN(SUBSTITUTE(SUBSTITUTE(SUBSTITUTE(B29:B33," ",""),"0",""),"-",""))+LEN(SUBSTITUTE(SUBSTITUTE(SUBSTITUTE(C29:C33," ",""),"0",""),"-","")))&gt;(LEN(SUBSTITUTE(SUBSTITUTE(SUBSTITUTE(E29:E33," ",""),"0",""),"-",""))+LEN(SUBSTITUTE(SUBSTITUTE(SUBSTITUTE(F29:F33," ",""),"0",""),"-",""))))*1)</f>
      </c>
      <c r="C28" s="18" t="str">
        <f>SUMPRODUCT(LEN(SUBSTITUTE(SUBSTITUTE(SUBSTITUTE(B29:B33," ",""),"0",""),"-",""))+LEN(SUBSTITUTE(SUBSTITUTE(SUBSTITUTE(C29:C33," ",""),"0",""),"-","")))</f>
      </c>
      <c r="D28" s="18"/>
      <c r="E28" s="18" t="str">
        <f>SUMPRODUCT(LEN(SUBSTITUTE(SUBSTITUTE(SUBSTITUTE(E29:E33," ",""),"0",""),"-",""))+LEN(SUBSTITUTE(SUBSTITUTE(SUBSTITUTE(F29:F33," ",""),"0",""),"-","")))</f>
      </c>
      <c r="F28" s="18" t="str">
        <f>SUMPRODUCT((UPPER(D29:D33)&lt;&gt;"X")*((LEN(SUBSTITUTE(SUBSTITUTE(SUBSTITUTE(E29:E33," ",""),"0",""),"-",""))+LEN(SUBSTITUTE(SUBSTITUTE(SUBSTITUTE(F29:F33," ",""),"0",""),"-","")))&gt;(LEN(SUBSTITUTE(SUBSTITUTE(SUBSTITUTE(B29:B33," ",""),"0",""),"-",""))+LEN(SUBSTITUTE(SUBSTITUTE(SUBSTITUTE(C29:C33," ",""),"0",""),"-",""))))*1)</f>
      </c>
      <c r="G28" s="14" t="str">
        <f>data!$B$3</f>
      </c>
    </row>
    <row r="29">
      <c r="A29" s="18">
        <v>1</v>
      </c>
      <c r="B29" s="18"/>
      <c r="C29" s="18"/>
      <c r="D29" s="18"/>
      <c r="E29" s="18"/>
      <c r="F29" s="18"/>
      <c r="G29" s="18">
        <v>1</v>
      </c>
    </row>
    <row r="30">
      <c r="A30" s="18">
        <v>2</v>
      </c>
      <c r="B30" s="18"/>
      <c r="C30" s="18"/>
      <c r="D30" s="18"/>
      <c r="E30" s="18"/>
      <c r="F30" s="18"/>
      <c r="G30" s="18">
        <v>2</v>
      </c>
    </row>
    <row r="31">
      <c r="A31" s="18">
        <v>3</v>
      </c>
      <c r="B31" s="18"/>
      <c r="C31" s="18"/>
      <c r="D31" s="18"/>
      <c r="E31" s="18"/>
      <c r="F31" s="18"/>
      <c r="G31" s="18">
        <v>3</v>
      </c>
    </row>
    <row r="32">
      <c r="A32" s="18">
        <v>4</v>
      </c>
      <c r="B32" s="18"/>
      <c r="C32" s="18"/>
      <c r="D32" s="18"/>
      <c r="E32" s="18"/>
      <c r="F32" s="18"/>
      <c r="G32" s="18">
        <v>4</v>
      </c>
    </row>
    <row r="33">
      <c r="A33" s="18">
        <v>5</v>
      </c>
      <c r="B33" s="18"/>
      <c r="C33" s="18"/>
      <c r="D33" s="18"/>
      <c r="E33" s="18"/>
      <c r="F33" s="18"/>
      <c r="G33" s="18">
        <v>5</v>
      </c>
    </row>
    <row r="35">
      <c r="A35" s="17" t="s">
        <v>35</v>
      </c>
      <c r="B35" s="14"/>
      <c r="C35" s="14"/>
      <c r="D35" s="14" t="s">
        <v>36</v>
      </c>
      <c r="E35" s="14"/>
      <c r="F35" s="14"/>
      <c r="G35" s="16" t="s">
        <v>37</v>
      </c>
    </row>
    <row r="36">
      <c r="A36" s="14" t="str">
        <f>data!$B$5</f>
      </c>
      <c r="B36" s="18" t="str">
        <f>SUMPRODUCT((UPPER(D37:D41)&lt;&gt;"X")*((LEN(SUBSTITUTE(SUBSTITUTE(SUBSTITUTE(B37:B41," ",""),"0",""),"-",""))+LEN(SUBSTITUTE(SUBSTITUTE(SUBSTITUTE(C37:C41," ",""),"0",""),"-","")))&gt;(LEN(SUBSTITUTE(SUBSTITUTE(SUBSTITUTE(E37:E41," ",""),"0",""),"-",""))+LEN(SUBSTITUTE(SUBSTITUTE(SUBSTITUTE(F37:F41," ",""),"0",""),"-",""))))*1)</f>
      </c>
      <c r="C36" s="18" t="str">
        <f>SUMPRODUCT(LEN(SUBSTITUTE(SUBSTITUTE(SUBSTITUTE(B37:B41," ",""),"0",""),"-",""))+LEN(SUBSTITUTE(SUBSTITUTE(SUBSTITUTE(C37:C41," ",""),"0",""),"-","")))</f>
      </c>
      <c r="D36" s="18"/>
      <c r="E36" s="18" t="str">
        <f>SUMPRODUCT(LEN(SUBSTITUTE(SUBSTITUTE(SUBSTITUTE(E37:E41," ",""),"0",""),"-",""))+LEN(SUBSTITUTE(SUBSTITUTE(SUBSTITUTE(F37:F41," ",""),"0",""),"-","")))</f>
      </c>
      <c r="F36" s="18" t="str">
        <f>SUMPRODUCT((UPPER(D37:D41)&lt;&gt;"X")*((LEN(SUBSTITUTE(SUBSTITUTE(SUBSTITUTE(E37:E41," ",""),"0",""),"-",""))+LEN(SUBSTITUTE(SUBSTITUTE(SUBSTITUTE(F37:F41," ",""),"0",""),"-","")))&gt;(LEN(SUBSTITUTE(SUBSTITUTE(SUBSTITUTE(B37:B41," ",""),"0",""),"-",""))+LEN(SUBSTITUTE(SUBSTITUTE(SUBSTITUTE(C37:C41," ",""),"0",""),"-",""))))*1)</f>
      </c>
      <c r="G36" s="14" t="str">
        <f>data!$B$3</f>
      </c>
    </row>
    <row r="37">
      <c r="A37" s="18">
        <v>1</v>
      </c>
      <c r="B37" s="18"/>
      <c r="C37" s="18"/>
      <c r="D37" s="18"/>
      <c r="E37" s="18"/>
      <c r="F37" s="18"/>
      <c r="G37" s="18">
        <v>1</v>
      </c>
    </row>
    <row r="38">
      <c r="A38" s="18">
        <v>2</v>
      </c>
      <c r="B38" s="18"/>
      <c r="C38" s="18"/>
      <c r="D38" s="18"/>
      <c r="E38" s="18"/>
      <c r="F38" s="18"/>
      <c r="G38" s="18">
        <v>2</v>
      </c>
    </row>
    <row r="39">
      <c r="A39" s="18">
        <v>3</v>
      </c>
      <c r="B39" s="18"/>
      <c r="C39" s="18"/>
      <c r="D39" s="18"/>
      <c r="E39" s="18"/>
      <c r="F39" s="18"/>
      <c r="G39" s="18">
        <v>3</v>
      </c>
    </row>
    <row r="40">
      <c r="A40" s="18">
        <v>4</v>
      </c>
      <c r="B40" s="18"/>
      <c r="C40" s="18"/>
      <c r="D40" s="18"/>
      <c r="E40" s="18"/>
      <c r="F40" s="18"/>
      <c r="G40" s="18">
        <v>4</v>
      </c>
    </row>
    <row r="41">
      <c r="A41" s="18">
        <v>5</v>
      </c>
      <c r="B41" s="18"/>
      <c r="C41" s="18"/>
      <c r="D41" s="18"/>
      <c r="E41" s="18"/>
      <c r="F41" s="18"/>
      <c r="G41" s="18">
        <v>5</v>
      </c>
    </row>
    <row r="43">
      <c r="A43" s="17" t="s">
        <v>35</v>
      </c>
      <c r="B43" s="14"/>
      <c r="C43" s="14"/>
      <c r="D43" s="14" t="s">
        <v>36</v>
      </c>
      <c r="E43" s="14"/>
      <c r="F43" s="14"/>
      <c r="G43" s="16" t="s">
        <v>37</v>
      </c>
    </row>
    <row r="44">
      <c r="A44" s="14" t="str">
        <f>data!$B$6</f>
      </c>
      <c r="B44" s="18" t="str">
        <f>SUMPRODUCT((UPPER(D45:D49)&lt;&gt;"X")*((LEN(SUBSTITUTE(SUBSTITUTE(SUBSTITUTE(B45:B49," ",""),"0",""),"-",""))+LEN(SUBSTITUTE(SUBSTITUTE(SUBSTITUTE(C45:C49," ",""),"0",""),"-","")))&gt;(LEN(SUBSTITUTE(SUBSTITUTE(SUBSTITUTE(E45:E49," ",""),"0",""),"-",""))+LEN(SUBSTITUTE(SUBSTITUTE(SUBSTITUTE(F45:F49," ",""),"0",""),"-",""))))*1)</f>
      </c>
      <c r="C44" s="18" t="str">
        <f>SUMPRODUCT(LEN(SUBSTITUTE(SUBSTITUTE(SUBSTITUTE(B45:B49," ",""),"0",""),"-",""))+LEN(SUBSTITUTE(SUBSTITUTE(SUBSTITUTE(C45:C49," ",""),"0",""),"-","")))</f>
      </c>
      <c r="D44" s="18"/>
      <c r="E44" s="18" t="str">
        <f>SUMPRODUCT(LEN(SUBSTITUTE(SUBSTITUTE(SUBSTITUTE(E45:E49," ",""),"0",""),"-",""))+LEN(SUBSTITUTE(SUBSTITUTE(SUBSTITUTE(F45:F49," ",""),"0",""),"-","")))</f>
      </c>
      <c r="F44" s="18" t="str">
        <f>SUMPRODUCT((UPPER(D45:D49)&lt;&gt;"X")*((LEN(SUBSTITUTE(SUBSTITUTE(SUBSTITUTE(E45:E49," ",""),"0",""),"-",""))+LEN(SUBSTITUTE(SUBSTITUTE(SUBSTITUTE(F45:F49," ",""),"0",""),"-","")))&gt;(LEN(SUBSTITUTE(SUBSTITUTE(SUBSTITUTE(B45:B49," ",""),"0",""),"-",""))+LEN(SUBSTITUTE(SUBSTITUTE(SUBSTITUTE(C45:C49," ",""),"0",""),"-",""))))*1)</f>
      </c>
      <c r="G44" s="14" t="str">
        <f>data!$B$4</f>
      </c>
    </row>
    <row r="45">
      <c r="A45" s="18">
        <v>1</v>
      </c>
      <c r="B45" s="18"/>
      <c r="C45" s="18"/>
      <c r="D45" s="18"/>
      <c r="E45" s="18"/>
      <c r="F45" s="18"/>
      <c r="G45" s="18">
        <v>1</v>
      </c>
    </row>
    <row r="46">
      <c r="A46" s="18">
        <v>2</v>
      </c>
      <c r="B46" s="18"/>
      <c r="C46" s="18"/>
      <c r="D46" s="18"/>
      <c r="E46" s="18"/>
      <c r="F46" s="18"/>
      <c r="G46" s="18">
        <v>2</v>
      </c>
    </row>
    <row r="47">
      <c r="A47" s="18">
        <v>3</v>
      </c>
      <c r="B47" s="18"/>
      <c r="C47" s="18"/>
      <c r="D47" s="18"/>
      <c r="E47" s="18"/>
      <c r="F47" s="18"/>
      <c r="G47" s="18">
        <v>3</v>
      </c>
    </row>
    <row r="48">
      <c r="A48" s="18">
        <v>4</v>
      </c>
      <c r="B48" s="18"/>
      <c r="C48" s="18"/>
      <c r="D48" s="18"/>
      <c r="E48" s="18"/>
      <c r="F48" s="18"/>
      <c r="G48" s="18">
        <v>4</v>
      </c>
    </row>
    <row r="49">
      <c r="A49" s="18">
        <v>5</v>
      </c>
      <c r="B49" s="18"/>
      <c r="C49" s="18"/>
      <c r="D49" s="18"/>
      <c r="E49" s="18"/>
      <c r="F49" s="18"/>
      <c r="G49" s="18">
        <v>5</v>
      </c>
    </row>
    <row r="52">
      <c r="A52" s="13"/>
      <c r="B52" s="13" t="s">
        <v>38</v>
      </c>
      <c r="C52" s="13" t="s">
        <v>39</v>
      </c>
      <c r="D52" s="13" t="s">
        <v>40</v>
      </c>
      <c r="I52" s="13"/>
      <c r="J52" s="13" t="s">
        <v>38</v>
      </c>
      <c r="K52" s="13" t="s">
        <v>39</v>
      </c>
      <c r="L52" s="13" t="s">
        <v>40</v>
      </c>
    </row>
    <row r="53">
      <c r="A53" t="str">
        <f>data!$B$3</f>
      </c>
      <c r="B53" s="14" t="str">
        <f>IF(OR(COUNTA(B5:C9,E5:F9)&gt;0,OR(D4="X",D4="x")),IF(OR(D4="X",D4="x"),0,IF(OR(F4&gt;B4,AND(F4=B4,E4&gt;C4)),1,0)),0)+IF(OR(COUNTA(B29:C33,E29:F33)&gt;0,OR(D28="X",D28="x")),IF(OR(D28="X",D28="x"),0,IF(OR(F28&gt;B28,AND(F28=B28,E28&gt;C28)),1,0)),0)+IF(OR(COUNTA(B37:C41,E37:F41)&gt;0,OR(D36="X",D36="x")),IF(OR(D36="X",D36="x"),0,IF(OR(F36&gt;B36,AND(F36=B36,E36&gt;C36)),1,0)),0)</f>
      </c>
      <c r="C53" s="14" t="str">
        <f>IF(OR(COUNTA(B5:C9,E5:F9)&gt;0,OR(D4="X",D4="x")),IF(OR(D4="X",D4="x"),0,IF(OR(F4&lt;B4,AND(F4=B4,E4&lt;C4)),1,0)),0)+IF(OR(COUNTA(B29:C33,E29:F33)&gt;0,OR(D28="X",D28="x")),IF(OR(D28="X",D28="x"),0,IF(OR(F28&lt;B28,AND(F28=B28,E28&lt;C28)),1,0)),0)+IF(OR(COUNTA(B37:C41,E37:F41)&gt;0,OR(D36="X",D36="x")),IF(OR(D36="X",D36="x"),0,IF(OR(F36&lt;B36,AND(F36=B36,E36&lt;C36)),1,0)),0)</f>
      </c>
      <c r="D53" s="14" t="str">
        <f>IF(OR(COUNTA(B5:C9,E5:F9)&gt;0,OR(D4="X",D4="x")),IF(OR(D4="X",D4="x"),1,0),0)+IF(OR(COUNTA(B29:C33,E29:F33)&gt;0,OR(D28="X",D28="x")),IF(OR(D28="X",D28="x"),1,0),0)+IF(OR(COUNTA(B37:C41,E37:F41)&gt;0,OR(D36="X",D36="x")),IF(OR(D36="X",D36="x"),1,0),0)</f>
      </c>
      <c r="I53" t="str">
        <f>data!$B$10</f>
      </c>
      <c r="J53" s="14" t="str">
        <f>IF(OR(COUNTA(J5:K9,M5:N9)&gt;0,OR(L4="X",L4="x")),IF(OR(L4="X",L4="x"),0,IF(OR(N4&gt;J4,AND(N4=J4,M4&gt;K4)),1,0)),0)+IF(OR(COUNTA(J13:K17,M13:N17)&gt;0,OR(L12="X",L12="x")),IF(OR(L12="X",L12="x"),0,IF(OR(N12&gt;J12,AND(N12=J12,M12&gt;K12)),1,0)),0)</f>
      </c>
      <c r="K53" s="14" t="str">
        <f>IF(OR(COUNTA(J5:K9,M5:N9)&gt;0,OR(L4="X",L4="x")),IF(OR(L4="X",L4="x"),0,IF(OR(N4&lt;J4,AND(N4=J4,M4&lt;K4)),1,0)),0)+IF(OR(COUNTA(J13:K17,M13:N17)&gt;0,OR(L12="X",L12="x")),IF(OR(L12="X",L12="x"),0,IF(OR(N12&lt;J12,AND(N12=J12,M12&lt;K12)),1,0)),0)</f>
      </c>
      <c r="L53" s="14" t="str">
        <f>IF(OR(COUNTA(J5:K9,M5:N9)&gt;0,OR(L4="X",L4="x")),IF(OR(L4="X",L4="x"),1,0),0)+IF(OR(COUNTA(J13:K17,M13:N17)&gt;0,OR(L12="X",L12="x")),IF(OR(L12="X",L12="x"),1,0),0)</f>
      </c>
    </row>
    <row r="54">
      <c r="A54" t="str">
        <f>data!$B$4</f>
      </c>
      <c r="B54" s="14" t="str">
        <f>IF(OR(COUNTA(B5:C9,E5:F9)&gt;0,OR(D4="X",D4="x")),IF(OR(D4="X",D4="x"),0,IF(OR(B4&gt;F4,AND(B4=F4,C4&gt;E4)),1,0)),0)+IF(OR(COUNTA(B13:C17,E13:F17)&gt;0,OR(D12="X",D12="x")),IF(OR(D12="X",D12="x"),0,IF(OR(B12&gt;F12,AND(B12=F12,C12&gt;E12)),1,0)),0)+IF(OR(COUNTA(B45:C49,E45:F49)&gt;0,OR(D44="X",D44="x")),IF(OR(D44="X",D44="x"),0,IF(OR(F44&gt;B44,AND(F44=B44,E44&gt;C44)),1,0)),0)</f>
      </c>
      <c r="C54" s="14" t="str">
        <f>IF(OR(COUNTA(B5:C9,E5:F9)&gt;0,OR(D4="X",D4="x")),IF(OR(D4="X",D4="x"),0,IF(OR(B4&lt;F4,AND(B4=F4,C4&lt;E4)),1,0)),0)+IF(OR(COUNTA(B13:C17,E13:F17)&gt;0,OR(D12="X",D12="x")),IF(OR(D12="X",D12="x"),0,IF(OR(B12&lt;F12,AND(B12=F12,C12&lt;E12)),1,0)),0)+IF(OR(COUNTA(B45:C49,E45:F49)&gt;0,OR(D44="X",D44="x")),IF(OR(D44="X",D44="x"),0,IF(OR(F44&lt;B44,AND(F44=B44,E44&lt;C44)),1,0)),0)</f>
      </c>
      <c r="D54" s="14" t="str">
        <f>IF(OR(COUNTA(B5:C9,E5:F9)&gt;0,OR(D4="X",D4="x")),IF(OR(D4="X",D4="x"),1,0),0)+IF(OR(COUNTA(B13:C17,E13:F17)&gt;0,OR(D12="X",D12="x")),IF(OR(D12="X",D12="x"),1,0),0)+IF(OR(COUNTA(B45:C49,E45:F49)&gt;0,OR(D44="X",D44="x")),IF(OR(D44="X",D44="x"),1,0),0)</f>
      </c>
      <c r="I54" t="str">
        <f>data!$B$11</f>
      </c>
      <c r="J54" s="14" t="str">
        <f>IF(OR(COUNTA(J5:K9,M5:N9)&gt;0,OR(L4="X",L4="x")),IF(OR(L4="X",L4="x"),0,IF(OR(J4&gt;N4,AND(J4=N4,K4&gt;M4)),1,0)),0)+IF(OR(COUNTA(J21:K25,M21:N25)&gt;0,OR(L20="X",L20="x")),IF(OR(L20="X",L20="x"),0,IF(OR(N20&gt;J20,AND(N20=J20,M20&gt;K20)),1,0)),0)</f>
      </c>
      <c r="K54" s="14" t="str">
        <f>IF(OR(COUNTA(J5:K9,M5:N9)&gt;0,OR(L4="X",L4="x")),IF(OR(L4="X",L4="x"),0,IF(OR(J4&lt;N4,AND(J4=N4,K4&lt;M4)),1,0)),0)+IF(OR(COUNTA(J21:K25,M21:N25)&gt;0,OR(L20="X",L20="x")),IF(OR(L20="X",L20="x"),0,IF(OR(N20&lt;J20,AND(N20=J20,M20&lt;K20)),1,0)),0)</f>
      </c>
      <c r="L54" s="14" t="str">
        <f>IF(OR(COUNTA(J5:K9,M5:N9)&gt;0,OR(L4="X",L4="x")),IF(OR(L4="X",L4="x"),1,0),0)+IF(OR(COUNTA(J21:K25,M21:N25)&gt;0,OR(L20="X",L20="x")),IF(OR(L20="X",L20="x"),1,0),0)</f>
      </c>
    </row>
    <row r="55">
      <c r="A55" t="str">
        <f>data!$B$5</f>
      </c>
      <c r="B55" s="14" t="str">
        <f>IF(OR(COUNTA(B13:C17,E13:F17)&gt;0,OR(D12="X",D12="x")),IF(OR(D12="X",D12="x"),0,IF(OR(F12&gt;B12,AND(F12=B12,E12&gt;C12)),1,0)),0)+IF(OR(COUNTA(B21:C25,E21:F25)&gt;0,OR(D20="X",D20="x")),IF(OR(D20="X",D20="x"),0,IF(OR(F20&gt;B20,AND(F20=B20,E20&gt;C20)),1,0)),0)+IF(OR(COUNTA(B37:C41,E37:F41)&gt;0,OR(D36="X",D36="x")),IF(OR(D36="X",D36="x"),0,IF(OR(B36&gt;F36,AND(B36=F36,C36&gt;E36)),1,0)),0)</f>
      </c>
      <c r="C55" s="14" t="str">
        <f>IF(OR(COUNTA(B13:C17,E13:F17)&gt;0,OR(D12="X",D12="x")),IF(OR(D12="X",D12="x"),0,IF(OR(F12&lt;B12,AND(F12=B12,E12&lt;C12)),1,0)),0)+IF(OR(COUNTA(B21:C25,E21:F25)&gt;0,OR(D20="X",D20="x")),IF(OR(D20="X",D20="x"),0,IF(OR(F20&lt;B20,AND(F20=B20,E20&lt;C20)),1,0)),0)+IF(OR(COUNTA(B37:C41,E37:F41)&gt;0,OR(D36="X",D36="x")),IF(OR(D36="X",D36="x"),0,IF(OR(B36&lt;F36,AND(B36=F36,C36&lt;E36)),1,0)),0)</f>
      </c>
      <c r="D55" s="14" t="str">
        <f>IF(OR(COUNTA(B13:C17,E13:F17)&gt;0,OR(D12="X",D12="x")),IF(OR(D12="X",D12="x"),1,0),0)+IF(OR(COUNTA(B21:C25,E21:F25)&gt;0,OR(D20="X",D20="x")),IF(OR(D20="X",D20="x"),1,0),0)+IF(OR(COUNTA(B37:C41,E37:F41)&gt;0,OR(D36="X",D36="x")),IF(OR(D36="X",D36="x"),1,0),0)</f>
      </c>
      <c r="I55" t="str">
        <f>data!$B$12</f>
      </c>
      <c r="J55" s="14" t="str">
        <f>IF(OR(COUNTA(J13:K17,M13:N17)&gt;0,OR(L12="X",L12="x")),IF(OR(L12="X",L12="x"),0,IF(OR(J12&gt;N12,AND(J12=N12,K12&gt;M12)),1,0)),0)+IF(OR(COUNTA(J21:K25,M21:N25)&gt;0,OR(L20="X",L20="x")),IF(OR(L20="X",L20="x"),0,IF(OR(J20&gt;N20,AND(J20=N20,K20&gt;M20)),1,0)),0)</f>
      </c>
      <c r="K55" s="14" t="str">
        <f>IF(OR(COUNTA(J13:K17,M13:N17)&gt;0,OR(L12="X",L12="x")),IF(OR(L12="X",L12="x"),0,IF(OR(J12&lt;N12,AND(J12=N12,K12&lt;M12)),1,0)),0)+IF(OR(COUNTA(J21:K25,M21:N25)&gt;0,OR(L20="X",L20="x")),IF(OR(L20="X",L20="x"),0,IF(OR(J20&lt;N20,AND(J20=N20,K20&lt;M20)),1,0)),0)</f>
      </c>
      <c r="L55" s="14" t="str">
        <f>IF(OR(COUNTA(J13:K17,M13:N17)&gt;0,OR(L12="X",L12="x")),IF(OR(L12="X",L12="x"),1,0),0)+IF(OR(COUNTA(J21:K25,M21:N25)&gt;0,OR(L20="X",L20="x")),IF(OR(L20="X",L20="x"),1,0),0)</f>
      </c>
    </row>
    <row r="56">
      <c r="A56" t="str">
        <f>data!$B$6</f>
      </c>
      <c r="B56" s="14" t="str">
        <f>IF(OR(COUNTA(B21:C25,E21:F25)&gt;0,OR(D20="X",D20="x")),IF(OR(D20="X",D20="x"),0,IF(OR(B20&gt;F20,AND(B20=F20,C20&gt;E20)),1,0)),0)+IF(OR(COUNTA(B29:C33,E29:F33)&gt;0,OR(D28="X",D28="x")),IF(OR(D28="X",D28="x"),0,IF(OR(B28&gt;F28,AND(B28=F28,C28&gt;E28)),1,0)),0)+IF(OR(COUNTA(B45:C49,E45:F49)&gt;0,OR(D44="X",D44="x")),IF(OR(D44="X",D44="x"),0,IF(OR(B44&gt;F44,AND(B44=F44,C44&gt;E44)),1,0)),0)</f>
      </c>
      <c r="C56" s="14" t="str">
        <f>IF(OR(COUNTA(B21:C25,E21:F25)&gt;0,OR(D20="X",D20="x")),IF(OR(D20="X",D20="x"),0,IF(OR(B20&lt;F20,AND(B20=F20,C20&lt;E20)),1,0)),0)+IF(OR(COUNTA(B29:C33,E29:F33)&gt;0,OR(D28="X",D28="x")),IF(OR(D28="X",D28="x"),0,IF(OR(B28&lt;F28,AND(B28=F28,C28&lt;E28)),1,0)),0)+IF(OR(COUNTA(B45:C49,E45:F49)&gt;0,OR(D44="X",D44="x")),IF(OR(D44="X",D44="x"),0,IF(OR(B44&lt;F44,AND(B44=F44,C44&lt;E44)),1,0)),0)</f>
      </c>
      <c r="D56" s="14" t="str">
        <f>IF(OR(COUNTA(B21:C25,E21:F25)&gt;0,OR(D20="X",D20="x")),IF(OR(D20="X",D20="x"),1,0),0)+IF(OR(COUNTA(B29:C33,E29:F33)&gt;0,OR(D28="X",D28="x")),IF(OR(D28="X",D28="x"),1,0),0)+IF(OR(COUNTA(B45:C49,E45:F49)&gt;0,OR(D44="X",D44="x")),IF(OR(D44="X",D44="x"),1,0),0)</f>
      </c>
    </row>
    <row r="57">
      <c r="I57" s="13"/>
      <c r="J57" s="13" t="s">
        <v>41</v>
      </c>
      <c r="K57" s="13" t="s">
        <v>42</v>
      </c>
      <c r="L57" s="13" t="s">
        <v>43</v>
      </c>
      <c r="M57" s="13" t="s">
        <v>44</v>
      </c>
      <c r="N57" s="13" t="s">
        <v>45</v>
      </c>
    </row>
    <row r="58">
      <c r="A58" s="13"/>
      <c r="B58" s="13" t="s">
        <v>41</v>
      </c>
      <c r="C58" s="13" t="s">
        <v>42</v>
      </c>
      <c r="D58" s="13" t="s">
        <v>43</v>
      </c>
      <c r="E58" s="13" t="s">
        <v>44</v>
      </c>
      <c r="F58" s="13" t="s">
        <v>45</v>
      </c>
      <c r="I58" t="str">
        <f>data!$B$10</f>
      </c>
      <c r="J58" s="14" t="str">
        <f>IF(OR(COUNTA(J5:K9,M5:N9)&gt;0,OR(L4="X",L4="x")),N4,0)+IF(OR(COUNTA(J13:K17,M13:N17)&gt;0,OR(L12="X",L12="x")),N12,0)</f>
      </c>
      <c r="K58" s="14" t="str">
        <f>IF(OR(COUNTA(J5:K9,M5:N9)&gt;0,OR(L4="X",L4="x")),J4,0)+IF(OR(COUNTA(J13:K17,M13:N17)&gt;0,OR(L12="X",L12="x")),J12,0)</f>
      </c>
      <c r="L58" s="14" t="str">
        <f>IF(OR(COUNTA(J5:K9,M5:N9)&gt;0,OR(L4="X",L4="x")),(IF(OR(L5="X",L5="x"),1,0)+IF(OR(L6="X",L6="x"),1,0)+IF(OR(L7="X",L7="x"),1,0)+IF(OR(L8="X",L8="x"),1,0)+IF(OR(L9="X",L9="x"),1,0)),0)+IF(OR(COUNTA(J13:K17,M13:N17)&gt;0,OR(L12="X",L12="x")),(IF(OR(L13="X",L13="x"),1,0)+IF(OR(L14="X",L14="x"),1,0)+IF(OR(L15="X",L15="x"),1,0)+IF(OR(L16="X",L16="x"),1,0)+IF(OR(L17="X",L17="x"),1,0)),0)</f>
      </c>
      <c r="M58" s="14" t="str">
        <f>M4+M12</f>
      </c>
      <c r="N58" s="14" t="str">
        <f>K4+K12</f>
      </c>
    </row>
    <row r="59">
      <c r="A59" t="str">
        <f>data!$B$3</f>
      </c>
      <c r="B59" s="14" t="str">
        <f>IF(OR(COUNTA(B5:C9,E5:F9)&gt;0,OR(D4="X",D4="x")),F4,0)+IF(OR(COUNTA(B29:C33,E29:F33)&gt;0,OR(D28="X",D28="x")),F28,0)+IF(OR(COUNTA(B37:C41,E37:F41)&gt;0,OR(D36="X",D36="x")),F36,0)</f>
      </c>
      <c r="C59" s="14" t="str">
        <f>IF(OR(COUNTA(B5:C9,E5:F9)&gt;0,OR(D4="X",D4="x")),B4,0)+IF(OR(COUNTA(B29:C33,E29:F33)&gt;0,OR(D28="X",D28="x")),B28,0)+IF(OR(COUNTA(B37:C41,E37:F41)&gt;0,OR(D36="X",D36="x")),B36,0)</f>
      </c>
      <c r="D59" s="14" t="str">
        <f>IF(OR(COUNTA(B5:C9,E5:F9)&gt;0,OR(D4="X",D4="x")),(IF(OR(D5="X",D5="x"),1,0)+IF(OR(D6="X",D6="x"),1,0)+IF(OR(D7="X",D7="x"),1,0)+IF(OR(D8="X",D8="x"),1,0)+IF(OR(D9="X",D9="x"),1,0)),0)+IF(OR(COUNTA(B29:C33,E29:F33)&gt;0,OR(D28="X",D28="x")),(IF(OR(D29="X",D29="x"),1,0)+IF(OR(D30="X",D30="x"),1,0)+IF(OR(D31="X",D31="x"),1,0)+IF(OR(D32="X",D32="x"),1,0)+IF(OR(D33="X",D33="x"),1,0)),0)+IF(OR(COUNTA(B37:C41,E37:F41)&gt;0,OR(D36="X",D36="x")),(IF(OR(D37="X",D37="x"),1,0)+IF(OR(D38="X",D38="x"),1,0)+IF(OR(D39="X",D39="x"),1,0)+IF(OR(D40="X",D40="x"),1,0)+IF(OR(D41="X",D41="x"),1,0)),0)</f>
      </c>
      <c r="E59" s="14" t="str">
        <f>E4+E28+E36</f>
      </c>
      <c r="F59" s="14" t="str">
        <f>C4+C28+C36</f>
      </c>
      <c r="I59" t="str">
        <f>data!$B$11</f>
      </c>
      <c r="J59" s="14" t="str">
        <f>IF(OR(COUNTA(J5:K9,M5:N9)&gt;0,OR(L4="X",L4="x")),J4,0)+IF(OR(COUNTA(J21:K25,M21:N25)&gt;0,OR(L20="X",L20="x")),N20,0)</f>
      </c>
      <c r="K59" s="14" t="str">
        <f>IF(OR(COUNTA(J5:K9,M5:N9)&gt;0,OR(L4="X",L4="x")),N4,0)+IF(OR(COUNTA(J21:K25,M21:N25)&gt;0,OR(L20="X",L20="x")),J20,0)</f>
      </c>
      <c r="L59" s="14" t="str">
        <f>IF(OR(COUNTA(J5:K9,M5:N9)&gt;0,OR(L4="X",L4="x")),(IF(OR(L5="X",L5="x"),1,0)+IF(OR(L6="X",L6="x"),1,0)+IF(OR(L7="X",L7="x"),1,0)+IF(OR(L8="X",L8="x"),1,0)+IF(OR(L9="X",L9="x"),1,0)),0)+IF(OR(COUNTA(J21:K25,M21:N25)&gt;0,OR(L20="X",L20="x")),(IF(OR(L21="X",L21="x"),1,0)+IF(OR(L22="X",L22="x"),1,0)+IF(OR(L23="X",L23="x"),1,0)+IF(OR(L24="X",L24="x"),1,0)+IF(OR(L25="X",L25="x"),1,0)),0)</f>
      </c>
      <c r="M59" s="14" t="str">
        <f>K4+M20</f>
      </c>
      <c r="N59" s="14" t="str">
        <f>M4+K20</f>
      </c>
    </row>
    <row r="60">
      <c r="A60" t="str">
        <f>data!$B$4</f>
      </c>
      <c r="B60" s="14" t="str">
        <f>IF(OR(COUNTA(B5:C9,E5:F9)&gt;0,OR(D4="X",D4="x")),B4,0)+IF(OR(COUNTA(B13:C17,E13:F17)&gt;0,OR(D12="X",D12="x")),B12,0)+IF(OR(COUNTA(B45:C49,E45:F49)&gt;0,OR(D44="X",D44="x")),F44,0)</f>
      </c>
      <c r="C60" s="14" t="str">
        <f>IF(OR(COUNTA(B5:C9,E5:F9)&gt;0,OR(D4="X",D4="x")),F4,0)+IF(OR(COUNTA(B13:C17,E13:F17)&gt;0,OR(D12="X",D12="x")),F12,0)+IF(OR(COUNTA(B45:C49,E45:F49)&gt;0,OR(D44="X",D44="x")),B44,0)</f>
      </c>
      <c r="D60" s="14" t="str">
        <f>IF(OR(COUNTA(B5:C9,E5:F9)&gt;0,OR(D4="X",D4="x")),(IF(OR(D5="X",D5="x"),1,0)+IF(OR(D6="X",D6="x"),1,0)+IF(OR(D7="X",D7="x"),1,0)+IF(OR(D8="X",D8="x"),1,0)+IF(OR(D9="X",D9="x"),1,0)),0)+IF(OR(COUNTA(B13:C17,E13:F17)&gt;0,OR(D12="X",D12="x")),(IF(OR(D13="X",D13="x"),1,0)+IF(OR(D14="X",D14="x"),1,0)+IF(OR(D15="X",D15="x"),1,0)+IF(OR(D16="X",D16="x"),1,0)+IF(OR(D17="X",D17="x"),1,0)),0)+IF(OR(COUNTA(B45:C49,E45:F49)&gt;0,OR(D44="X",D44="x")),(IF(OR(D45="X",D45="x"),1,0)+IF(OR(D46="X",D46="x"),1,0)+IF(OR(D47="X",D47="x"),1,0)+IF(OR(D48="X",D48="x"),1,0)+IF(OR(D49="X",D49="x"),1,0)),0)</f>
      </c>
      <c r="E60" s="14" t="str">
        <f>C4+C12+E44</f>
      </c>
      <c r="F60" s="14" t="str">
        <f>E4+E12+C44</f>
      </c>
      <c r="I60" t="str">
        <f>data!$B$12</f>
      </c>
      <c r="J60" s="14" t="str">
        <f>IF(OR(COUNTA(J13:K17,M13:N17)&gt;0,OR(L12="X",L12="x")),J12,0)+IF(OR(COUNTA(J21:K25,M21:N25)&gt;0,OR(L20="X",L20="x")),J20,0)</f>
      </c>
      <c r="K60" s="14" t="str">
        <f>IF(OR(COUNTA(J13:K17,M13:N17)&gt;0,OR(L12="X",L12="x")),N12,0)+IF(OR(COUNTA(J21:K25,M21:N25)&gt;0,OR(L20="X",L20="x")),N20,0)</f>
      </c>
      <c r="L60" s="14" t="str">
        <f>IF(OR(COUNTA(J13:K17,M13:N17)&gt;0,OR(L12="X",L12="x")),(IF(OR(L13="X",L13="x"),1,0)+IF(OR(L14="X",L14="x"),1,0)+IF(OR(L15="X",L15="x"),1,0)+IF(OR(L16="X",L16="x"),1,0)+IF(OR(L17="X",L17="x"),1,0)),0)+IF(OR(COUNTA(J21:K25,M21:N25)&gt;0,OR(L20="X",L20="x")),(IF(OR(L21="X",L21="x"),1,0)+IF(OR(L22="X",L22="x"),1,0)+IF(OR(L23="X",L23="x"),1,0)+IF(OR(L24="X",L24="x"),1,0)+IF(OR(L25="X",L25="x"),1,0)),0)</f>
      </c>
      <c r="M60" s="14" t="str">
        <f>K12+K20</f>
      </c>
      <c r="N60" s="14" t="str">
        <f>M12+M20</f>
      </c>
    </row>
    <row r="61">
      <c r="A61" t="str">
        <f>data!$B$5</f>
      </c>
      <c r="B61" s="14" t="str">
        <f>IF(OR(COUNTA(B13:C17,E13:F17)&gt;0,OR(D12="X",D12="x")),F12,0)+IF(OR(COUNTA(B21:C25,E21:F25)&gt;0,OR(D20="X",D20="x")),F20,0)+IF(OR(COUNTA(B37:C41,E37:F41)&gt;0,OR(D36="X",D36="x")),B36,0)</f>
      </c>
      <c r="C61" s="14" t="str">
        <f>IF(OR(COUNTA(B13:C17,E13:F17)&gt;0,OR(D12="X",D12="x")),B12,0)+IF(OR(COUNTA(B21:C25,E21:F25)&gt;0,OR(D20="X",D20="x")),B20,0)+IF(OR(COUNTA(B37:C41,E37:F41)&gt;0,OR(D36="X",D36="x")),F36,0)</f>
      </c>
      <c r="D61" s="14" t="str">
        <f>IF(OR(COUNTA(B13:C17,E13:F17)&gt;0,OR(D12="X",D12="x")),(IF(OR(D13="X",D13="x"),1,0)+IF(OR(D14="X",D14="x"),1,0)+IF(OR(D15="X",D15="x"),1,0)+IF(OR(D16="X",D16="x"),1,0)+IF(OR(D17="X",D17="x"),1,0)),0)+IF(OR(COUNTA(B21:C25,E21:F25)&gt;0,OR(D20="X",D20="x")),(IF(OR(D21="X",D21="x"),1,0)+IF(OR(D22="X",D22="x"),1,0)+IF(OR(D23="X",D23="x"),1,0)+IF(OR(D24="X",D24="x"),1,0)+IF(OR(D25="X",D25="x"),1,0)),0)+IF(OR(COUNTA(B37:C41,E37:F41)&gt;0,OR(D36="X",D36="x")),(IF(OR(D37="X",D37="x"),1,0)+IF(OR(D38="X",D38="x"),1,0)+IF(OR(D39="X",D39="x"),1,0)+IF(OR(D40="X",D40="x"),1,0)+IF(OR(D41="X",D41="x"),1,0)),0)</f>
      </c>
      <c r="E61" s="14" t="str">
        <f>E12+E20+C36</f>
      </c>
      <c r="F61" s="14" t="str">
        <f>C12+C20+E36</f>
      </c>
    </row>
    <row r="62">
      <c r="A62" t="str">
        <f>data!$B$6</f>
      </c>
      <c r="B62" s="14" t="str">
        <f>IF(OR(COUNTA(B21:C25,E21:F25)&gt;0,OR(D20="X",D20="x")),B20,0)+IF(OR(COUNTA(B29:C33,E29:F33)&gt;0,OR(D28="X",D28="x")),B28,0)+IF(OR(COUNTA(B45:C49,E45:F49)&gt;0,OR(D44="X",D44="x")),B44,0)</f>
      </c>
      <c r="C62" s="14" t="str">
        <f>IF(OR(COUNTA(B21:C25,E21:F25)&gt;0,OR(D20="X",D20="x")),F20,0)+IF(OR(COUNTA(B29:C33,E29:F33)&gt;0,OR(D28="X",D28="x")),F28,0)+IF(OR(COUNTA(B45:C49,E45:F49)&gt;0,OR(D44="X",D44="x")),F44,0)</f>
      </c>
      <c r="D62" s="14" t="str">
        <f>IF(OR(COUNTA(B21:C25,E21:F25)&gt;0,OR(D20="X",D20="x")),(IF(OR(D21="X",D21="x"),1,0)+IF(OR(D22="X",D22="x"),1,0)+IF(OR(D23="X",D23="x"),1,0)+IF(OR(D24="X",D24="x"),1,0)+IF(OR(D25="X",D25="x"),1,0)),0)+IF(OR(COUNTA(B29:C33,E29:F33)&gt;0,OR(D28="X",D28="x")),(IF(OR(D29="X",D29="x"),1,0)+IF(OR(D30="X",D30="x"),1,0)+IF(OR(D31="X",D31="x"),1,0)+IF(OR(D32="X",D32="x"),1,0)+IF(OR(D33="X",D33="x"),1,0)),0)+IF(OR(COUNTA(B45:C49,E45:F49)&gt;0,OR(D44="X",D44="x")),(IF(OR(D45="X",D45="x"),1,0)+IF(OR(D46="X",D46="x"),1,0)+IF(OR(D47="X",D47="x"),1,0)+IF(OR(D48="X",D48="x"),1,0)+IF(OR(D49="X",D49="x"),1,0)),0)</f>
      </c>
      <c r="E62" s="14" t="str">
        <f>C20+C28+C44</f>
      </c>
      <c r="F62" s="14" t="str">
        <f>E20+E28+E44</f>
      </c>
    </row>
    <row r="63">
      <c r="N63" s="13"/>
      <c r="O63" s="13" t="s">
        <v>46</v>
      </c>
    </row>
    <row r="64">
      <c r="N64" t="s">
        <v>47</v>
      </c>
      <c r="O64" s="19"/>
    </row>
    <row r="65">
      <c r="F65" s="13"/>
      <c r="G65" s="13" t="s">
        <v>46</v>
      </c>
      <c r="N65" t="s">
        <v>48</v>
      </c>
      <c r="O65" s="19"/>
    </row>
    <row r="66">
      <c r="F66" t="s">
        <v>47</v>
      </c>
      <c r="G66" s="19"/>
      <c r="N66" t="s">
        <v>49</v>
      </c>
      <c r="O66" s="19"/>
    </row>
    <row r="67">
      <c r="F67" t="s">
        <v>48</v>
      </c>
      <c r="G67" s="19"/>
    </row>
    <row r="68">
      <c r="A68" s="13" t="str">
        <f>data!$A$9</f>
      </c>
      <c r="B68" s="13"/>
      <c r="C68" s="13"/>
      <c r="D68" s="13"/>
      <c r="E68" s="13"/>
      <c r="F68" s="13"/>
      <c r="G68" s="13"/>
    </row>
    <row r="69">
      <c r="A69" s="17" t="s">
        <v>35</v>
      </c>
      <c r="B69" s="14"/>
      <c r="C69" s="14"/>
      <c r="D69" s="14" t="s">
        <v>36</v>
      </c>
      <c r="E69" s="14"/>
      <c r="F69" s="14" t="s">
        <v>50</v>
      </c>
      <c r="G69" s="16" t="s">
        <v>37</v>
      </c>
    </row>
    <row r="70">
      <c r="A70" s="14" t="str">
        <f>data!$B$8</f>
      </c>
      <c r="B70" s="18" t="str">
        <f>SUMPRODUCT((UPPER(D71:D75)&lt;&gt;"X")*((LEN(SUBSTITUTE(SUBSTITUTE(SUBSTITUTE(B71:B75," ",""),"0",""),"-",""))+LEN(SUBSTITUTE(SUBSTITUTE(SUBSTITUTE(C71:C75," ",""),"0",""),"-","")))&gt;(LEN(SUBSTITUTE(SUBSTITUTE(SUBSTITUTE(E71:E75," ",""),"0",""),"-",""))+LEN(SUBSTITUTE(SUBSTITUTE(SUBSTITUTE(F71:F75," ",""),"0",""),"-",""))))*1)</f>
      </c>
      <c r="C70" s="18" t="str">
        <f>SUMPRODUCT(LEN(SUBSTITUTE(SUBSTITUTE(SUBSTITUTE(B71:B75," ",""),"0",""),"-",""))+LEN(SUBSTITUTE(SUBSTITUTE(SUBSTITUTE(C71:C75," ",""),"0",""),"-","")))</f>
      </c>
      <c r="D70" s="18"/>
      <c r="E70" s="18" t="str">
        <f>SUMPRODUCT(LEN(SUBSTITUTE(SUBSTITUTE(SUBSTITUTE(E71:E75," ",""),"0",""),"-",""))+LEN(SUBSTITUTE(SUBSTITUTE(SUBSTITUTE(F71:F75," ",""),"0",""),"-","")))</f>
      </c>
      <c r="F70" s="18" t="str">
        <f>SUMPRODUCT((UPPER(D71:D75)&lt;&gt;"X")*((LEN(SUBSTITUTE(SUBSTITUTE(SUBSTITUTE(E71:E75," ",""),"0",""),"-",""))+LEN(SUBSTITUTE(SUBSTITUTE(SUBSTITUTE(F71:F75," ",""),"0",""),"-","")))&gt;(LEN(SUBSTITUTE(SUBSTITUTE(SUBSTITUTE(B71:B75," ",""),"0",""),"-",""))+LEN(SUBSTITUTE(SUBSTITUTE(SUBSTITUTE(C71:C75," ",""),"0",""),"-",""))))*1)</f>
      </c>
      <c r="G70" s="14" t="str">
        <f>data!$B$7</f>
      </c>
    </row>
    <row r="71">
      <c r="A71" s="18">
        <v>1</v>
      </c>
      <c r="B71" s="18"/>
      <c r="C71" s="18"/>
      <c r="D71" s="18"/>
      <c r="E71" s="18"/>
      <c r="F71" s="18"/>
      <c r="G71" s="18">
        <v>1</v>
      </c>
    </row>
    <row r="72">
      <c r="A72" s="18">
        <v>2</v>
      </c>
      <c r="B72" s="18"/>
      <c r="C72" s="18"/>
      <c r="D72" s="18"/>
      <c r="E72" s="18"/>
      <c r="F72" s="18"/>
      <c r="G72" s="18">
        <v>2</v>
      </c>
    </row>
    <row r="73">
      <c r="A73" s="18">
        <v>3</v>
      </c>
      <c r="B73" s="18"/>
      <c r="C73" s="18"/>
      <c r="D73" s="18"/>
      <c r="E73" s="18"/>
      <c r="F73" s="18"/>
      <c r="G73" s="18">
        <v>3</v>
      </c>
    </row>
    <row r="74">
      <c r="A74" s="18">
        <v>4</v>
      </c>
      <c r="B74" s="18"/>
      <c r="C74" s="18"/>
      <c r="D74" s="18"/>
      <c r="E74" s="18"/>
      <c r="F74" s="18"/>
      <c r="G74" s="18">
        <v>4</v>
      </c>
    </row>
    <row r="75">
      <c r="A75" s="18">
        <v>5</v>
      </c>
      <c r="B75" s="18"/>
      <c r="C75" s="18"/>
      <c r="D75" s="18"/>
      <c r="E75" s="18"/>
      <c r="F75" s="18"/>
      <c r="G75" s="18">
        <v>5</v>
      </c>
    </row>
    <row r="77">
      <c r="A77" s="17" t="s">
        <v>35</v>
      </c>
      <c r="B77" s="14"/>
      <c r="C77" s="14"/>
      <c r="D77" s="14" t="s">
        <v>36</v>
      </c>
      <c r="E77" s="14"/>
      <c r="F77" s="14"/>
      <c r="G77" s="16" t="s">
        <v>37</v>
      </c>
    </row>
    <row r="78">
      <c r="A78" s="14" t="str">
        <f>data!$B$9</f>
      </c>
      <c r="B78" s="18" t="str">
        <f>SUMPRODUCT((UPPER(D79:D83)&lt;&gt;"X")*((LEN(SUBSTITUTE(SUBSTITUTE(SUBSTITUTE(B79:B83," ",""),"0",""),"-",""))+LEN(SUBSTITUTE(SUBSTITUTE(SUBSTITUTE(C79:C83," ",""),"0",""),"-","")))&gt;(LEN(SUBSTITUTE(SUBSTITUTE(SUBSTITUTE(E79:E83," ",""),"0",""),"-",""))+LEN(SUBSTITUTE(SUBSTITUTE(SUBSTITUTE(F79:F83," ",""),"0",""),"-",""))))*1)</f>
      </c>
      <c r="C78" s="18" t="str">
        <f>SUMPRODUCT(LEN(SUBSTITUTE(SUBSTITUTE(SUBSTITUTE(B79:B83," ",""),"0",""),"-",""))+LEN(SUBSTITUTE(SUBSTITUTE(SUBSTITUTE(C79:C83," ",""),"0",""),"-","")))</f>
      </c>
      <c r="D78" s="18"/>
      <c r="E78" s="18" t="str">
        <f>SUMPRODUCT(LEN(SUBSTITUTE(SUBSTITUTE(SUBSTITUTE(E79:E83," ",""),"0",""),"-",""))+LEN(SUBSTITUTE(SUBSTITUTE(SUBSTITUTE(F79:F83," ",""),"0",""),"-","")))</f>
      </c>
      <c r="F78" s="18" t="str">
        <f>SUMPRODUCT((UPPER(D79:D83)&lt;&gt;"X")*((LEN(SUBSTITUTE(SUBSTITUTE(SUBSTITUTE(E79:E83," ",""),"0",""),"-",""))+LEN(SUBSTITUTE(SUBSTITUTE(SUBSTITUTE(F79:F83," ",""),"0",""),"-","")))&gt;(LEN(SUBSTITUTE(SUBSTITUTE(SUBSTITUTE(B79:B83," ",""),"0",""),"-",""))+LEN(SUBSTITUTE(SUBSTITUTE(SUBSTITUTE(C79:C83," ",""),"0",""),"-",""))))*1)</f>
      </c>
      <c r="G78" s="14" t="str">
        <f>data!$B$7</f>
      </c>
    </row>
    <row r="79">
      <c r="A79" s="18">
        <v>1</v>
      </c>
      <c r="B79" s="18"/>
      <c r="C79" s="18"/>
      <c r="D79" s="18"/>
      <c r="E79" s="18"/>
      <c r="F79" s="18"/>
      <c r="G79" s="18">
        <v>1</v>
      </c>
    </row>
    <row r="80">
      <c r="A80" s="18">
        <v>2</v>
      </c>
      <c r="B80" s="18"/>
      <c r="C80" s="18"/>
      <c r="D80" s="18"/>
      <c r="E80" s="18"/>
      <c r="F80" s="18"/>
      <c r="G80" s="18">
        <v>2</v>
      </c>
    </row>
    <row r="81">
      <c r="A81" s="18">
        <v>3</v>
      </c>
      <c r="B81" s="18"/>
      <c r="C81" s="18"/>
      <c r="D81" s="18"/>
      <c r="E81" s="18"/>
      <c r="F81" s="18"/>
      <c r="G81" s="18">
        <v>3</v>
      </c>
    </row>
    <row r="82">
      <c r="A82" s="18">
        <v>4</v>
      </c>
      <c r="B82" s="18"/>
      <c r="C82" s="18"/>
      <c r="D82" s="18"/>
      <c r="E82" s="18"/>
      <c r="F82" s="18"/>
      <c r="G82" s="18">
        <v>4</v>
      </c>
    </row>
    <row r="83">
      <c r="A83" s="18">
        <v>5</v>
      </c>
      <c r="B83" s="18"/>
      <c r="C83" s="18"/>
      <c r="D83" s="18"/>
      <c r="E83" s="18"/>
      <c r="F83" s="18"/>
      <c r="G83" s="18">
        <v>5</v>
      </c>
    </row>
    <row r="85">
      <c r="A85" s="17" t="s">
        <v>35</v>
      </c>
      <c r="B85" s="14"/>
      <c r="C85" s="14"/>
      <c r="D85" s="14" t="s">
        <v>36</v>
      </c>
      <c r="E85" s="14"/>
      <c r="F85" s="14"/>
      <c r="G85" s="16" t="s">
        <v>37</v>
      </c>
    </row>
    <row r="86">
      <c r="A86" s="14" t="str">
        <f>data!$B$9</f>
      </c>
      <c r="B86" s="18" t="str">
        <f>SUMPRODUCT((UPPER(D87:D91)&lt;&gt;"X")*((LEN(SUBSTITUTE(SUBSTITUTE(SUBSTITUTE(B87:B91," ",""),"0",""),"-",""))+LEN(SUBSTITUTE(SUBSTITUTE(SUBSTITUTE(C87:C91," ",""),"0",""),"-","")))&gt;(LEN(SUBSTITUTE(SUBSTITUTE(SUBSTITUTE(E87:E91," ",""),"0",""),"-",""))+LEN(SUBSTITUTE(SUBSTITUTE(SUBSTITUTE(F87:F91," ",""),"0",""),"-",""))))*1)</f>
      </c>
      <c r="C86" s="18" t="str">
        <f>SUMPRODUCT(LEN(SUBSTITUTE(SUBSTITUTE(SUBSTITUTE(B87:B91," ",""),"0",""),"-",""))+LEN(SUBSTITUTE(SUBSTITUTE(SUBSTITUTE(C87:C91," ",""),"0",""),"-","")))</f>
      </c>
      <c r="D86" s="18"/>
      <c r="E86" s="18" t="str">
        <f>SUMPRODUCT(LEN(SUBSTITUTE(SUBSTITUTE(SUBSTITUTE(E87:E91," ",""),"0",""),"-",""))+LEN(SUBSTITUTE(SUBSTITUTE(SUBSTITUTE(F87:F91," ",""),"0",""),"-","")))</f>
      </c>
      <c r="F86" s="18" t="str">
        <f>SUMPRODUCT((UPPER(D87:D91)&lt;&gt;"X")*((LEN(SUBSTITUTE(SUBSTITUTE(SUBSTITUTE(E87:E91," ",""),"0",""),"-",""))+LEN(SUBSTITUTE(SUBSTITUTE(SUBSTITUTE(F87:F91," ",""),"0",""),"-","")))&gt;(LEN(SUBSTITUTE(SUBSTITUTE(SUBSTITUTE(B87:B91," ",""),"0",""),"-",""))+LEN(SUBSTITUTE(SUBSTITUTE(SUBSTITUTE(C87:C91," ",""),"0",""),"-",""))))*1)</f>
      </c>
      <c r="G86" s="14" t="str">
        <f>data!$B$8</f>
      </c>
    </row>
    <row r="87">
      <c r="A87" s="18">
        <v>1</v>
      </c>
      <c r="B87" s="18"/>
      <c r="C87" s="18"/>
      <c r="D87" s="18"/>
      <c r="E87" s="18"/>
      <c r="F87" s="18"/>
      <c r="G87" s="18">
        <v>1</v>
      </c>
    </row>
    <row r="88">
      <c r="A88" s="18">
        <v>2</v>
      </c>
      <c r="B88" s="18"/>
      <c r="C88" s="18"/>
      <c r="D88" s="18"/>
      <c r="E88" s="18"/>
      <c r="F88" s="18"/>
      <c r="G88" s="18">
        <v>2</v>
      </c>
    </row>
    <row r="89">
      <c r="A89" s="18">
        <v>3</v>
      </c>
      <c r="B89" s="18"/>
      <c r="C89" s="18"/>
      <c r="D89" s="18"/>
      <c r="E89" s="18"/>
      <c r="F89" s="18"/>
      <c r="G89" s="18">
        <v>3</v>
      </c>
    </row>
    <row r="90">
      <c r="A90" s="18">
        <v>4</v>
      </c>
      <c r="B90" s="18"/>
      <c r="C90" s="18"/>
      <c r="D90" s="18"/>
      <c r="E90" s="18"/>
      <c r="F90" s="18"/>
      <c r="G90" s="18">
        <v>4</v>
      </c>
    </row>
    <row r="91">
      <c r="A91" s="18">
        <v>5</v>
      </c>
      <c r="B91" s="18"/>
      <c r="C91" s="18"/>
      <c r="D91" s="18"/>
      <c r="E91" s="18"/>
      <c r="F91" s="18"/>
      <c r="G91" s="18">
        <v>5</v>
      </c>
    </row>
    <row r="94">
      <c r="A94" s="13"/>
      <c r="B94" s="13" t="s">
        <v>38</v>
      </c>
      <c r="C94" s="13" t="s">
        <v>39</v>
      </c>
      <c r="D94" s="13" t="s">
        <v>40</v>
      </c>
    </row>
    <row r="95">
      <c r="A95" t="str">
        <f>data!$B$7</f>
      </c>
      <c r="B95" s="14" t="str">
        <f>IF(OR(COUNTA(B71:C75,E71:F75)&gt;0,OR(D70="X",D70="x")),IF(OR(D70="X",D70="x"),0,IF(OR(F70&gt;B70,AND(F70=B70,E70&gt;C70)),1,0)),0)+IF(OR(COUNTA(B79:C83,E79:F83)&gt;0,OR(D78="X",D78="x")),IF(OR(D78="X",D78="x"),0,IF(OR(F78&gt;B78,AND(F78=B78,E78&gt;C78)),1,0)),0)</f>
      </c>
      <c r="C95" s="14" t="str">
        <f>IF(OR(COUNTA(B71:C75,E71:F75)&gt;0,OR(D70="X",D70="x")),IF(OR(D70="X",D70="x"),0,IF(OR(F70&lt;B70,AND(F70=B70,E70&lt;C70)),1,0)),0)+IF(OR(COUNTA(B79:C83,E79:F83)&gt;0,OR(D78="X",D78="x")),IF(OR(D78="X",D78="x"),0,IF(OR(F78&lt;B78,AND(F78=B78,E78&lt;C78)),1,0)),0)</f>
      </c>
      <c r="D95" s="14" t="str">
        <f>IF(OR(COUNTA(B71:C75,E71:F75)&gt;0,OR(D70="X",D70="x")),IF(OR(D70="X",D70="x"),1,0),0)+IF(OR(COUNTA(B79:C83,E79:F83)&gt;0,OR(D78="X",D78="x")),IF(OR(D78="X",D78="x"),1,0),0)</f>
      </c>
    </row>
    <row r="96">
      <c r="A96" t="str">
        <f>data!$B$8</f>
      </c>
      <c r="B96" s="14" t="str">
        <f>IF(OR(COUNTA(B71:C75,E71:F75)&gt;0,OR(D70="X",D70="x")),IF(OR(D70="X",D70="x"),0,IF(OR(B70&gt;F70,AND(B70=F70,C70&gt;E70)),1,0)),0)+IF(OR(COUNTA(B87:C91,E87:F91)&gt;0,OR(D86="X",D86="x")),IF(OR(D86="X",D86="x"),0,IF(OR(F86&gt;B86,AND(F86=B86,E86&gt;C86)),1,0)),0)</f>
      </c>
      <c r="C96" s="14" t="str">
        <f>IF(OR(COUNTA(B71:C75,E71:F75)&gt;0,OR(D70="X",D70="x")),IF(OR(D70="X",D70="x"),0,IF(OR(B70&lt;F70,AND(B70=F70,C70&lt;E70)),1,0)),0)+IF(OR(COUNTA(B87:C91,E87:F91)&gt;0,OR(D86="X",D86="x")),IF(OR(D86="X",D86="x"),0,IF(OR(F86&lt;B86,AND(F86=B86,E86&lt;C86)),1,0)),0)</f>
      </c>
      <c r="D96" s="14" t="str">
        <f>IF(OR(COUNTA(B71:C75,E71:F75)&gt;0,OR(D70="X",D70="x")),IF(OR(D70="X",D70="x"),1,0),0)+IF(OR(COUNTA(B87:C91,E87:F91)&gt;0,OR(D86="X",D86="x")),IF(OR(D86="X",D86="x"),1,0),0)</f>
      </c>
    </row>
    <row r="97">
      <c r="A97" t="str">
        <f>data!$B$9</f>
      </c>
      <c r="B97" s="14" t="str">
        <f>IF(OR(COUNTA(B79:C83,E79:F83)&gt;0,OR(D78="X",D78="x")),IF(OR(D78="X",D78="x"),0,IF(OR(B78&gt;F78,AND(B78=F78,C78&gt;E78)),1,0)),0)+IF(OR(COUNTA(B87:C91,E87:F91)&gt;0,OR(D86="X",D86="x")),IF(OR(D86="X",D86="x"),0,IF(OR(B86&gt;F86,AND(B86=F86,C86&gt;E86)),1,0)),0)</f>
      </c>
      <c r="C97" s="14" t="str">
        <f>IF(OR(COUNTA(B79:C83,E79:F83)&gt;0,OR(D78="X",D78="x")),IF(OR(D78="X",D78="x"),0,IF(OR(B78&lt;F78,AND(B78=F78,C78&lt;E78)),1,0)),0)+IF(OR(COUNTA(B87:C91,E87:F91)&gt;0,OR(D86="X",D86="x")),IF(OR(D86="X",D86="x"),0,IF(OR(B86&lt;F86,AND(B86=F86,C86&lt;E86)),1,0)),0)</f>
      </c>
      <c r="D97" s="14" t="str">
        <f>IF(OR(COUNTA(B79:C83,E79:F83)&gt;0,OR(D78="X",D78="x")),IF(OR(D78="X",D78="x"),1,0),0)+IF(OR(COUNTA(B87:C91,E87:F91)&gt;0,OR(D86="X",D86="x")),IF(OR(D86="X",D86="x"),1,0),0)</f>
      </c>
    </row>
    <row r="99">
      <c r="A99" s="13"/>
      <c r="B99" s="13" t="s">
        <v>41</v>
      </c>
      <c r="C99" s="13" t="s">
        <v>42</v>
      </c>
      <c r="D99" s="13" t="s">
        <v>43</v>
      </c>
      <c r="E99" s="13" t="s">
        <v>44</v>
      </c>
      <c r="F99" s="13" t="s">
        <v>45</v>
      </c>
    </row>
    <row r="100">
      <c r="A100" t="str">
        <f>data!$B$7</f>
      </c>
      <c r="B100" s="14" t="str">
        <f>IF(OR(COUNTA(B71:C75,E71:F75)&gt;0,OR(D70="X",D70="x")),F70,0)+IF(OR(COUNTA(B79:C83,E79:F83)&gt;0,OR(D78="X",D78="x")),F78,0)</f>
      </c>
      <c r="C100" s="14" t="str">
        <f>IF(OR(COUNTA(B71:C75,E71:F75)&gt;0,OR(D70="X",D70="x")),B70,0)+IF(OR(COUNTA(B79:C83,E79:F83)&gt;0,OR(D78="X",D78="x")),B78,0)</f>
      </c>
      <c r="D100" s="14" t="str">
        <f>IF(OR(COUNTA(B71:C75,E71:F75)&gt;0,OR(D70="X",D70="x")),(IF(OR(D71="X",D71="x"),1,0)+IF(OR(D72="X",D72="x"),1,0)+IF(OR(D73="X",D73="x"),1,0)+IF(OR(D74="X",D74="x"),1,0)+IF(OR(D75="X",D75="x"),1,0)),0)+IF(OR(COUNTA(B79:C83,E79:F83)&gt;0,OR(D78="X",D78="x")),(IF(OR(D79="X",D79="x"),1,0)+IF(OR(D80="X",D80="x"),1,0)+IF(OR(D81="X",D81="x"),1,0)+IF(OR(D82="X",D82="x"),1,0)+IF(OR(D83="X",D83="x"),1,0)),0)</f>
      </c>
      <c r="E100" s="14" t="str">
        <f>E70+E78</f>
      </c>
      <c r="F100" s="14" t="str">
        <f>C70+C78</f>
      </c>
    </row>
    <row r="101">
      <c r="A101" t="str">
        <f>data!$B$8</f>
      </c>
      <c r="B101" s="14" t="str">
        <f>IF(OR(COUNTA(B71:C75,E71:F75)&gt;0,OR(D70="X",D70="x")),B70,0)+IF(OR(COUNTA(B87:C91,E87:F91)&gt;0,OR(D86="X",D86="x")),F86,0)</f>
      </c>
      <c r="C101" s="14" t="str">
        <f>IF(OR(COUNTA(B71:C75,E71:F75)&gt;0,OR(D70="X",D70="x")),F70,0)+IF(OR(COUNTA(B87:C91,E87:F91)&gt;0,OR(D86="X",D86="x")),B86,0)</f>
      </c>
      <c r="D101" s="14" t="str">
        <f>IF(OR(COUNTA(B71:C75,E71:F75)&gt;0,OR(D70="X",D70="x")),(IF(OR(D71="X",D71="x"),1,0)+IF(OR(D72="X",D72="x"),1,0)+IF(OR(D73="X",D73="x"),1,0)+IF(OR(D74="X",D74="x"),1,0)+IF(OR(D75="X",D75="x"),1,0)),0)+IF(OR(COUNTA(B87:C91,E87:F91)&gt;0,OR(D86="X",D86="x")),(IF(OR(D87="X",D87="x"),1,0)+IF(OR(D88="X",D88="x"),1,0)+IF(OR(D89="X",D89="x"),1,0)+IF(OR(D90="X",D90="x"),1,0)+IF(OR(D91="X",D91="x"),1,0)),0)</f>
      </c>
      <c r="E101" s="14" t="str">
        <f>C70+E86</f>
      </c>
      <c r="F101" s="14" t="str">
        <f>E70+C86</f>
      </c>
    </row>
    <row r="102">
      <c r="A102" t="str">
        <f>data!$B$9</f>
      </c>
      <c r="B102" s="14" t="str">
        <f>IF(OR(COUNTA(B79:C83,E79:F83)&gt;0,OR(D78="X",D78="x")),B78,0)+IF(OR(COUNTA(B87:C91,E87:F91)&gt;0,OR(D86="X",D86="x")),B86,0)</f>
      </c>
      <c r="C102" s="14" t="str">
        <f>IF(OR(COUNTA(B79:C83,E79:F83)&gt;0,OR(D78="X",D78="x")),F78,0)+IF(OR(COUNTA(B87:C91,E87:F91)&gt;0,OR(D86="X",D86="x")),F86,0)</f>
      </c>
      <c r="D102" s="14" t="str">
        <f>IF(OR(COUNTA(B79:C83,E79:F83)&gt;0,OR(D78="X",D78="x")),(IF(OR(D79="X",D79="x"),1,0)+IF(OR(D80="X",D80="x"),1,0)+IF(OR(D81="X",D81="x"),1,0)+IF(OR(D82="X",D82="x"),1,0)+IF(OR(D83="X",D83="x"),1,0)),0)+IF(OR(COUNTA(B87:C91,E87:F91)&gt;0,OR(D86="X",D86="x")),(IF(OR(D87="X",D87="x"),1,0)+IF(OR(D88="X",D88="x"),1,0)+IF(OR(D89="X",D89="x"),1,0)+IF(OR(D90="X",D90="x"),1,0)+IF(OR(D91="X",D91="x"),1,0)),0)</f>
      </c>
      <c r="E102" s="14" t="str">
        <f>C78+C86</f>
      </c>
      <c r="F102" s="14" t="str">
        <f>E78+E86</f>
      </c>
    </row>
    <row r="105">
      <c r="F105" s="13"/>
      <c r="G105" s="13" t="s">
        <v>46</v>
      </c>
    </row>
    <row r="106">
      <c r="F106" t="s">
        <v>47</v>
      </c>
      <c r="G106" s="19"/>
    </row>
    <row r="107">
      <c r="F107" t="s">
        <v>48</v>
      </c>
      <c r="G107" s="19"/>
    </row>
    <row r="108">
      <c r="F108" t="s">
        <v>49</v>
      </c>
      <c r="G10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8:G68"/>
  </mergeCells>
  <printOptions horizontalCentered="true" verticalCentered="true"/>
  <pageSetup fitToHeight="0" fitToWidth="2" orientation="portrait" pageOrder="downThenOver" paperSize="9"/>
  <rowBreaks count="3" manualBreakCount="3">
    <brk id="1" max="16383" man="true"/>
    <brk id="44" max="16383" man="true"/>
    <brk id="67"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3" min="2" width="5"/>
    <col customWidth="true" max="4" min="4" width="3"/>
    <col customWidth="true" max="6" min="5" width="5"/>
    <col customWidth="true" max="7" min="7" width="30"/>
    <col customWidth="true" max="8" min="8" width="5"/>
    <col customWidth="true" max="9" min="9" width="30"/>
    <col customWidth="true" max="11" min="10" width="5"/>
    <col customWidth="true" max="12" min="12" width="3"/>
    <col customWidth="true" max="14" min="13" width="5"/>
    <col customWidth="true" max="15" min="15" width="30"/>
    <col customWidth="true" max="18" min="16" width="5"/>
    <col customWidth="true" max="19" min="19" width="30"/>
    <col customWidth="true" max="20" min="20" width="2"/>
  </cols>
  <sheetData>
    <row r="1">
      <c r="A1" s="13" t="s">
        <v>33</v>
      </c>
      <c r="B1" s="13"/>
      <c r="C1" s="13"/>
      <c r="D1" s="13"/>
      <c r="E1" s="13"/>
      <c r="F1" s="13"/>
      <c r="G1" s="13"/>
      <c r="I1" s="13" t="s">
        <v>34</v>
      </c>
      <c r="J1" s="13"/>
      <c r="K1" s="13"/>
      <c r="L1" s="13"/>
      <c r="M1" s="13"/>
      <c r="N1" s="13"/>
      <c r="O1" s="13"/>
    </row>
    <row r="2">
      <c r="A2" s="13" t="s">
        <v>61</v>
      </c>
      <c r="B2" s="13"/>
      <c r="C2" s="13"/>
      <c r="D2" s="13"/>
      <c r="E2" s="13"/>
      <c r="F2" s="13"/>
      <c r="G2" s="13"/>
      <c r="M2" s="13" t="s">
        <v>65</v>
      </c>
      <c r="N2" s="13"/>
      <c r="O2" s="13"/>
      <c r="P2" s="13"/>
      <c r="Q2" s="13"/>
      <c r="R2" s="13"/>
      <c r="S2" s="13"/>
    </row>
    <row r="3">
      <c r="A3" s="17" t="s">
        <v>35</v>
      </c>
      <c r="D3" s="14" t="s">
        <v>36</v>
      </c>
      <c r="G3" s="16" t="s">
        <v>37</v>
      </c>
      <c r="M3" s="17" t="s">
        <v>35</v>
      </c>
      <c r="P3" s="14" t="s">
        <v>36</v>
      </c>
      <c r="S3" s="16" t="s">
        <v>37</v>
      </c>
    </row>
    <row r="4">
      <c r="A4" s="14" t="str">
        <f>CONCATENATE("Pool B-2nd ",'Pool Matches'!G107)</f>
      </c>
      <c r="B4" s="18"/>
      <c r="C4" s="18"/>
      <c r="D4" s="18"/>
      <c r="E4" s="18"/>
      <c r="F4" s="18"/>
      <c r="G4" s="14" t="str">
        <f>CONCATENATE("Pool C-1st ",'Pool Matches'!O64)</f>
      </c>
      <c r="M4" s="14" t="str">
        <f>CONCATENATE("Pool C-2nd ",'Pool Matches'!O65)</f>
      </c>
      <c r="N4" s="18"/>
      <c r="O4" s="18"/>
      <c r="P4" s="18"/>
      <c r="Q4" s="18"/>
      <c r="R4" s="18"/>
      <c r="S4" s="14" t="str">
        <f>CONCATENATE("Pool A-2nd ",'Pool Matches'!G67)</f>
      </c>
    </row>
    <row r="5">
      <c r="A5" s="14">
        <v>1</v>
      </c>
      <c r="B5" s="18"/>
      <c r="C5" s="18"/>
      <c r="D5" s="18"/>
      <c r="E5" s="18"/>
      <c r="F5" s="18"/>
      <c r="G5" s="14">
        <v>1</v>
      </c>
      <c r="M5" s="14">
        <v>1</v>
      </c>
      <c r="N5" s="18"/>
      <c r="O5" s="18"/>
      <c r="P5" s="18"/>
      <c r="Q5" s="18"/>
      <c r="R5" s="18"/>
      <c r="S5" s="14">
        <v>1</v>
      </c>
    </row>
    <row r="6">
      <c r="A6" s="14">
        <v>2</v>
      </c>
      <c r="B6" s="18"/>
      <c r="C6" s="18"/>
      <c r="D6" s="18"/>
      <c r="E6" s="18"/>
      <c r="F6" s="18"/>
      <c r="G6" s="14">
        <v>2</v>
      </c>
      <c r="M6" s="14">
        <v>2</v>
      </c>
      <c r="N6" s="18"/>
      <c r="O6" s="18"/>
      <c r="P6" s="18"/>
      <c r="Q6" s="18"/>
      <c r="R6" s="18"/>
      <c r="S6" s="14">
        <v>2</v>
      </c>
    </row>
    <row r="7">
      <c r="A7" s="14">
        <v>3</v>
      </c>
      <c r="B7" s="18"/>
      <c r="C7" s="18"/>
      <c r="D7" s="18"/>
      <c r="E7" s="18"/>
      <c r="F7" s="18"/>
      <c r="G7" s="14">
        <v>3</v>
      </c>
      <c r="M7" s="14">
        <v>3</v>
      </c>
      <c r="N7" s="18"/>
      <c r="O7" s="18"/>
      <c r="P7" s="18"/>
      <c r="Q7" s="18"/>
      <c r="R7" s="18"/>
      <c r="S7" s="14">
        <v>3</v>
      </c>
    </row>
    <row r="8">
      <c r="A8" s="14">
        <v>4</v>
      </c>
      <c r="B8" s="18"/>
      <c r="C8" s="18"/>
      <c r="D8" s="18"/>
      <c r="E8" s="18"/>
      <c r="F8" s="18"/>
      <c r="G8" s="14">
        <v>4</v>
      </c>
      <c r="M8" s="14">
        <v>4</v>
      </c>
      <c r="N8" s="18"/>
      <c r="O8" s="18"/>
      <c r="P8" s="18"/>
      <c r="Q8" s="18"/>
      <c r="R8" s="18"/>
      <c r="S8" s="14">
        <v>4</v>
      </c>
    </row>
    <row r="9">
      <c r="A9" s="14">
        <v>5</v>
      </c>
      <c r="B9" s="18"/>
      <c r="C9" s="18"/>
      <c r="D9" s="18"/>
      <c r="E9" s="18"/>
      <c r="F9" s="18"/>
      <c r="G9" s="14">
        <v>5</v>
      </c>
      <c r="M9" s="14">
        <v>5</v>
      </c>
      <c r="N9" s="18"/>
      <c r="O9" s="18"/>
      <c r="P9" s="18"/>
      <c r="Q9" s="18"/>
      <c r="R9" s="18"/>
      <c r="S9" s="14">
        <v>5</v>
      </c>
    </row>
    <row r="11">
      <c r="A11" s="14" t="str">
        <f>CONCATENATE("Pool B-2nd ",'Pool Matches'!G107)</f>
      </c>
      <c r="B11" s="18" t="str">
        <f>SUMPRODUCT((UPPER(D5:D9)&lt;&gt;"X")*((LEN(SUBSTITUTE(SUBSTITUTE(SUBSTITUTE(B5:B9," ",""),"0",""),"-",""))+LEN(SUBSTITUTE(SUBSTITUTE(SUBSTITUTE(C5:C9," ",""),"0",""),"-","")))&gt;(LEN(SUBSTITUTE(SUBSTITUTE(SUBSTITUTE(E5:E9," ",""),"0",""),"-",""))+LEN(SUBSTITUTE(SUBSTITUTE(SUBSTITUTE(F5:F9," ",""),"0",""),"-",""))))*1)</f>
      </c>
      <c r="C11" s="18" t="str">
        <f>SUMPRODUCT(LEN(SUBSTITUTE(SUBSTITUTE(SUBSTITUTE(B5:B9," ",""),"0",""),"-",""))+LEN(SUBSTITUTE(SUBSTITUTE(SUBSTITUTE(C5:C9," ",""),"0",""),"-","")))</f>
      </c>
      <c r="D11" s="14"/>
      <c r="E11" s="18" t="str">
        <f>SUMPRODUCT(LEN(SUBSTITUTE(SUBSTITUTE(SUBSTITUTE(E5:E9," ",""),"0",""),"-",""))+LEN(SUBSTITUTE(SUBSTITUTE(SUBSTITUTE(F5:F9," ",""),"0",""),"-","")))</f>
      </c>
      <c r="F11" s="18" t="str">
        <f>SUMPRODUCT((UPPER(D5:D9)&lt;&gt;"X")*((LEN(SUBSTITUTE(SUBSTITUTE(SUBSTITUTE(E5:E9," ",""),"0",""),"-",""))+LEN(SUBSTITUTE(SUBSTITUTE(SUBSTITUTE(F5:F9," ",""),"0",""),"-","")))&gt;(LEN(SUBSTITUTE(SUBSTITUTE(SUBSTITUTE(B5:B9," ",""),"0",""),"-",""))+LEN(SUBSTITUTE(SUBSTITUTE(SUBSTITUTE(C5:C9," ",""),"0",""),"-",""))))*1)</f>
      </c>
      <c r="G11" s="14" t="str">
        <f>CONCATENATE("Pool C-1st ",'Pool Matches'!O64)</f>
      </c>
      <c r="M11" s="14" t="str">
        <f>CONCATENATE("Pool C-2nd ",'Pool Matches'!O65)</f>
      </c>
      <c r="N11" s="18" t="str">
        <f>SUMPRODUCT((UPPER(P5:P9)&lt;&gt;"X")*((LEN(SUBSTITUTE(SUBSTITUTE(SUBSTITUTE(N5:N9," ",""),"0",""),"-",""))+LEN(SUBSTITUTE(SUBSTITUTE(SUBSTITUTE(O5:O9," ",""),"0",""),"-","")))&gt;(LEN(SUBSTITUTE(SUBSTITUTE(SUBSTITUTE(Q5:Q9," ",""),"0",""),"-",""))+LEN(SUBSTITUTE(SUBSTITUTE(SUBSTITUTE(R5:R9," ",""),"0",""),"-",""))))*1)</f>
      </c>
      <c r="O11" s="18" t="str">
        <f>SUMPRODUCT(LEN(SUBSTITUTE(SUBSTITUTE(SUBSTITUTE(N5:N9," ",""),"0",""),"-",""))+LEN(SUBSTITUTE(SUBSTITUTE(SUBSTITUTE(O5:O9," ",""),"0",""),"-","")))</f>
      </c>
      <c r="P11" s="14"/>
      <c r="Q11" s="18" t="str">
        <f>SUMPRODUCT(LEN(SUBSTITUTE(SUBSTITUTE(SUBSTITUTE(Q5:Q9," ",""),"0",""),"-",""))+LEN(SUBSTITUTE(SUBSTITUTE(SUBSTITUTE(R5:R9," ",""),"0",""),"-","")))</f>
      </c>
      <c r="R11" s="18" t="str">
        <f>SUMPRODUCT((UPPER(P5:P9)&lt;&gt;"X")*((LEN(SUBSTITUTE(SUBSTITUTE(SUBSTITUTE(Q5:Q9," ",""),"0",""),"-",""))+LEN(SUBSTITUTE(SUBSTITUTE(SUBSTITUTE(R5:R9," ",""),"0",""),"-","")))&gt;(LEN(SUBSTITUTE(SUBSTITUTE(SUBSTITUTE(N5:N9," ",""),"0",""),"-",""))+LEN(SUBSTITUTE(SUBSTITUTE(SUBSTITUTE(O5:O9," ",""),"0",""),"-",""))))*1)</f>
      </c>
      <c r="S11" s="14" t="str">
        <f>CONCATENATE("Pool A-2nd ",'Pool Matches'!G67)</f>
      </c>
    </row>
    <row r="12">
      <c r="A12" s="14" t="s">
        <v>62</v>
      </c>
      <c r="B12" s="14"/>
      <c r="C12" s="14"/>
      <c r="D12" s="14"/>
      <c r="E12" s="14"/>
      <c r="F12" s="14"/>
      <c r="G12" s="14" t="s">
        <v>62</v>
      </c>
      <c r="M12" s="14" t="s">
        <v>62</v>
      </c>
      <c r="N12" s="14"/>
      <c r="O12" s="14"/>
      <c r="P12" s="14"/>
      <c r="Q12" s="14"/>
      <c r="R12" s="14"/>
      <c r="S12" s="14" t="s">
        <v>62</v>
      </c>
    </row>
    <row r="15">
      <c r="F15" t="s">
        <v>63</v>
      </c>
      <c r="G15" s="19"/>
      <c r="R15" t="s">
        <v>63</v>
      </c>
      <c r="S15" s="19"/>
    </row>
    <row r="16">
      <c r="F16" t="s">
        <v>64</v>
      </c>
      <c r="G16" s="19"/>
      <c r="R16" t="s">
        <v>64</v>
      </c>
      <c r="S16" s="19"/>
    </row>
    <row r="23">
      <c r="A23" s="13" t="s">
        <v>66</v>
      </c>
      <c r="B23" s="13"/>
      <c r="C23" s="13"/>
      <c r="D23" s="13"/>
      <c r="E23" s="13"/>
      <c r="F23" s="13"/>
      <c r="G23" s="13"/>
      <c r="M23" s="13" t="s">
        <v>67</v>
      </c>
      <c r="N23" s="13"/>
      <c r="O23" s="13"/>
      <c r="P23" s="13"/>
      <c r="Q23" s="13"/>
      <c r="R23" s="13"/>
      <c r="S23" s="13"/>
    </row>
    <row r="24">
      <c r="A24" s="17" t="s">
        <v>35</v>
      </c>
      <c r="D24" s="14" t="s">
        <v>36</v>
      </c>
      <c r="G24" s="16" t="s">
        <v>37</v>
      </c>
      <c r="M24" s="17" t="s">
        <v>35</v>
      </c>
      <c r="P24" s="14" t="s">
        <v>36</v>
      </c>
      <c r="S24" s="16" t="s">
        <v>37</v>
      </c>
    </row>
    <row r="25">
      <c r="A25" s="14" t="str">
        <f>CONCATENATE("M 1 ",G15)</f>
      </c>
      <c r="B25" s="18"/>
      <c r="C25" s="18"/>
      <c r="D25" s="18"/>
      <c r="E25" s="18"/>
      <c r="F25" s="18"/>
      <c r="G25" s="14" t="str">
        <f>CONCATENATE("Pool A-1st ",'Pool Matches'!G66)</f>
      </c>
      <c r="M25" s="14" t="str">
        <f>CONCATENATE("M 2 ",S15)</f>
      </c>
      <c r="N25" s="18"/>
      <c r="O25" s="18"/>
      <c r="P25" s="18"/>
      <c r="Q25" s="18"/>
      <c r="R25" s="18"/>
      <c r="S25" s="14" t="str">
        <f>CONCATENATE("Pool B-1st ",'Pool Matches'!G106)</f>
      </c>
    </row>
    <row r="26">
      <c r="A26" s="14">
        <v>1</v>
      </c>
      <c r="B26" s="18"/>
      <c r="C26" s="18"/>
      <c r="D26" s="18"/>
      <c r="E26" s="18"/>
      <c r="F26" s="18"/>
      <c r="G26" s="14">
        <v>1</v>
      </c>
      <c r="M26" s="14">
        <v>1</v>
      </c>
      <c r="N26" s="18"/>
      <c r="O26" s="18"/>
      <c r="P26" s="18"/>
      <c r="Q26" s="18"/>
      <c r="R26" s="18"/>
      <c r="S26" s="14">
        <v>1</v>
      </c>
    </row>
    <row r="27">
      <c r="A27" s="14">
        <v>2</v>
      </c>
      <c r="B27" s="18"/>
      <c r="C27" s="18"/>
      <c r="D27" s="18"/>
      <c r="E27" s="18"/>
      <c r="F27" s="18"/>
      <c r="G27" s="14">
        <v>2</v>
      </c>
      <c r="M27" s="14">
        <v>2</v>
      </c>
      <c r="N27" s="18"/>
      <c r="O27" s="18"/>
      <c r="P27" s="18"/>
      <c r="Q27" s="18"/>
      <c r="R27" s="18"/>
      <c r="S27" s="14">
        <v>2</v>
      </c>
    </row>
    <row r="28">
      <c r="A28" s="14">
        <v>3</v>
      </c>
      <c r="B28" s="18"/>
      <c r="C28" s="18"/>
      <c r="D28" s="18"/>
      <c r="E28" s="18"/>
      <c r="F28" s="18"/>
      <c r="G28" s="14">
        <v>3</v>
      </c>
      <c r="M28" s="14">
        <v>3</v>
      </c>
      <c r="N28" s="18"/>
      <c r="O28" s="18"/>
      <c r="P28" s="18"/>
      <c r="Q28" s="18"/>
      <c r="R28" s="18"/>
      <c r="S28" s="14">
        <v>3</v>
      </c>
    </row>
    <row r="29">
      <c r="A29" s="14">
        <v>4</v>
      </c>
      <c r="B29" s="18"/>
      <c r="C29" s="18"/>
      <c r="D29" s="18"/>
      <c r="E29" s="18"/>
      <c r="F29" s="18"/>
      <c r="G29" s="14">
        <v>4</v>
      </c>
      <c r="M29" s="14">
        <v>4</v>
      </c>
      <c r="N29" s="18"/>
      <c r="O29" s="18"/>
      <c r="P29" s="18"/>
      <c r="Q29" s="18"/>
      <c r="R29" s="18"/>
      <c r="S29" s="14">
        <v>4</v>
      </c>
    </row>
    <row r="30">
      <c r="A30" s="14">
        <v>5</v>
      </c>
      <c r="B30" s="18"/>
      <c r="C30" s="18"/>
      <c r="D30" s="18"/>
      <c r="E30" s="18"/>
      <c r="F30" s="18"/>
      <c r="G30" s="14">
        <v>5</v>
      </c>
      <c r="M30" s="14">
        <v>5</v>
      </c>
      <c r="N30" s="18"/>
      <c r="O30" s="18"/>
      <c r="P30" s="18"/>
      <c r="Q30" s="18"/>
      <c r="R30" s="18"/>
      <c r="S30" s="14">
        <v>5</v>
      </c>
    </row>
    <row r="32">
      <c r="A32" s="14" t="str">
        <f>CONCATENATE("M 1 ",G15)</f>
      </c>
      <c r="B32" s="18" t="str">
        <f>SUMPRODUCT((UPPER(D26:D30)&lt;&gt;"X")*((LEN(SUBSTITUTE(SUBSTITUTE(SUBSTITUTE(B26:B30," ",""),"0",""),"-",""))+LEN(SUBSTITUTE(SUBSTITUTE(SUBSTITUTE(C26:C30," ",""),"0",""),"-","")))&gt;(LEN(SUBSTITUTE(SUBSTITUTE(SUBSTITUTE(E26:E30," ",""),"0",""),"-",""))+LEN(SUBSTITUTE(SUBSTITUTE(SUBSTITUTE(F26:F30," ",""),"0",""),"-",""))))*1)</f>
      </c>
      <c r="C32" s="18" t="str">
        <f>SUMPRODUCT(LEN(SUBSTITUTE(SUBSTITUTE(SUBSTITUTE(B26:B30," ",""),"0",""),"-",""))+LEN(SUBSTITUTE(SUBSTITUTE(SUBSTITUTE(C26:C30," ",""),"0",""),"-","")))</f>
      </c>
      <c r="D32" s="14"/>
      <c r="E32" s="18" t="str">
        <f>SUMPRODUCT(LEN(SUBSTITUTE(SUBSTITUTE(SUBSTITUTE(E26:E30," ",""),"0",""),"-",""))+LEN(SUBSTITUTE(SUBSTITUTE(SUBSTITUTE(F26:F30," ",""),"0",""),"-","")))</f>
      </c>
      <c r="F32" s="18" t="str">
        <f>SUMPRODUCT((UPPER(D26:D30)&lt;&gt;"X")*((LEN(SUBSTITUTE(SUBSTITUTE(SUBSTITUTE(E26:E30," ",""),"0",""),"-",""))+LEN(SUBSTITUTE(SUBSTITUTE(SUBSTITUTE(F26:F30," ",""),"0",""),"-","")))&gt;(LEN(SUBSTITUTE(SUBSTITUTE(SUBSTITUTE(B26:B30," ",""),"0",""),"-",""))+LEN(SUBSTITUTE(SUBSTITUTE(SUBSTITUTE(C26:C30," ",""),"0",""),"-",""))))*1)</f>
      </c>
      <c r="G32" s="14" t="str">
        <f>CONCATENATE("Pool A-1st ",'Pool Matches'!G66)</f>
      </c>
      <c r="M32" s="14" t="str">
        <f>CONCATENATE("M 2 ",S15)</f>
      </c>
      <c r="N32" s="18" t="str">
        <f>SUMPRODUCT((UPPER(P26:P30)&lt;&gt;"X")*((LEN(SUBSTITUTE(SUBSTITUTE(SUBSTITUTE(N26:N30," ",""),"0",""),"-",""))+LEN(SUBSTITUTE(SUBSTITUTE(SUBSTITUTE(O26:O30," ",""),"0",""),"-","")))&gt;(LEN(SUBSTITUTE(SUBSTITUTE(SUBSTITUTE(Q26:Q30," ",""),"0",""),"-",""))+LEN(SUBSTITUTE(SUBSTITUTE(SUBSTITUTE(R26:R30," ",""),"0",""),"-",""))))*1)</f>
      </c>
      <c r="O32" s="18" t="str">
        <f>SUMPRODUCT(LEN(SUBSTITUTE(SUBSTITUTE(SUBSTITUTE(N26:N30," ",""),"0",""),"-",""))+LEN(SUBSTITUTE(SUBSTITUTE(SUBSTITUTE(O26:O30," ",""),"0",""),"-","")))</f>
      </c>
      <c r="P32" s="14"/>
      <c r="Q32" s="18" t="str">
        <f>SUMPRODUCT(LEN(SUBSTITUTE(SUBSTITUTE(SUBSTITUTE(Q26:Q30," ",""),"0",""),"-",""))+LEN(SUBSTITUTE(SUBSTITUTE(SUBSTITUTE(R26:R30," ",""),"0",""),"-","")))</f>
      </c>
      <c r="R32" s="18" t="str">
        <f>SUMPRODUCT((UPPER(P26:P30)&lt;&gt;"X")*((LEN(SUBSTITUTE(SUBSTITUTE(SUBSTITUTE(Q26:Q30," ",""),"0",""),"-",""))+LEN(SUBSTITUTE(SUBSTITUTE(SUBSTITUTE(R26:R30," ",""),"0",""),"-","")))&gt;(LEN(SUBSTITUTE(SUBSTITUTE(SUBSTITUTE(N26:N30," ",""),"0",""),"-",""))+LEN(SUBSTITUTE(SUBSTITUTE(SUBSTITUTE(O26:O30," ",""),"0",""),"-",""))))*1)</f>
      </c>
      <c r="S32" s="14" t="str">
        <f>CONCATENATE("Pool B-1st ",'Pool Matches'!G106)</f>
      </c>
    </row>
    <row r="33">
      <c r="A33" s="14" t="s">
        <v>62</v>
      </c>
      <c r="B33" s="14"/>
      <c r="C33" s="14"/>
      <c r="D33" s="14"/>
      <c r="E33" s="14"/>
      <c r="F33" s="14"/>
      <c r="G33" s="14" t="s">
        <v>62</v>
      </c>
      <c r="M33" s="14" t="s">
        <v>62</v>
      </c>
      <c r="N33" s="14"/>
      <c r="O33" s="14"/>
      <c r="P33" s="14"/>
      <c r="Q33" s="14"/>
      <c r="R33" s="14"/>
      <c r="S33" s="14" t="s">
        <v>62</v>
      </c>
    </row>
    <row r="36">
      <c r="F36" t="s">
        <v>63</v>
      </c>
      <c r="G36" s="19"/>
      <c r="R36" t="s">
        <v>63</v>
      </c>
      <c r="S36" s="19"/>
    </row>
    <row r="37">
      <c r="F37" t="s">
        <v>64</v>
      </c>
      <c r="G37" s="19"/>
      <c r="R37" t="s">
        <v>64</v>
      </c>
      <c r="S37" s="19"/>
    </row>
    <row r="44">
      <c r="A44" s="13" t="s">
        <v>68</v>
      </c>
      <c r="B44" s="13"/>
      <c r="C44" s="13"/>
      <c r="D44" s="13"/>
      <c r="E44" s="13"/>
      <c r="F44" s="13"/>
      <c r="G44" s="13"/>
    </row>
    <row r="45">
      <c r="A45" s="17" t="s">
        <v>35</v>
      </c>
      <c r="D45" s="14" t="s">
        <v>36</v>
      </c>
      <c r="G45" s="16" t="s">
        <v>37</v>
      </c>
    </row>
    <row r="46">
      <c r="A46" s="14" t="str">
        <f>CONCATENATE("M 4 ",S36)</f>
      </c>
      <c r="B46" s="18"/>
      <c r="C46" s="18"/>
      <c r="D46" s="18"/>
      <c r="E46" s="18"/>
      <c r="F46" s="18"/>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",S36)</f>
      </c>
      <c r="B53" s="18" t="str">
        <f>SUMPRODUCT((UPPER(D47:D51)&lt;&gt;"X")*((LEN(SUBSTITUTE(SUBSTITUTE(SUBSTITUTE(B47:B51," ",""),"0",""),"-",""))+LEN(SUBSTITUTE(SUBSTITUTE(SUBSTITUTE(C47:C51," ",""),"0",""),"-","")))&gt;(LEN(SUBSTITUTE(SUBSTITUTE(SUBSTITUTE(E47:E51," ",""),"0",""),"-",""))+LEN(SUBSTITUTE(SUBSTITUTE(SUBSTITUTE(F47:F51," ",""),"0",""),"-",""))))*1)</f>
      </c>
      <c r="C53" s="18" t="str">
        <f>SUMPRODUCT(LEN(SUBSTITUTE(SUBSTITUTE(SUBSTITUTE(B47:B51," ",""),"0",""),"-",""))+LEN(SUBSTITUTE(SUBSTITUTE(SUBSTITUTE(C47:C51," ",""),"0",""),"-","")))</f>
      </c>
      <c r="D53" s="14"/>
      <c r="E53" s="18" t="str">
        <f>SUMPRODUCT(LEN(SUBSTITUTE(SUBSTITUTE(SUBSTITUTE(E47:E51," ",""),"0",""),"-",""))+LEN(SUBSTITUTE(SUBSTITUTE(SUBSTITUTE(F47:F51," ",""),"0",""),"-","")))</f>
      </c>
      <c r="F53" s="18" t="str">
        <f>SUMPRODUCT((UPPER(D47:D51)&lt;&gt;"X")*((LEN(SUBSTITUTE(SUBSTITUTE(SUBSTITUTE(E47:E51," ",""),"0",""),"-",""))+LEN(SUBSTITUTE(SUBSTITUTE(SUBSTITUTE(F47:F51," ",""),"0",""),"-","")))&gt;(LEN(SUBSTITUTE(SUBSTITUTE(SUBSTITUTE(B47:B51," ",""),"0",""),"-",""))+LEN(SUBSTITUTE(SUBSTITUTE(SUBSTITUTE(C47:C51," ",""),"0",""),"-",""))))*1)</f>
      </c>
      <c r="G53" s="14" t="str">
        <f>CONCATENATE("M 3 ",G36)</f>
      </c>
    </row>
    <row r="54">
      <c r="A54" s="14" t="s">
        <v>62</v>
      </c>
      <c r="B54" s="14"/>
      <c r="C54" s="14"/>
      <c r="D54" s="14"/>
      <c r="E54" s="14"/>
      <c r="F54" s="14"/>
      <c r="G54" s="14" t="s">
        <v>62</v>
      </c>
    </row>
    <row r="57">
      <c r="F57" t="s">
        <v>63</v>
      </c>
      <c r="G57" s="19"/>
    </row>
    <row r="58">
      <c r="F58" t="s">
        <v>64</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M2:S2"/>
    <mergeCell ref="A23:G23"/>
    <mergeCell ref="M23:S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Matches'!G66)</f>
      </c>
    </row>
    <row r="7">
      <c r="A7" s="26" t="str">
        <f>"3. " &amp; data!$B$5</f>
      </c>
      <c r="F7" s="22"/>
      <c r="G7" s="20"/>
    </row>
    <row r="8">
      <c r="A8" s="27" t="str">
        <f>"4. " &amp; data!$B$6</f>
      </c>
      <c r="G8" s="21">
        <v>3</v>
      </c>
    </row>
    <row r="9">
      <c r="A9" s="22"/>
      <c r="C9" s="23" t="str">
        <f>CONCATENATE("Pool C-1st ",'Pool Matches'!O64)</f>
      </c>
      <c r="G9" s="20"/>
    </row>
    <row r="10">
      <c r="A10" s="24" t="str">
        <f>data!$A$9</f>
      </c>
      <c r="D10" s="22"/>
      <c r="E10" s="21">
        <v>1</v>
      </c>
      <c r="F10" s="15"/>
      <c r="G10" s="20"/>
    </row>
    <row r="11">
      <c r="A11" s="25" t="str">
        <f>"1. " &amp; data!$B$7</f>
      </c>
      <c r="C11" s="23" t="str">
        <f>CONCATENATE("Pool B-2nd ",'Pool Matches'!G107)</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data!$A$12</f>
      </c>
    </row>
    <row r="5">
      <c r="A5" s="25" t="str">
        <f>"1. " &amp; data!$B$10</f>
      </c>
    </row>
    <row r="6">
      <c r="A6" s="26" t="str">
        <f>"2. " &amp; data!$B$11</f>
      </c>
      <c r="E6" s="23" t="str">
        <f>CONCATENATE("Pool B-1st ",'Pool Matches'!G106)</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C-2nd ",'Pool Matches'!O65)</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51</v>
      </c>
      <c r="B1" s="29" t="str">
        <f>data!$B$3</f>
      </c>
    </row>
    <row r="2" ht="270" customHeight="true">
      <c r="A2" s="28" t="s">
        <v>52</v>
      </c>
      <c r="B2" s="29" t="str">
        <f>data!$B$4</f>
      </c>
    </row>
    <row r="3" ht="270" customHeight="true">
      <c r="A3" s="28" t="s">
        <v>53</v>
      </c>
      <c r="B3" s="29" t="str">
        <f>data!$B$5</f>
      </c>
    </row>
    <row r="4" ht="270" customHeight="true">
      <c r="A4" s="28" t="s">
        <v>54</v>
      </c>
      <c r="B4" s="29" t="str">
        <f>data!$B$6</f>
      </c>
    </row>
    <row r="5" ht="270" customHeight="true">
      <c r="A5" s="28" t="s">
        <v>55</v>
      </c>
      <c r="B5" s="29" t="str">
        <f>data!$B$7</f>
      </c>
    </row>
    <row r="6" ht="270" customHeight="true">
      <c r="A6" s="28" t="s">
        <v>56</v>
      </c>
      <c r="B6" s="29" t="str">
        <f>data!$B$8</f>
      </c>
    </row>
    <row r="7" ht="270" customHeight="true">
      <c r="A7" s="28" t="s">
        <v>57</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58</v>
      </c>
      <c r="B1" s="29" t="str">
        <f>data!$B$10</f>
      </c>
    </row>
    <row r="2" ht="270" customHeight="true">
      <c r="A2" s="28" t="s">
        <v>59</v>
      </c>
      <c r="B2" s="29" t="str">
        <f>data!$B$11</f>
      </c>
    </row>
    <row r="3" ht="270" customHeight="true">
      <c r="A3" s="28" t="s">
        <v>60</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51</v>
      </c>
    </row>
    <row r="2" ht="390" customHeight="true">
      <c r="A2" s="30" t="s">
        <v>51</v>
      </c>
    </row>
    <row r="3" ht="390" customHeight="true">
      <c r="A3" s="30" t="s">
        <v>52</v>
      </c>
    </row>
    <row r="4" ht="390" customHeight="true">
      <c r="A4" s="30" t="s">
        <v>52</v>
      </c>
    </row>
    <row r="5" ht="390" customHeight="true">
      <c r="A5" s="30" t="s">
        <v>53</v>
      </c>
    </row>
    <row r="6" ht="390" customHeight="true">
      <c r="A6" s="30" t="s">
        <v>53</v>
      </c>
    </row>
    <row r="7" ht="390" customHeight="true">
      <c r="A7" s="30" t="s">
        <v>54</v>
      </c>
    </row>
    <row r="8" ht="390" customHeight="true">
      <c r="A8" s="30" t="s">
        <v>54</v>
      </c>
    </row>
    <row r="9" ht="390" customHeight="true">
      <c r="A9" s="30" t="s">
        <v>55</v>
      </c>
    </row>
    <row r="10" ht="390" customHeight="true">
      <c r="A10" s="30" t="s">
        <v>55</v>
      </c>
    </row>
    <row r="11" ht="390" customHeight="true">
      <c r="A11" s="30" t="s">
        <v>56</v>
      </c>
    </row>
    <row r="12" ht="390" customHeight="true">
      <c r="A12" s="30" t="s">
        <v>56</v>
      </c>
    </row>
    <row r="13" ht="390" customHeight="true">
      <c r="A13" s="30" t="s">
        <v>57</v>
      </c>
    </row>
    <row r="14" ht="390" customHeight="true">
      <c r="A14" s="30" t="s">
        <v>57</v>
      </c>
    </row>
    <row r="15" ht="390" customHeight="true">
      <c r="A15" s="30" t="s">
        <v>58</v>
      </c>
    </row>
    <row r="16" ht="390" customHeight="true">
      <c r="A16" s="30" t="s">
        <v>58</v>
      </c>
    </row>
    <row r="17" ht="390" customHeight="true">
      <c r="A17" s="30" t="s">
        <v>59</v>
      </c>
    </row>
    <row r="18" ht="390" customHeight="true">
      <c r="A18" s="30" t="s">
        <v>59</v>
      </c>
    </row>
    <row r="19" ht="390" customHeight="true">
      <c r="A19" s="30" t="s">
        <v>60</v>
      </c>
    </row>
    <row r="20" ht="390" customHeight="true">
      <c r="A20" s="30" t="s">
        <v>60</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