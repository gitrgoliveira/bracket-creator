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9" name="_xlnm.Print_Area">'Tags'!$A$1:$A$48</definedName>
    <definedName localSheetId="4" name="_xlnm.Print_Area">'Elimination Matches'!$A$1:$P$40</definedName>
  </definedNames>
  <calcPr calcId="122211"/>
</workbook>
</file>

<file path=xl/sharedStrings.xml><?xml version="1.0" encoding="utf-8"?>
<sst xmlns="http://schemas.openxmlformats.org/spreadsheetml/2006/main" count="143" uniqueCount="143">
  <si>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</si>
  <si>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</si>
  <si>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</si>
  <si>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</si>
  <si>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</si>
  <si>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</si>
  <si>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</si>
  <si>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</si>
  <si>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</si>
  <si>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</si>
  <si>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</si>
  <si>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</si>
  <si>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</si>
  <si>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</si>
  <si>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</si>
  <si>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</si>
  <si>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</si>
  <si>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</si>
  <si>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</si>
  <si>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</si>
  <si>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</si>
  <si>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</si>
  <si>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Hermione Granger</t>
  </si>
  <si>
    <t>Team Theta</t>
  </si>
  <si>
    <t>GRANGER</t>
  </si>
  <si>
    <t>K2</t>
  </si>
  <si>
    <t>Moby Dick</t>
  </si>
  <si>
    <t>Team Nu</t>
  </si>
  <si>
    <t>DICK</t>
  </si>
  <si>
    <t>K3</t>
  </si>
  <si>
    <t>Quirinus Quirrell</t>
  </si>
  <si>
    <t>Team Rho</t>
  </si>
  <si>
    <t>QUIRRELL</t>
  </si>
  <si>
    <t>K4</t>
  </si>
  <si>
    <t>Voldemort</t>
  </si>
  <si>
    <t>Team Chi</t>
  </si>
  <si>
    <t>VOLDEMORT</t>
  </si>
  <si>
    <t>K5</t>
  </si>
  <si>
    <t>Pool B</t>
  </si>
  <si>
    <t>Gandalf The Grey</t>
  </si>
  <si>
    <t>Team Eta</t>
  </si>
  <si>
    <t>GANDALF</t>
  </si>
  <si>
    <t>K6</t>
  </si>
  <si>
    <t>Jon Snow</t>
  </si>
  <si>
    <t>Team Kappa</t>
  </si>
  <si>
    <t>SNOW</t>
  </si>
  <si>
    <t>K7</t>
  </si>
  <si>
    <t>Neville Longbottom</t>
  </si>
  <si>
    <t>Team Xi</t>
  </si>
  <si>
    <t>LONGBOTTOM</t>
  </si>
  <si>
    <t>K8</t>
  </si>
  <si>
    <t>Samwise Gamgee</t>
  </si>
  <si>
    <t>Team Tau</t>
  </si>
  <si>
    <t>GAMGEE</t>
  </si>
  <si>
    <t>K9</t>
  </si>
  <si>
    <t>Xaro Xhoan Daxos</t>
  </si>
  <si>
    <t>Team Omega</t>
  </si>
  <si>
    <t>DAXOS</t>
  </si>
  <si>
    <t>K10</t>
  </si>
  <si>
    <t>Pool C</t>
  </si>
  <si>
    <t>Eddard Stark</t>
  </si>
  <si>
    <t>Team Epsilon</t>
  </si>
  <si>
    <t>STARK</t>
  </si>
  <si>
    <t>K11</t>
  </si>
  <si>
    <t>Katniss Everdeen</t>
  </si>
  <si>
    <t>Team Mu</t>
  </si>
  <si>
    <t>EVERDEEN</t>
  </si>
  <si>
    <t>K12</t>
  </si>
  <si>
    <t>Petyr Baelish</t>
  </si>
  <si>
    <t>Team Pi</t>
  </si>
  <si>
    <t>BAELISH</t>
  </si>
  <si>
    <t>K13</t>
  </si>
  <si>
    <t>Ulysses</t>
  </si>
  <si>
    <t>Team Phi</t>
  </si>
  <si>
    <t>ULYSSES</t>
  </si>
  <si>
    <t>K14</t>
  </si>
  <si>
    <t>Pool D</t>
  </si>
  <si>
    <t>Daenerys Targaryen</t>
  </si>
  <si>
    <t>Team Delta</t>
  </si>
  <si>
    <t>TARGARYEN</t>
  </si>
  <si>
    <t>K15</t>
  </si>
  <si>
    <t>Inigo Montoya</t>
  </si>
  <si>
    <t>Team Iota</t>
  </si>
  <si>
    <t>MONTOYA</t>
  </si>
  <si>
    <t>K16</t>
  </si>
  <si>
    <t>Legolas Greenleaf</t>
  </si>
  <si>
    <t>GREENLEAF</t>
  </si>
  <si>
    <t>K17</t>
  </si>
  <si>
    <t>Ron Weasley</t>
  </si>
  <si>
    <t>Team Sigma</t>
  </si>
  <si>
    <t>WEASLEY</t>
  </si>
  <si>
    <t>K18</t>
  </si>
  <si>
    <t>Willy Wonka</t>
  </si>
  <si>
    <t>Team Psi</t>
  </si>
  <si>
    <t>WONKA</t>
  </si>
  <si>
    <t>K19</t>
  </si>
  <si>
    <t>Pool E</t>
  </si>
  <si>
    <t>Frodo Baggins</t>
  </si>
  <si>
    <t>Team Zeta</t>
  </si>
  <si>
    <t>BAGGINS</t>
  </si>
  <si>
    <t>K20</t>
  </si>
  <si>
    <t>Team Lambda</t>
  </si>
  <si>
    <t>K21</t>
  </si>
  <si>
    <t>Othello</t>
  </si>
  <si>
    <t>Team Omicron</t>
  </si>
  <si>
    <t>OTHELLO</t>
  </si>
  <si>
    <t>K22</t>
  </si>
  <si>
    <t>Tyrion Lannister</t>
  </si>
  <si>
    <t>Team Upsilon</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</si>
  <si>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</si>
  <si>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</si>
  <si>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</si>
  <si>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</si>
  <si>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</si>
  <si>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</si>
  <si>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</si>
  <si>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</si>
  <si>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</si>
  <si>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</si>
  <si>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</si>
  <si>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</si>
  <si>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</si>
  <si>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</si>
  <si>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</si>
  <si>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</si>
  <si>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</si>
  <si>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</si>
  <si>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</si>
  <si>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</si>
  <si>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</si>
  <si>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4.</t>
  </si>
  <si>
    <t>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</si>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</sst>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17</v>
      </c>
      <c r="B7" t="s">
        <v>34</v>
      </c>
      <c r="C7" t="s">
        <v>35</v>
      </c>
      <c r="D7" t="s">
        <v>36</v>
      </c>
      <c r="E7" t="s">
        <v>37</v>
      </c>
    </row>
    <row r="8">
      <c r="A8" t="s">
        <v>38</v>
      </c>
      <c r="B8" t="s">
        <v>39</v>
      </c>
      <c r="C8" t="s">
        <v>40</v>
      </c>
      <c r="D8" t="s">
        <v>41</v>
      </c>
      <c r="E8" t="s">
        <v>42</v>
      </c>
    </row>
    <row r="9">
      <c r="A9" t="s">
        <v>38</v>
      </c>
      <c r="B9" t="s">
        <v>43</v>
      </c>
      <c r="C9" t="s">
        <v>44</v>
      </c>
      <c r="D9" t="s">
        <v>45</v>
      </c>
      <c r="E9" t="s">
        <v>46</v>
      </c>
    </row>
    <row r="10">
      <c r="A10" t="s">
        <v>38</v>
      </c>
      <c r="B10" t="s">
        <v>47</v>
      </c>
      <c r="C10" t="s">
        <v>48</v>
      </c>
      <c r="D10" t="s">
        <v>49</v>
      </c>
      <c r="E10" t="s">
        <v>50</v>
      </c>
    </row>
    <row r="11">
      <c r="A11" t="s">
        <v>38</v>
      </c>
      <c r="B11" t="s">
        <v>51</v>
      </c>
      <c r="C11" t="s">
        <v>52</v>
      </c>
      <c r="D11" t="s">
        <v>53</v>
      </c>
      <c r="E11" t="s">
        <v>54</v>
      </c>
    </row>
    <row r="12">
      <c r="A12" t="s">
        <v>38</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69</v>
      </c>
      <c r="D15" t="s">
        <v>70</v>
      </c>
      <c r="E15" t="s">
        <v>71</v>
      </c>
    </row>
    <row r="16">
      <c r="A16" t="s">
        <v>59</v>
      </c>
      <c r="B16" t="s">
        <v>72</v>
      </c>
      <c r="C16" t="s">
        <v>73</v>
      </c>
      <c r="D16" t="s">
        <v>74</v>
      </c>
      <c r="E16" t="s">
        <v>75</v>
      </c>
    </row>
    <row r="17">
      <c r="A17" t="s">
        <v>76</v>
      </c>
      <c r="B17" t="s">
        <v>77</v>
      </c>
      <c r="C17" t="s">
        <v>78</v>
      </c>
      <c r="D17" t="s">
        <v>79</v>
      </c>
      <c r="E17" t="s">
        <v>80</v>
      </c>
    </row>
    <row r="18">
      <c r="A18" t="s">
        <v>76</v>
      </c>
      <c r="B18" t="s">
        <v>81</v>
      </c>
      <c r="C18" t="s">
        <v>82</v>
      </c>
      <c r="D18" t="s">
        <v>83</v>
      </c>
      <c r="E18" t="s">
        <v>84</v>
      </c>
    </row>
    <row r="19">
      <c r="A19" t="s">
        <v>76</v>
      </c>
      <c r="B19" t="s">
        <v>85</v>
      </c>
      <c r="C19" t="s">
        <v>65</v>
      </c>
      <c r="D19" t="s">
        <v>86</v>
      </c>
      <c r="E19" t="s">
        <v>87</v>
      </c>
    </row>
    <row r="20">
      <c r="A20" t="s">
        <v>76</v>
      </c>
      <c r="B20" t="s">
        <v>88</v>
      </c>
      <c r="C20" t="s">
        <v>89</v>
      </c>
      <c r="D20" t="s">
        <v>90</v>
      </c>
      <c r="E20" t="s">
        <v>91</v>
      </c>
    </row>
    <row r="21">
      <c r="A21" t="s">
        <v>76</v>
      </c>
      <c r="B21" t="s">
        <v>92</v>
      </c>
      <c r="C21" t="s">
        <v>93</v>
      </c>
      <c r="D21" t="s">
        <v>94</v>
      </c>
      <c r="E21" t="s">
        <v>95</v>
      </c>
    </row>
    <row r="22">
      <c r="A22" t="s">
        <v>96</v>
      </c>
      <c r="B22" t="s">
        <v>97</v>
      </c>
      <c r="C22" t="s">
        <v>98</v>
      </c>
      <c r="D22" t="s">
        <v>99</v>
      </c>
      <c r="E22" t="s">
        <v>100</v>
      </c>
    </row>
    <row r="23">
      <c r="A23" t="s">
        <v>96</v>
      </c>
      <c r="B23" t="s">
        <v>64</v>
      </c>
      <c r="C23" t="s">
        <v>101</v>
      </c>
      <c r="D23" t="s">
        <v>66</v>
      </c>
      <c r="E23" t="s">
        <v>102</v>
      </c>
    </row>
    <row r="24">
      <c r="A24" t="s">
        <v>96</v>
      </c>
      <c r="B24" t="s">
        <v>103</v>
      </c>
      <c r="C24" t="s">
        <v>104</v>
      </c>
      <c r="D24" t="s">
        <v>105</v>
      </c>
      <c r="E24" t="s">
        <v>106</v>
      </c>
    </row>
    <row r="25">
      <c r="A25" t="s">
        <v>96</v>
      </c>
      <c r="B25" t="s">
        <v>107</v>
      </c>
      <c r="C25" t="s">
        <v>108</v>
      </c>
      <c r="D25" t="s">
        <v>20</v>
      </c>
      <c r="E25" t="s">
        <v>109</v>
      </c>
    </row>
    <row r="26">
      <c r="A26" t="s">
        <v>96</v>
      </c>
      <c r="B26" t="s">
        <v>110</v>
      </c>
      <c r="C26" t="s">
        <v>111</v>
      </c>
      <c r="D26" t="s">
        <v>112</v>
      </c>
      <c r="E26" t="s">
        <v>113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136</v>
      </c>
      <c r="F13" s="13"/>
      <c r="G13" s="13"/>
      <c r="H13" s="13"/>
    </row>
    <row r="14">
      <c r="A14">
        <v>2</v>
      </c>
      <c r="E14" s="32" t="s">
        <v>137</v>
      </c>
      <c r="F14" s="32"/>
      <c r="G14" s="32"/>
      <c r="H14" s="31" t="str">
        <f>H2</f>
      </c>
    </row>
    <row r="15">
      <c r="E15" s="32" t="s">
        <v>138</v>
      </c>
      <c r="F15" s="32"/>
      <c r="G15" s="32"/>
      <c r="H15" s="31" t="str">
        <f>H8</f>
      </c>
    </row>
    <row r="16">
      <c r="E16" s="32" t="s">
        <v>139</v>
      </c>
      <c r="F16" s="32"/>
      <c r="G16" s="32"/>
      <c r="H16" s="31" t="str">
        <f>H14+H15</f>
      </c>
    </row>
    <row r="17">
      <c r="E17" s="32" t="s">
        <v>140</v>
      </c>
      <c r="F17" s="32"/>
      <c r="G17" s="32"/>
      <c r="H17" s="31" t="str">
        <f>H16/A14</f>
      </c>
    </row>
    <row r="18">
      <c r="E18" s="13" t="s">
        <v>141</v>
      </c>
      <c r="F18" s="13"/>
      <c r="G18" s="13"/>
      <c r="H18" s="33">
        <v>0.375</v>
      </c>
    </row>
    <row r="19">
      <c r="E19" s="13" t="s">
        <v>142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data!$E$3&amp;" "&amp;data!$B$3</f>
      </c>
      <c r="D6" s="12" t="str">
        <f>data!$E$13&amp;" "&amp;data!$B$13</f>
      </c>
      <c r="F6" s="12" t="str">
        <f>data!$E$22&amp;" "&amp;data!$B$22</f>
      </c>
    </row>
    <row r="7" ht="17" customHeight="true">
      <c r="B7" s="12" t="str">
        <f>data!$E$4&amp;" "&amp;data!$B$4</f>
      </c>
      <c r="D7" s="12" t="str">
        <f>data!$E$14&amp;" "&amp;data!$B$14</f>
      </c>
      <c r="F7" s="12" t="str">
        <f>data!$E$23&amp;" "&amp;data!$B$23</f>
      </c>
    </row>
    <row r="8">
      <c r="B8" s="12" t="str">
        <f>data!$E$5&amp;" "&amp;data!$B$5</f>
      </c>
      <c r="D8" s="12" t="str">
        <f>data!$E$15&amp;" "&amp;data!$B$15</f>
      </c>
      <c r="F8" s="12" t="str">
        <f>data!$E$24&amp;" "&amp;data!$B$24</f>
      </c>
    </row>
    <row r="9">
      <c r="B9" s="12" t="str">
        <f>data!$E$6&amp;" "&amp;data!$B$6</f>
      </c>
      <c r="D9" s="12" t="str">
        <f>data!$E$16&amp;" "&amp;data!$B$16</f>
      </c>
      <c r="F9" s="12" t="str">
        <f>data!$E$25&amp;" "&amp;data!$B$25</f>
      </c>
    </row>
    <row r="10">
      <c r="B10" s="12" t="str">
        <f>data!$E$7&amp;" "&amp;data!$B$7</f>
      </c>
      <c r="F10" s="12" t="str">
        <f>data!$E$26&amp;" "&amp;data!$B$26</f>
      </c>
    </row>
    <row r="12">
      <c r="D12" s="11" t="str">
        <f>'data'!$A$21</f>
      </c>
    </row>
    <row r="13">
      <c r="B13" s="11" t="str">
        <f>'data'!$A$12</f>
      </c>
      <c r="D13" s="12" t="str">
        <f>data!$E$17&amp;" "&amp;data!$B$17</f>
      </c>
    </row>
    <row r="14">
      <c r="B14" s="12" t="str">
        <f>data!$E$8&amp;" "&amp;data!$B$8</f>
      </c>
      <c r="D14" s="12" t="str">
        <f>data!$E$18&amp;" "&amp;data!$B$18</f>
      </c>
    </row>
    <row r="15">
      <c r="B15" s="12" t="str">
        <f>data!$E$9&amp;" "&amp;data!$B$9</f>
      </c>
      <c r="D15" s="12" t="str">
        <f>data!$E$19&amp;" "&amp;data!$B$19</f>
      </c>
    </row>
    <row r="16">
      <c r="B16" s="12" t="str">
        <f>data!$E$10&amp;" "&amp;data!$B$10</f>
      </c>
      <c r="D16" s="12" t="str">
        <f>data!$E$20&amp;" "&amp;data!$B$20</f>
      </c>
    </row>
    <row r="17">
      <c r="B17" s="12" t="str">
        <f>data!$E$11&amp;" "&amp;data!$B$11</f>
      </c>
      <c r="D17" s="12" t="str">
        <f>data!$E$21&amp;" "&amp;data!$B$21</f>
      </c>
    </row>
    <row r="18">
      <c r="B18" s="12" t="str">
        <f>data!$E$12&amp;" "&amp;data!$B$12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114</v>
      </c>
      <c r="B1" s="13"/>
      <c r="C1" s="13"/>
      <c r="D1" s="13"/>
      <c r="E1" s="13"/>
      <c r="F1" s="13"/>
      <c r="G1" s="13"/>
      <c r="I1" s="13" t="s">
        <v>115</v>
      </c>
      <c r="J1" s="13"/>
      <c r="K1" s="13"/>
      <c r="L1" s="13"/>
      <c r="M1" s="13"/>
      <c r="N1" s="13"/>
      <c r="O1" s="13"/>
    </row>
    <row r="2">
      <c r="A2" s="13" t="str">
        <f>'data'!$A$7</f>
      </c>
      <c r="B2" s="13"/>
      <c r="C2" s="13"/>
      <c r="D2" s="13"/>
      <c r="E2" s="13"/>
      <c r="F2" s="13"/>
      <c r="G2" s="13"/>
      <c r="I2" s="13" t="str">
        <f>'data'!$A$21</f>
      </c>
      <c r="J2" s="13"/>
      <c r="K2" s="13"/>
      <c r="L2" s="13"/>
      <c r="M2" s="13"/>
      <c r="N2" s="13"/>
      <c r="O2" s="13"/>
    </row>
    <row r="3">
      <c r="A3" s="17" t="s">
        <v>116</v>
      </c>
      <c r="D3" s="14" t="s">
        <v>117</v>
      </c>
      <c r="G3" s="16" t="s">
        <v>118</v>
      </c>
      <c r="I3" s="17" t="s">
        <v>116</v>
      </c>
      <c r="L3" s="14" t="s">
        <v>117</v>
      </c>
      <c r="O3" s="16" t="s">
        <v>118</v>
      </c>
    </row>
    <row r="4">
      <c r="A4" s="14" t="str">
        <f>data!$E$4&amp;" "&amp;data!$B$4</f>
      </c>
      <c r="B4" s="18"/>
      <c r="C4" s="18"/>
      <c r="D4" s="18"/>
      <c r="E4" s="18"/>
      <c r="F4" s="18"/>
      <c r="G4" s="14" t="str">
        <f>data!$E$3&amp;" "&amp;data!$B$3</f>
      </c>
      <c r="I4" s="14" t="str">
        <f>data!$E$18&amp;" "&amp;data!$B$18</f>
      </c>
      <c r="J4" s="18"/>
      <c r="K4" s="18"/>
      <c r="L4" s="18"/>
      <c r="M4" s="18"/>
      <c r="N4" s="18"/>
      <c r="O4" s="14" t="str">
        <f>data!$E$17&amp;" "&amp;data!$B$17</f>
      </c>
    </row>
    <row r="5">
      <c r="A5" s="14" t="str">
        <f>data!$E$4&amp;" "&amp;data!$B$4</f>
      </c>
      <c r="B5" s="18"/>
      <c r="C5" s="18"/>
      <c r="D5" s="18"/>
      <c r="E5" s="18"/>
      <c r="F5" s="18"/>
      <c r="G5" s="14" t="str">
        <f>data!$E$5&amp;" "&amp;data!$B$5</f>
      </c>
      <c r="I5" s="14" t="str">
        <f>data!$E$18&amp;" "&amp;data!$B$18</f>
      </c>
      <c r="J5" s="18"/>
      <c r="K5" s="18"/>
      <c r="L5" s="18"/>
      <c r="M5" s="18"/>
      <c r="N5" s="18"/>
      <c r="O5" s="14" t="str">
        <f>data!$E$19&amp;" "&amp;data!$B$19</f>
      </c>
    </row>
    <row r="6">
      <c r="A6" s="14" t="str">
        <f>data!$E$6&amp;" "&amp;data!$B$6</f>
      </c>
      <c r="B6" s="18"/>
      <c r="C6" s="18"/>
      <c r="D6" s="18"/>
      <c r="E6" s="18"/>
      <c r="F6" s="18"/>
      <c r="G6" s="14" t="str">
        <f>data!$E$5&amp;" "&amp;data!$B$5</f>
      </c>
      <c r="I6" s="14" t="str">
        <f>data!$E$20&amp;" "&amp;data!$B$20</f>
      </c>
      <c r="J6" s="18"/>
      <c r="K6" s="18"/>
      <c r="L6" s="18"/>
      <c r="M6" s="18"/>
      <c r="N6" s="18"/>
      <c r="O6" s="14" t="str">
        <f>data!$E$19&amp;" "&amp;data!$B$19</f>
      </c>
    </row>
    <row r="7">
      <c r="A7" s="14" t="str">
        <f>data!$E$6&amp;" "&amp;data!$B$6</f>
      </c>
      <c r="B7" s="18"/>
      <c r="C7" s="18"/>
      <c r="D7" s="18"/>
      <c r="E7" s="18"/>
      <c r="F7" s="18"/>
      <c r="G7" s="14" t="str">
        <f>data!$E$7&amp;" "&amp;data!$B$7</f>
      </c>
      <c r="I7" s="14" t="str">
        <f>data!$E$20&amp;" "&amp;data!$B$20</f>
      </c>
      <c r="J7" s="18"/>
      <c r="K7" s="18"/>
      <c r="L7" s="18"/>
      <c r="M7" s="18"/>
      <c r="N7" s="18"/>
      <c r="O7" s="14" t="str">
        <f>data!$E$21&amp;" "&amp;data!$B$21</f>
      </c>
    </row>
    <row r="8">
      <c r="A8" s="14" t="str">
        <f>data!$E$3&amp;" "&amp;data!$B$3</f>
      </c>
      <c r="B8" s="18"/>
      <c r="C8" s="18"/>
      <c r="D8" s="18"/>
      <c r="E8" s="18"/>
      <c r="F8" s="18"/>
      <c r="G8" s="14" t="str">
        <f>data!$E$7&amp;" "&amp;data!$B$7</f>
      </c>
      <c r="I8" s="14" t="str">
        <f>data!$E$17&amp;" "&amp;data!$B$17</f>
      </c>
      <c r="J8" s="18"/>
      <c r="K8" s="18"/>
      <c r="L8" s="18"/>
      <c r="M8" s="18"/>
      <c r="N8" s="18"/>
      <c r="O8" s="14" t="str">
        <f>data!$E$21&amp;" "&amp;data!$B$21</f>
      </c>
    </row>
    <row r="10">
      <c r="A10" s="13" t="s">
        <v>119</v>
      </c>
      <c r="B10" s="13" t="s">
        <v>120</v>
      </c>
      <c r="C10" s="13" t="s">
        <v>121</v>
      </c>
      <c r="D10" s="13" t="s">
        <v>122</v>
      </c>
      <c r="E10" s="13" t="s">
        <v>123</v>
      </c>
      <c r="F10" s="13" t="s">
        <v>124</v>
      </c>
      <c r="G10" s="13" t="s">
        <v>125</v>
      </c>
      <c r="I10" s="13" t="s">
        <v>119</v>
      </c>
      <c r="J10" s="13" t="s">
        <v>120</v>
      </c>
      <c r="K10" s="13" t="s">
        <v>121</v>
      </c>
      <c r="L10" s="13" t="s">
        <v>122</v>
      </c>
      <c r="M10" s="13" t="s">
        <v>123</v>
      </c>
      <c r="N10" s="13" t="s">
        <v>124</v>
      </c>
      <c r="O10" s="13" t="s">
        <v>125</v>
      </c>
    </row>
    <row r="11">
      <c r="A11" s="14" t="str">
        <f>data!$E$3&amp;" "&amp;data!$B$3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data!$E$17&amp;" "&amp;data!$B$17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data!$E$4&amp;" "&amp;data!$B$4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data!$E$18&amp;" "&amp;data!$B$18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data!$E$5&amp;" "&amp;data!$B$5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data!$E$19&amp;" "&amp;data!$B$19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data!$E$6&amp;" "&amp;data!$B$6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data!$E$20&amp;" "&amp;data!$B$20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data!$E$7&amp;" "&amp;data!$B$7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data!$E$21&amp;" "&amp;data!$B$21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126</v>
      </c>
      <c r="N18" s="13"/>
      <c r="O18" s="13" t="s">
        <v>126</v>
      </c>
    </row>
    <row r="19">
      <c r="F19" t="s">
        <v>127</v>
      </c>
      <c r="G19" s="19" t="str">
        <f>IFERROR(INDEX($A$11:$A$15, MATCH(1, $G$11:$G$15, 0)), "-")</f>
      </c>
      <c r="N19" t="s">
        <v>127</v>
      </c>
      <c r="O19" s="19" t="str">
        <f>IFERROR(INDEX($I$11:$I$15, MATCH(1, $O$11:$O$15, 0)), "-")</f>
      </c>
    </row>
    <row r="20">
      <c r="F20" t="s">
        <v>128</v>
      </c>
      <c r="G20" s="19" t="str">
        <f>IFERROR(INDEX($A$11:$A$15, MATCH(2, $G$11:$G$15, 0)), "-")</f>
      </c>
      <c r="N20" t="s">
        <v>128</v>
      </c>
      <c r="O20" s="19" t="str">
        <f>IFERROR(INDEX($I$11:$I$15, MATCH(2, $O$11:$O$15, 0)), "-")</f>
      </c>
    </row>
    <row r="21">
      <c r="F21" t="s">
        <v>129</v>
      </c>
      <c r="G21" s="19" t="str">
        <f>IFERROR(INDEX($A$11:$A$15, MATCH(3, $G$11:$G$15, 0)), "-")</f>
      </c>
      <c r="N21" t="s">
        <v>129</v>
      </c>
      <c r="O21" s="19" t="str">
        <f>IFERROR(INDEX($I$11:$I$15, MATCH(3, $O$11:$O$15, 0)), "-")</f>
      </c>
    </row>
    <row r="22">
      <c r="F22" t="s">
        <v>130</v>
      </c>
      <c r="G22" s="19" t="str">
        <f>IFERROR(INDEX($A$11:$A$15, MATCH(4, $G$11:$G$15, 0)), "-")</f>
      </c>
      <c r="N22" t="s">
        <v>130</v>
      </c>
      <c r="O22" s="19" t="str">
        <f>IFERROR(INDEX($I$11:$I$15, MATCH(4, $O$11:$O$15, 0)), "-")</f>
      </c>
    </row>
    <row r="23">
      <c r="F23" t="s">
        <v>131</v>
      </c>
      <c r="G23" s="19" t="str">
        <f>IFERROR(INDEX($A$11:$A$15, MATCH(5, $G$11:$G$15, 0)), "-")</f>
      </c>
      <c r="N23" t="s">
        <v>131</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116</v>
      </c>
      <c r="D26" s="14" t="s">
        <v>117</v>
      </c>
      <c r="G26" s="16" t="s">
        <v>118</v>
      </c>
      <c r="I26" s="17" t="s">
        <v>116</v>
      </c>
      <c r="L26" s="14" t="s">
        <v>117</v>
      </c>
      <c r="O26" s="16" t="s">
        <v>118</v>
      </c>
    </row>
    <row r="27">
      <c r="A27" s="14" t="str">
        <f>data!$E$9&amp;" "&amp;data!$B$9</f>
      </c>
      <c r="B27" s="18"/>
      <c r="C27" s="18"/>
      <c r="D27" s="18"/>
      <c r="E27" s="18"/>
      <c r="F27" s="18"/>
      <c r="G27" s="14" t="str">
        <f>data!$E$8&amp;" "&amp;data!$B$8</f>
      </c>
      <c r="I27" s="14" t="str">
        <f>data!$E$23&amp;" "&amp;data!$B$23</f>
      </c>
      <c r="J27" s="18"/>
      <c r="K27" s="18"/>
      <c r="L27" s="18"/>
      <c r="M27" s="18"/>
      <c r="N27" s="18"/>
      <c r="O27" s="14" t="str">
        <f>data!$E$22&amp;" "&amp;data!$B$22</f>
      </c>
    </row>
    <row r="28">
      <c r="A28" s="14" t="str">
        <f>data!$E$9&amp;" "&amp;data!$B$9</f>
      </c>
      <c r="B28" s="18"/>
      <c r="C28" s="18"/>
      <c r="D28" s="18"/>
      <c r="E28" s="18"/>
      <c r="F28" s="18"/>
      <c r="G28" s="14" t="str">
        <f>data!$E$10&amp;" "&amp;data!$B$10</f>
      </c>
      <c r="I28" s="14" t="str">
        <f>data!$E$23&amp;" "&amp;data!$B$23</f>
      </c>
      <c r="J28" s="18"/>
      <c r="K28" s="18"/>
      <c r="L28" s="18"/>
      <c r="M28" s="18"/>
      <c r="N28" s="18"/>
      <c r="O28" s="14" t="str">
        <f>data!$E$24&amp;" "&amp;data!$B$24</f>
      </c>
    </row>
    <row r="29">
      <c r="A29" s="14" t="str">
        <f>data!$E$11&amp;" "&amp;data!$B$11</f>
      </c>
      <c r="B29" s="18"/>
      <c r="C29" s="18"/>
      <c r="D29" s="18"/>
      <c r="E29" s="18"/>
      <c r="F29" s="18"/>
      <c r="G29" s="14" t="str">
        <f>data!$E$10&amp;" "&amp;data!$B$10</f>
      </c>
      <c r="I29" s="14" t="str">
        <f>data!$E$25&amp;" "&amp;data!$B$25</f>
      </c>
      <c r="J29" s="18"/>
      <c r="K29" s="18"/>
      <c r="L29" s="18"/>
      <c r="M29" s="18"/>
      <c r="N29" s="18"/>
      <c r="O29" s="14" t="str">
        <f>data!$E$24&amp;" "&amp;data!$B$24</f>
      </c>
    </row>
    <row r="30">
      <c r="A30" s="14" t="str">
        <f>data!$E$11&amp;" "&amp;data!$B$11</f>
      </c>
      <c r="B30" s="18"/>
      <c r="C30" s="18"/>
      <c r="D30" s="18"/>
      <c r="E30" s="18"/>
      <c r="F30" s="18"/>
      <c r="G30" s="14" t="str">
        <f>data!$E$12&amp;" "&amp;data!$B$12</f>
      </c>
      <c r="I30" s="14" t="str">
        <f>data!$E$25&amp;" "&amp;data!$B$25</f>
      </c>
      <c r="J30" s="18"/>
      <c r="K30" s="18"/>
      <c r="L30" s="18"/>
      <c r="M30" s="18"/>
      <c r="N30" s="18"/>
      <c r="O30" s="14" t="str">
        <f>data!$E$26&amp;" "&amp;data!$B$26</f>
      </c>
    </row>
    <row r="31">
      <c r="A31" s="14" t="str">
        <f>data!$E$8&amp;" "&amp;data!$B$8</f>
      </c>
      <c r="B31" s="18"/>
      <c r="C31" s="18"/>
      <c r="D31" s="18"/>
      <c r="E31" s="18"/>
      <c r="F31" s="18"/>
      <c r="G31" s="14" t="str">
        <f>data!$E$12&amp;" "&amp;data!$B$12</f>
      </c>
      <c r="I31" s="14" t="str">
        <f>data!$E$22&amp;" "&amp;data!$B$22</f>
      </c>
      <c r="J31" s="18"/>
      <c r="K31" s="18"/>
      <c r="L31" s="18"/>
      <c r="M31" s="18"/>
      <c r="N31" s="18"/>
      <c r="O31" s="14" t="str">
        <f>data!$E$26&amp;" "&amp;data!$B$26</f>
      </c>
    </row>
    <row r="33">
      <c r="A33" s="13" t="s">
        <v>119</v>
      </c>
      <c r="B33" s="13" t="s">
        <v>120</v>
      </c>
      <c r="C33" s="13" t="s">
        <v>121</v>
      </c>
      <c r="D33" s="13" t="s">
        <v>122</v>
      </c>
      <c r="E33" s="13" t="s">
        <v>123</v>
      </c>
      <c r="F33" s="13" t="s">
        <v>124</v>
      </c>
      <c r="G33" s="13" t="s">
        <v>125</v>
      </c>
      <c r="I33" s="13" t="s">
        <v>119</v>
      </c>
      <c r="J33" s="13" t="s">
        <v>120</v>
      </c>
      <c r="K33" s="13" t="s">
        <v>121</v>
      </c>
      <c r="L33" s="13" t="s">
        <v>122</v>
      </c>
      <c r="M33" s="13" t="s">
        <v>123</v>
      </c>
      <c r="N33" s="13" t="s">
        <v>124</v>
      </c>
      <c r="O33" s="13" t="s">
        <v>125</v>
      </c>
    </row>
    <row r="34">
      <c r="A34" s="14" t="str">
        <f>data!$E$8&amp;" "&amp;data!$B$8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data!$E$22&amp;" "&amp;data!$B$22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data!$E$9&amp;" "&amp;data!$B$9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data!$E$23&amp;" "&amp;data!$B$23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data!$E$10&amp;" "&amp;data!$B$10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data!$E$24&amp;" "&amp;data!$B$24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data!$E$11&amp;" "&amp;data!$B$11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data!$E$25&amp;" "&amp;data!$B$25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data!$E$12&amp;" "&amp;data!$B$12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data!$E$26&amp;" "&amp;data!$B$26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126</v>
      </c>
      <c r="N41" s="13"/>
      <c r="O41" s="13" t="s">
        <v>126</v>
      </c>
    </row>
    <row r="42">
      <c r="F42" t="s">
        <v>127</v>
      </c>
      <c r="G42" s="19" t="str">
        <f>IFERROR(INDEX($A$34:$A$38, MATCH(1, $G$34:$G$38, 0)), "-")</f>
      </c>
      <c r="N42" t="s">
        <v>127</v>
      </c>
      <c r="O42" s="19" t="str">
        <f>IFERROR(INDEX($I$34:$I$38, MATCH(1, $O$34:$O$38, 0)), "-")</f>
      </c>
    </row>
    <row r="43">
      <c r="F43" t="s">
        <v>128</v>
      </c>
      <c r="G43" s="19" t="str">
        <f>IFERROR(INDEX($A$34:$A$38, MATCH(2, $G$34:$G$38, 0)), "-")</f>
      </c>
      <c r="N43" t="s">
        <v>128</v>
      </c>
      <c r="O43" s="19" t="str">
        <f>IFERROR(INDEX($I$34:$I$38, MATCH(2, $O$34:$O$38, 0)), "-")</f>
      </c>
    </row>
    <row r="44">
      <c r="F44" t="s">
        <v>129</v>
      </c>
      <c r="G44" s="19" t="str">
        <f>IFERROR(INDEX($A$34:$A$38, MATCH(3, $G$34:$G$38, 0)), "-")</f>
      </c>
      <c r="N44" t="s">
        <v>129</v>
      </c>
      <c r="O44" s="19" t="str">
        <f>IFERROR(INDEX($I$34:$I$38, MATCH(3, $O$34:$O$38, 0)), "-")</f>
      </c>
    </row>
    <row r="45">
      <c r="F45" t="s">
        <v>130</v>
      </c>
      <c r="G45" s="19" t="str">
        <f>IFERROR(INDEX($A$34:$A$38, MATCH(4, $G$34:$G$38, 0)), "-")</f>
      </c>
      <c r="N45" t="s">
        <v>130</v>
      </c>
      <c r="O45" s="19" t="str">
        <f>IFERROR(INDEX($I$34:$I$38, MATCH(4, $O$34:$O$38, 0)), "-")</f>
      </c>
    </row>
    <row r="46">
      <c r="F46" t="s">
        <v>131</v>
      </c>
      <c r="G46" s="19" t="str">
        <f>IFERROR(INDEX($A$34:$A$38, MATCH(5, $G$34:$G$38, 0)), "-")</f>
      </c>
      <c r="N46" t="s">
        <v>131</v>
      </c>
      <c r="O46" s="19" t="str">
        <f>IFERROR(INDEX($I$34:$I$38, MATCH(5, $O$34:$O$38, 0)), "-")</f>
      </c>
    </row>
    <row r="48">
      <c r="A48" s="13" t="str">
        <f>'data'!$A$16</f>
      </c>
      <c r="B48" s="13"/>
      <c r="C48" s="13"/>
      <c r="D48" s="13"/>
      <c r="E48" s="13"/>
      <c r="F48" s="13"/>
      <c r="G48" s="13"/>
    </row>
    <row r="49">
      <c r="A49" s="17" t="s">
        <v>116</v>
      </c>
      <c r="D49" s="14" t="s">
        <v>117</v>
      </c>
      <c r="G49" s="16" t="s">
        <v>118</v>
      </c>
    </row>
    <row r="50">
      <c r="A50" s="14" t="str">
        <f>data!$E$14&amp;" "&amp;data!$B$14</f>
      </c>
      <c r="B50" s="18"/>
      <c r="C50" s="18"/>
      <c r="D50" s="18"/>
      <c r="E50" s="18"/>
      <c r="F50" s="18"/>
      <c r="G50" s="14" t="str">
        <f>data!$E$13&amp;" "&amp;data!$B$13</f>
      </c>
    </row>
    <row r="51">
      <c r="A51" s="14" t="str">
        <f>data!$E$14&amp;" "&amp;data!$B$14</f>
      </c>
      <c r="B51" s="18"/>
      <c r="C51" s="18"/>
      <c r="D51" s="18"/>
      <c r="E51" s="18"/>
      <c r="F51" s="18"/>
      <c r="G51" s="14" t="str">
        <f>data!$E$15&amp;" "&amp;data!$B$15</f>
      </c>
    </row>
    <row r="52">
      <c r="A52" s="14" t="str">
        <f>data!$E$16&amp;" "&amp;data!$B$16</f>
      </c>
      <c r="B52" s="18"/>
      <c r="C52" s="18"/>
      <c r="D52" s="18"/>
      <c r="E52" s="18"/>
      <c r="F52" s="18"/>
      <c r="G52" s="14" t="str">
        <f>data!$E$15&amp;" "&amp;data!$B$15</f>
      </c>
    </row>
    <row r="53">
      <c r="A53" s="14" t="str">
        <f>data!$E$16&amp;" "&amp;data!$B$16</f>
      </c>
      <c r="B53" s="18"/>
      <c r="C53" s="18"/>
      <c r="D53" s="18"/>
      <c r="E53" s="18"/>
      <c r="F53" s="18"/>
      <c r="G53" s="14" t="str">
        <f>data!$E$13&amp;" "&amp;data!$B$13</f>
      </c>
    </row>
    <row r="55">
      <c r="A55" s="13" t="s">
        <v>119</v>
      </c>
      <c r="B55" s="13" t="s">
        <v>120</v>
      </c>
      <c r="C55" s="13" t="s">
        <v>121</v>
      </c>
      <c r="D55" s="13" t="s">
        <v>122</v>
      </c>
      <c r="E55" s="13" t="s">
        <v>123</v>
      </c>
      <c r="F55" s="13" t="s">
        <v>124</v>
      </c>
      <c r="G55" s="13" t="s">
        <v>125</v>
      </c>
    </row>
    <row r="56">
      <c r="A56" s="14" t="str">
        <f>data!$E$13&amp;" "&amp;data!$B$13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data!$E$14&amp;" "&amp;data!$B$14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data!$E$15&amp;" "&amp;data!$B$15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data!$E$16&amp;" "&amp;data!$B$16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126</v>
      </c>
    </row>
    <row r="63">
      <c r="F63" t="s">
        <v>127</v>
      </c>
      <c r="G63" s="19" t="str">
        <f>IFERROR(INDEX($A$56:$A$59, MATCH(1, $G$56:$G$59, 0)), "-")</f>
      </c>
    </row>
    <row r="64">
      <c r="F64" t="s">
        <v>128</v>
      </c>
      <c r="G64" s="19" t="str">
        <f>IFERROR(INDEX($A$56:$A$59, MATCH(2, $G$56:$G$59, 0)), "-")</f>
      </c>
    </row>
    <row r="65">
      <c r="F65" t="s">
        <v>129</v>
      </c>
      <c r="G65" s="19" t="str">
        <f>IFERROR(INDEX($A$56:$A$59, MATCH(3, $G$56:$G$59, 0)), "-")</f>
      </c>
    </row>
    <row r="66">
      <c r="F66" t="s">
        <v>130</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114</v>
      </c>
      <c r="B1" s="13"/>
      <c r="C1" s="13"/>
      <c r="D1" s="13"/>
      <c r="E1" s="13"/>
      <c r="F1" s="13"/>
      <c r="G1" s="13"/>
      <c r="I1" s="13" t="s">
        <v>115</v>
      </c>
      <c r="J1" s="13"/>
      <c r="K1" s="13"/>
      <c r="L1" s="13"/>
      <c r="M1" s="13"/>
      <c r="N1" s="13"/>
      <c r="O1" s="13"/>
    </row>
    <row r="2">
      <c r="A2" s="13" t="s">
        <v>132</v>
      </c>
      <c r="B2" s="13"/>
      <c r="C2" s="13"/>
      <c r="D2" s="13"/>
      <c r="E2" s="13"/>
      <c r="F2" s="13"/>
      <c r="G2" s="13"/>
    </row>
    <row r="3">
      <c r="A3" s="17" t="s">
        <v>116</v>
      </c>
      <c r="D3" s="14" t="s">
        <v>117</v>
      </c>
      <c r="G3" s="16" t="s">
        <v>118</v>
      </c>
    </row>
    <row r="4">
      <c r="A4" s="14" t="str">
        <f>CONCATENATE("Pool C-1st ",'Pool Matches'!G63)</f>
      </c>
      <c r="B4" s="18"/>
      <c r="C4" s="18"/>
      <c r="D4" s="18"/>
      <c r="E4" s="18"/>
      <c r="F4" s="18"/>
      <c r="G4" s="14" t="str">
        <f>CONCATENATE("Pool B-1st ",'Pool Matches'!G42)</f>
      </c>
    </row>
    <row r="6">
      <c r="F6" t="s">
        <v>127</v>
      </c>
      <c r="G6" s="19"/>
    </row>
    <row r="7">
      <c r="F7" t="s">
        <v>128</v>
      </c>
      <c r="G7" s="19"/>
    </row>
    <row r="15">
      <c r="A15" s="13" t="s">
        <v>133</v>
      </c>
      <c r="B15" s="13"/>
      <c r="C15" s="13"/>
      <c r="D15" s="13"/>
      <c r="E15" s="13"/>
      <c r="F15" s="13"/>
      <c r="G15" s="13"/>
      <c r="I15" s="13" t="s">
        <v>134</v>
      </c>
      <c r="J15" s="13"/>
      <c r="K15" s="13"/>
      <c r="L15" s="13"/>
      <c r="M15" s="13"/>
      <c r="N15" s="13"/>
      <c r="O15" s="13"/>
    </row>
    <row r="16">
      <c r="A16" s="17" t="s">
        <v>116</v>
      </c>
      <c r="D16" s="14" t="s">
        <v>117</v>
      </c>
      <c r="G16" s="16" t="s">
        <v>118</v>
      </c>
      <c r="I16" s="17" t="s">
        <v>116</v>
      </c>
      <c r="L16" s="14" t="s">
        <v>117</v>
      </c>
      <c r="O16" s="16" t="s">
        <v>118</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127</v>
      </c>
      <c r="G19" s="19"/>
      <c r="N19" t="s">
        <v>127</v>
      </c>
      <c r="O19" s="19"/>
    </row>
    <row r="20">
      <c r="F20" t="s">
        <v>128</v>
      </c>
      <c r="G20" s="19"/>
      <c r="N20" t="s">
        <v>128</v>
      </c>
      <c r="O20" s="19"/>
    </row>
    <row r="28">
      <c r="A28" s="13" t="s">
        <v>135</v>
      </c>
      <c r="B28" s="13"/>
      <c r="C28" s="13"/>
      <c r="D28" s="13"/>
      <c r="E28" s="13"/>
      <c r="F28" s="13"/>
      <c r="G28" s="13"/>
    </row>
    <row r="29">
      <c r="A29" s="17" t="s">
        <v>116</v>
      </c>
      <c r="D29" s="14" t="s">
        <v>117</v>
      </c>
      <c r="G29" s="16" t="s">
        <v>118</v>
      </c>
    </row>
    <row r="30">
      <c r="A30" s="14" t="str">
        <f>CONCATENATE("M 3 ",O19)</f>
      </c>
      <c r="B30" s="18"/>
      <c r="C30" s="18"/>
      <c r="D30" s="18"/>
      <c r="E30" s="18"/>
      <c r="F30" s="18"/>
      <c r="G30" s="14" t="str">
        <f>CONCATENATE("M 2 ",G19)</f>
      </c>
    </row>
    <row r="32">
      <c r="F32" t="s">
        <v>127</v>
      </c>
      <c r="G32" s="19"/>
    </row>
    <row r="33">
      <c r="F33" t="s">
        <v>128</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data!$E$3&amp;" "&amp;data!$B$3</f>
      </c>
    </row>
    <row r="6">
      <c r="A6" s="26" t="str">
        <f>data!$E$4&amp;" "&amp;data!$B$4</f>
      </c>
      <c r="C6" s="23"/>
      <c r="D6" s="23"/>
      <c r="E6" s="23" t="str">
        <f>CONCATENATE("Pool A-1st ",'Pool Matches'!G19)</f>
      </c>
    </row>
    <row r="7">
      <c r="A7" s="26" t="str">
        <f>data!$E$5&amp;" "&amp;data!$B$5</f>
      </c>
      <c r="F7" s="22"/>
      <c r="G7" s="20"/>
    </row>
    <row r="8">
      <c r="A8" s="26" t="str">
        <f>data!$E$6&amp;" "&amp;data!$B$6</f>
      </c>
      <c r="G8" s="21">
        <v>2</v>
      </c>
    </row>
    <row r="9">
      <c r="A9" s="27" t="str">
        <f>data!$E$7&amp;" "&amp;data!$B$7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data!$E$8&amp;" "&amp;data!$B$8</f>
      </c>
    </row>
    <row r="13">
      <c r="A13" s="26" t="str">
        <f>data!$E$9&amp;" "&amp;data!$B$9</f>
      </c>
    </row>
    <row r="14">
      <c r="A14" s="26" t="str">
        <f>data!$E$10&amp;" "&amp;data!$B$10</f>
      </c>
    </row>
    <row r="15">
      <c r="A15" s="26" t="str">
        <f>data!$E$11&amp;" "&amp;data!$B$11</f>
      </c>
    </row>
    <row r="16">
      <c r="A16" s="27" t="str">
        <f>data!$E$12&amp;" "&amp;data!$B$12</f>
      </c>
    </row>
    <row r="17">
      <c r="A17" s="22"/>
    </row>
    <row r="18">
      <c r="A18" s="24" t="str">
        <f>'data'!$A$16</f>
      </c>
    </row>
    <row r="19">
      <c r="A19" s="25" t="str">
        <f>data!$E$13&amp;" "&amp;data!$B$13</f>
      </c>
    </row>
    <row r="20">
      <c r="A20" s="26" t="str">
        <f>data!$E$14&amp;" "&amp;data!$B$14</f>
      </c>
    </row>
    <row r="21">
      <c r="A21" s="26" t="str">
        <f>data!$E$15&amp;" "&amp;data!$B$15</f>
      </c>
    </row>
    <row r="22">
      <c r="A22" s="27" t="str">
        <f>data!$E$16&amp;" "&amp;data!$B$16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data!$E$17&amp;" "&amp;data!$B$17</f>
      </c>
      <c r="C5" s="23" t="str">
        <f>CONCATENATE("Pool D-1st ",'Pool Matches'!O19)</f>
      </c>
    </row>
    <row r="6">
      <c r="A6" s="26" t="str">
        <f>data!$E$18&amp;" "&amp;data!$B$18</f>
      </c>
      <c r="D6" s="22"/>
      <c r="E6" s="21">
        <v>3</v>
      </c>
    </row>
    <row r="7">
      <c r="A7" s="26" t="str">
        <f>data!$E$19&amp;" "&amp;data!$B$19</f>
      </c>
      <c r="C7" s="23" t="str">
        <f>CONCATENATE("Pool E-1st ",'Pool Matches'!O42)</f>
      </c>
      <c r="D7" s="15"/>
      <c r="E7" s="20"/>
    </row>
    <row r="8">
      <c r="A8" s="26" t="str">
        <f>data!$E$20&amp;" "&amp;data!$B$20</f>
      </c>
    </row>
    <row r="9">
      <c r="A9" s="27" t="str">
        <f>data!$E$21&amp;" "&amp;data!$B$21</f>
      </c>
    </row>
    <row r="10">
      <c r="A10" s="22"/>
    </row>
    <row r="11">
      <c r="A11" s="24" t="str">
        <f>'data'!$A$26</f>
      </c>
    </row>
    <row r="12">
      <c r="A12" s="25" t="str">
        <f>data!$E$22&amp;" "&amp;data!$B$22</f>
      </c>
    </row>
    <row r="13">
      <c r="A13" s="26" t="str">
        <f>data!$E$23&amp;" "&amp;data!$B$23</f>
      </c>
    </row>
    <row r="14">
      <c r="A14" s="26" t="str">
        <f>data!$E$24&amp;" "&amp;data!$B$24</f>
      </c>
    </row>
    <row r="15">
      <c r="A15" s="26" t="str">
        <f>data!$E$25&amp;" "&amp;data!$B$25</f>
      </c>
    </row>
    <row r="16">
      <c r="A16" s="27" t="str">
        <f>data!$E$26&amp;" "&amp;data!$B$26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'data'!$E$17</f>
      </c>
      <c r="B1" s="29" t="str">
        <f>'data'!D17</f>
      </c>
    </row>
    <row r="2" ht="270" customHeight="true">
      <c r="A2" s="28" t="str">
        <f>'data'!$E$18</f>
      </c>
      <c r="B2" s="29" t="str">
        <f>'data'!D18</f>
      </c>
    </row>
    <row r="3" ht="270" customHeight="true">
      <c r="A3" s="28" t="str">
        <f>'data'!$E$19</f>
      </c>
      <c r="B3" s="29" t="str">
        <f>'data'!D19</f>
      </c>
    </row>
    <row r="4" ht="270" customHeight="true">
      <c r="A4" s="28" t="str">
        <f>'data'!$E$20</f>
      </c>
      <c r="B4" s="29" t="str">
        <f>'data'!D20</f>
      </c>
    </row>
    <row r="5" ht="270" customHeight="true">
      <c r="A5" s="28" t="str">
        <f>'data'!$E$21</f>
      </c>
      <c r="B5" s="29" t="str">
        <f>'data'!D21</f>
      </c>
    </row>
    <row r="6" ht="270" customHeight="true">
      <c r="A6" s="28" t="str">
        <f>'data'!$E$22</f>
      </c>
      <c r="B6" s="29" t="str">
        <f>'data'!D22</f>
      </c>
    </row>
    <row r="7" ht="270" customHeight="true">
      <c r="A7" s="28" t="str">
        <f>'data'!$E$23</f>
      </c>
      <c r="B7" s="29" t="str">
        <f>'data'!D23</f>
      </c>
    </row>
    <row r="8" ht="270" customHeight="true">
      <c r="A8" s="28" t="str">
        <f>'data'!$E$24</f>
      </c>
      <c r="B8" s="29" t="str">
        <f>'data'!D24</f>
      </c>
    </row>
    <row r="9" ht="270" customHeight="true">
      <c r="A9" s="28" t="str">
        <f>'data'!$E$25</f>
      </c>
      <c r="B9" s="29" t="str">
        <f>'data'!D25</f>
      </c>
    </row>
    <row r="10" ht="270" customHeight="true">
      <c r="A10" s="28" t="str">
        <f>'data'!$E$26</f>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37</v>
      </c>
    </row>
    <row r="10" ht="409" customHeight="true">
      <c r="A10" s="30" t="s">
        <v>37</v>
      </c>
    </row>
    <row r="11" ht="409" customHeight="true">
      <c r="A11" s="30" t="s">
        <v>42</v>
      </c>
    </row>
    <row r="12" ht="409" customHeight="true">
      <c r="A12" s="30" t="s">
        <v>42</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71</v>
      </c>
    </row>
    <row r="26" ht="409" customHeight="true">
      <c r="A26" s="30" t="s">
        <v>71</v>
      </c>
    </row>
    <row r="27" ht="409" customHeight="true">
      <c r="A27" s="30" t="s">
        <v>75</v>
      </c>
    </row>
    <row r="28" ht="409" customHeight="true">
      <c r="A28" s="30" t="s">
        <v>75</v>
      </c>
    </row>
    <row r="29" ht="409" customHeight="true">
      <c r="A29" s="30" t="s">
        <v>80</v>
      </c>
    </row>
    <row r="30" ht="409" customHeight="true">
      <c r="A30" s="30" t="s">
        <v>80</v>
      </c>
    </row>
    <row r="31" ht="409" customHeight="true">
      <c r="A31" s="30" t="s">
        <v>84</v>
      </c>
    </row>
    <row r="32" ht="409" customHeight="true">
      <c r="A32" s="30" t="s">
        <v>84</v>
      </c>
    </row>
    <row r="33" ht="409" customHeight="true">
      <c r="A33" s="30" t="s">
        <v>87</v>
      </c>
    </row>
    <row r="34" ht="409" customHeight="true">
      <c r="A34" s="30" t="s">
        <v>87</v>
      </c>
    </row>
    <row r="35" ht="409" customHeight="true">
      <c r="A35" s="30" t="s">
        <v>91</v>
      </c>
    </row>
    <row r="36" ht="409" customHeight="true">
      <c r="A36" s="30" t="s">
        <v>91</v>
      </c>
    </row>
    <row r="37" ht="409" customHeight="true">
      <c r="A37" s="30" t="s">
        <v>95</v>
      </c>
    </row>
    <row r="38" ht="409" customHeight="true">
      <c r="A38" s="30" t="s">
        <v>95</v>
      </c>
    </row>
    <row r="39" ht="409" customHeight="true">
      <c r="A39" s="30" t="s">
        <v>100</v>
      </c>
    </row>
    <row r="40" ht="409" customHeight="true">
      <c r="A40" s="30" t="s">
        <v>100</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113</v>
      </c>
    </row>
    <row r="48" ht="409" customHeight="true">
      <c r="A48" s="30" t="s">
        <v>113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