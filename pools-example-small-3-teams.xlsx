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Draw'!$B$2:$F$11</definedName>
    <definedName localSheetId="3" name="_xlnm.Print_Area">'Pool Matches'!$A$1:$H$44</definedName>
    <definedName localSheetId="6" name="_xlnm.Print_Area">'Names to Print A'!$A$1:$B$3</definedName>
    <definedName localSheetId="4" name="_xlnm.Print_Area">'Elimination Matches'!$A$1:$H$22</definedName>
  </definedNames>
  <calcPr calcId="122211"/>
</workbook>
</file>

<file path=xl/sharedStrings.xml><?xml version="1.0" encoding="utf-8"?>
<sst xmlns="http://schemas.openxmlformats.org/spreadsheetml/2006/main" count="50" uniqueCount="50">
  <si>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</si>
  <si>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</si>
  <si>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</si>
  <si>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</si>
  <si>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</si>
  <si>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</si>
  <si>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</si>
  <si>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</si>
  <si>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</si>
  <si>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</si>
  <si>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</si>
  <si>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</si>
  <si>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</si>
  <si>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</si>
  <si>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</si>
  <si>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</si>
  <si>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Team Alpha</t>
  </si>
  <si>
    <t>NA</t>
  </si>
  <si>
    <t>Team Bravo</t>
  </si>
  <si>
    <t>Team Charlie</t>
  </si>
  <si>
    <t>Shiaijo A</t>
  </si>
  <si>
    <t>White</t>
  </si>
  <si>
    <t>vs</t>
  </si>
  <si>
    <t>Red</t>
  </si>
  <si>
    <t>Team Results</t>
  </si>
  <si>
    <t>W</t>
  </si>
  <si>
    <t>L</t>
  </si>
  <si>
    <t>T</t>
  </si>
  <si>
    <t>Rank</t>
  </si>
  <si>
    <t>IV</t>
  </si>
  <si>
    <t>IL</t>
  </si>
  <si>
    <t>IT</t>
  </si>
  <si>
    <t>PW</t>
  </si>
  <si>
    <t>PL</t>
  </si>
  <si>
    <t>Ranking</t>
  </si>
  <si>
    <t>1.</t>
  </si>
  <si>
    <t>2.</t>
  </si>
  <si>
    <t>3.</t>
  </si>
  <si>
    <t>A1</t>
  </si>
  <si>
    <t>A2</t>
  </si>
  <si>
    <t>A3</t>
  </si>
  <si>
    <t>Round 1 - Match 1</t>
  </si>
  <si>
    <t>Victories / Points</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</si>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</sst>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17</v>
      </c>
    </row>
    <row r="5">
      <c r="A5" t="s">
        <v>15</v>
      </c>
      <c r="B5" t="s">
        <v>19</v>
      </c>
      <c r="C5" t="s">
        <v>17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5</v>
      </c>
      <c r="C2" s="2">
        <v>3</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43</v>
      </c>
      <c r="F13" s="13"/>
      <c r="G13" s="13"/>
      <c r="H13" s="13"/>
    </row>
    <row r="14">
      <c r="A14">
        <v>1</v>
      </c>
      <c r="E14" s="32" t="s">
        <v>44</v>
      </c>
      <c r="F14" s="32"/>
      <c r="G14" s="32"/>
      <c r="H14" s="31" t="str">
        <f>H2</f>
      </c>
    </row>
    <row r="15">
      <c r="E15" s="32" t="s">
        <v>45</v>
      </c>
      <c r="F15" s="32"/>
      <c r="G15" s="32"/>
      <c r="H15" s="31" t="str">
        <f>H8</f>
      </c>
    </row>
    <row r="16">
      <c r="E16" s="32" t="s">
        <v>46</v>
      </c>
      <c r="F16" s="32"/>
      <c r="G16" s="32"/>
      <c r="H16" s="31" t="str">
        <f>H14+H15</f>
      </c>
    </row>
    <row r="17">
      <c r="E17" s="32" t="s">
        <v>47</v>
      </c>
      <c r="F17" s="32"/>
      <c r="G17" s="32"/>
      <c r="H17" s="31" t="str">
        <f>H16/A14</f>
      </c>
    </row>
    <row r="18">
      <c r="E18" s="13" t="s">
        <v>48</v>
      </c>
      <c r="F18" s="13"/>
      <c r="G18" s="13"/>
      <c r="H18" s="33">
        <v>0.375</v>
      </c>
    </row>
    <row r="19">
      <c r="E19" s="13" t="s">
        <v>49</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row>
    <row r="6" ht="17" customHeight="true">
      <c r="B6" s="12" t="str">
        <f>"1. " &amp; data!$B$3</f>
      </c>
    </row>
    <row r="7" ht="17" customHeight="true">
      <c r="B7" s="12" t="str">
        <f>"2. " &amp; data!$B$4</f>
      </c>
    </row>
    <row r="8">
      <c r="B8" s="12" t="str">
        <f>"3. " &amp; data!$B$5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20</v>
      </c>
      <c r="B1" s="13"/>
      <c r="C1" s="13"/>
      <c r="D1" s="13"/>
      <c r="E1" s="13"/>
      <c r="F1" s="13"/>
      <c r="G1" s="13"/>
    </row>
    <row r="2">
      <c r="A2" s="13" t="str">
        <f>'data'!$A$5</f>
      </c>
      <c r="B2" s="13"/>
      <c r="C2" s="13"/>
      <c r="D2" s="13"/>
      <c r="E2" s="13"/>
      <c r="F2" s="13"/>
      <c r="G2" s="13"/>
    </row>
    <row r="3">
      <c r="A3" s="17" t="s">
        <v>21</v>
      </c>
      <c r="B3" s="14"/>
      <c r="C3" s="14"/>
      <c r="D3" s="14" t="s">
        <v>22</v>
      </c>
      <c r="E3" s="14"/>
      <c r="F3" s="14"/>
      <c r="G3" s="16" t="s">
        <v>23</v>
      </c>
    </row>
    <row r="4">
      <c r="A4" s="14" t="str">
        <f>'data'!$B$4</f>
      </c>
      <c r="B4" s="14" t="str">
        <f>IF(UPPER(D5)="X",0,IF((LEN(SUBSTITUTE(SUBSTITUTE(SUBSTITUTE(B5," ",""),"0",""),"-","")) +LEN(SUBSTITUTE(SUBSTITUTE(SUBSTITUTE(C5," ",""),"0",""),"-","")) )&gt;(LEN(SUBSTITUTE(SUBSTITUTE(SUBSTITUTE(E5," ",""),"0",""),"-","")) +LEN(SUBSTITUTE(SUBSTITUTE(SUBSTITUTE(F5," ",""),"0",""),"-","")) ),1,0))+IF(UPPER(D6)="X",0,IF((LEN(SUBSTITUTE(SUBSTITUTE(SUBSTITUTE(B6," ",""),"0",""),"-","")) +LEN(SUBSTITUTE(SUBSTITUTE(SUBSTITUTE(C6," ",""),"0",""),"-","")) )&gt;(LEN(SUBSTITUTE(SUBSTITUTE(SUBSTITUTE(E6," ",""),"0",""),"-","")) +LEN(SUBSTITUTE(SUBSTITUTE(SUBSTITUTE(F6," ",""),"0",""),"-","")) ),1,0))+IF(UPPER(D7)="X",0,IF((LEN(SUBSTITUTE(SUBSTITUTE(SUBSTITUTE(B7," ",""),"0",""),"-","")) +LEN(SUBSTITUTE(SUBSTITUTE(SUBSTITUTE(C7," ",""),"0",""),"-","")) )&gt;(LEN(SUBSTITUTE(SUBSTITUTE(SUBSTITUTE(E7," ",""),"0",""),"-","")) +LEN(SUBSTITUTE(SUBSTITUTE(SUBSTITUTE(F7," ",""),"0",""),"-","")) ),1,0))+IF(UPPER(D8)="X",0,IF((LEN(SUBSTITUTE(SUBSTITUTE(SUBSTITUTE(B8," ",""),"0",""),"-","")) +LEN(SUBSTITUTE(SUBSTITUTE(SUBSTITUTE(C8," ",""),"0",""),"-","")) )&gt;(LEN(SUBSTITUTE(SUBSTITUTE(SUBSTITUTE(E8," ",""),"0",""),"-","")) +LEN(SUBSTITUTE(SUBSTITUTE(SUBSTITUTE(F8," ",""),"0",""),"-","")) ),1,0))+IF(UPPER(D9)="X",0,IF((LEN(SUBSTITUTE(SUBSTITUTE(SUBSTITUTE(B9," ",""),"0",""),"-","")) +LEN(SUBSTITUTE(SUBSTITUTE(SUBSTITUTE(C9," ",""),"0",""),"-","")) )&gt;(LEN(SUBSTITUTE(SUBSTITUTE(SUBSTITUTE(E9," ",""),"0",""),"-","")) +LEN(SUBSTITUTE(SUBSTITUTE(SUBSTITUTE(F9," ",""),"0",""),"-","")) ),1,0))</f>
      </c>
      <c r="C4" s="14" t="str">
        <f>LEN(SUBSTITUTE(SUBSTITUTE(SUBSTITUTE(B5," ",""),"0",""),"-","")) +LEN(SUBSTITUTE(SUBSTITUTE(SUBSTITUTE(C5," ",""),"0",""),"-","")) +LEN(SUBSTITUTE(SUBSTITUTE(SUBSTITUTE(B6," ",""),"0",""),"-","")) +LEN(SUBSTITUTE(SUBSTITUTE(SUBSTITUTE(C6," ",""),"0",""),"-","")) +LEN(SUBSTITUTE(SUBSTITUTE(SUBSTITUTE(B7," ",""),"0",""),"-","")) +LEN(SUBSTITUTE(SUBSTITUTE(SUBSTITUTE(C7," ",""),"0",""),"-","")) +LEN(SUBSTITUTE(SUBSTITUTE(SUBSTITUTE(B8," ",""),"0",""),"-","")) +LEN(SUBSTITUTE(SUBSTITUTE(SUBSTITUTE(C8," ",""),"0",""),"-","")) +LEN(SUBSTITUTE(SUBSTITUTE(SUBSTITUTE(B9," ",""),"0",""),"-","")) +LEN(SUBSTITUTE(SUBSTITUTE(SUBSTITUTE(C9," ",""),"0",""),"-","")) </f>
      </c>
      <c r="D4" s="18"/>
      <c r="E4" s="14" t="str">
        <f>LEN(SUBSTITUTE(SUBSTITUTE(SUBSTITUTE(E5," ",""),"0",""),"-","")) +LEN(SUBSTITUTE(SUBSTITUTE(SUBSTITUTE(F5," ",""),"0",""),"-","")) +LEN(SUBSTITUTE(SUBSTITUTE(SUBSTITUTE(E6," ",""),"0",""),"-","")) +LEN(SUBSTITUTE(SUBSTITUTE(SUBSTITUTE(F6," ",""),"0",""),"-","")) +LEN(SUBSTITUTE(SUBSTITUTE(SUBSTITUTE(E7," ",""),"0",""),"-","")) +LEN(SUBSTITUTE(SUBSTITUTE(SUBSTITUTE(F7," ",""),"0",""),"-","")) +LEN(SUBSTITUTE(SUBSTITUTE(SUBSTITUTE(E8," ",""),"0",""),"-","")) +LEN(SUBSTITUTE(SUBSTITUTE(SUBSTITUTE(F8," ",""),"0",""),"-","")) +LEN(SUBSTITUTE(SUBSTITUTE(SUBSTITUTE(E9," ",""),"0",""),"-","")) +LEN(SUBSTITUTE(SUBSTITUTE(SUBSTITUTE(F9," ",""),"0",""),"-","")) </f>
      </c>
      <c r="F4" s="14" t="str">
        <f>IF(UPPER(D5)="X",0,IF((LEN(SUBSTITUTE(SUBSTITUTE(SUBSTITUTE(E5," ",""),"0",""),"-","")) +LEN(SUBSTITUTE(SUBSTITUTE(SUBSTITUTE(F5," ",""),"0",""),"-","")) )&gt;(LEN(SUBSTITUTE(SUBSTITUTE(SUBSTITUTE(B5," ",""),"0",""),"-","")) +LEN(SUBSTITUTE(SUBSTITUTE(SUBSTITUTE(C5," ",""),"0",""),"-","")) ),1,0))+IF(UPPER(D6)="X",0,IF((LEN(SUBSTITUTE(SUBSTITUTE(SUBSTITUTE(E6," ",""),"0",""),"-","")) +LEN(SUBSTITUTE(SUBSTITUTE(SUBSTITUTE(F6," ",""),"0",""),"-","")) )&gt;(LEN(SUBSTITUTE(SUBSTITUTE(SUBSTITUTE(B6," ",""),"0",""),"-","")) +LEN(SUBSTITUTE(SUBSTITUTE(SUBSTITUTE(C6," ",""),"0",""),"-","")) ),1,0))+IF(UPPER(D7)="X",0,IF((LEN(SUBSTITUTE(SUBSTITUTE(SUBSTITUTE(E7," ",""),"0",""),"-","")) +LEN(SUBSTITUTE(SUBSTITUTE(SUBSTITUTE(F7," ",""),"0",""),"-","")) )&gt;(LEN(SUBSTITUTE(SUBSTITUTE(SUBSTITUTE(B7," ",""),"0",""),"-","")) +LEN(SUBSTITUTE(SUBSTITUTE(SUBSTITUTE(C7," ",""),"0",""),"-","")) ),1,0))+IF(UPPER(D8)="X",0,IF((LEN(SUBSTITUTE(SUBSTITUTE(SUBSTITUTE(E8," ",""),"0",""),"-","")) +LEN(SUBSTITUTE(SUBSTITUTE(SUBSTITUTE(F8," ",""),"0",""),"-","")) )&gt;(LEN(SUBSTITUTE(SUBSTITUTE(SUBSTITUTE(B8," ",""),"0",""),"-","")) +LEN(SUBSTITUTE(SUBSTITUTE(SUBSTITUTE(C8," ",""),"0",""),"-","")) ),1,0))+IF(UPPER(D9)="X",0,IF((LEN(SUBSTITUTE(SUBSTITUTE(SUBSTITUTE(E9," ",""),"0",""),"-","")) +LEN(SUBSTITUTE(SUBSTITUTE(SUBSTITUTE(F9," ",""),"0",""),"-","")) )&gt;(LEN(SUBSTITUTE(SUBSTITUTE(SUBSTITUTE(B9," ",""),"0",""),"-","")) +LEN(SUBSTITUTE(SUBSTITUTE(SUBSTITUTE(C9," ",""),"0",""),"-","")) ),1,0))</f>
      </c>
      <c r="G4" s="14" t="str">
        <f>'data'!$B$3</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8">
      <c r="A8" s="14">
        <v>4</v>
      </c>
      <c r="B8" s="18"/>
      <c r="C8" s="18"/>
      <c r="D8" s="18"/>
      <c r="E8" s="18"/>
      <c r="F8" s="18"/>
      <c r="G8" s="14">
        <v>4</v>
      </c>
    </row>
    <row r="9">
      <c r="A9" s="14">
        <v>5</v>
      </c>
      <c r="B9" s="18"/>
      <c r="C9" s="18"/>
      <c r="D9" s="18"/>
      <c r="E9" s="18"/>
      <c r="F9" s="18"/>
      <c r="G9" s="14">
        <v>5</v>
      </c>
    </row>
    <row r="11">
      <c r="A11" s="17" t="s">
        <v>21</v>
      </c>
      <c r="B11" s="14"/>
      <c r="C11" s="14"/>
      <c r="D11" s="14" t="s">
        <v>22</v>
      </c>
      <c r="E11" s="14"/>
      <c r="F11" s="14"/>
      <c r="G11" s="16" t="s">
        <v>23</v>
      </c>
    </row>
    <row r="12">
      <c r="A12" s="14" t="str">
        <f>'data'!$B$5</f>
      </c>
      <c r="B12" s="14" t="str">
        <f>IF(UPPER(D13)="X",0,IF((LEN(SUBSTITUTE(SUBSTITUTE(SUBSTITUTE(B13," ",""),"0",""),"-","")) +LEN(SUBSTITUTE(SUBSTITUTE(SUBSTITUTE(C13," ",""),"0",""),"-","")) )&gt;(LEN(SUBSTITUTE(SUBSTITUTE(SUBSTITUTE(E13," ",""),"0",""),"-","")) +LEN(SUBSTITUTE(SUBSTITUTE(SUBSTITUTE(F13," ",""),"0",""),"-","")) ),1,0))+IF(UPPER(D14)="X",0,IF((LEN(SUBSTITUTE(SUBSTITUTE(SUBSTITUTE(B14," ",""),"0",""),"-","")) +LEN(SUBSTITUTE(SUBSTITUTE(SUBSTITUTE(C14," ",""),"0",""),"-","")) )&gt;(LEN(SUBSTITUTE(SUBSTITUTE(SUBSTITUTE(E14," ",""),"0",""),"-","")) +LEN(SUBSTITUTE(SUBSTITUTE(SUBSTITUTE(F14," ",""),"0",""),"-","")) ),1,0))+IF(UPPER(D15)="X",0,IF((LEN(SUBSTITUTE(SUBSTITUTE(SUBSTITUTE(B15," ",""),"0",""),"-","")) +LEN(SUBSTITUTE(SUBSTITUTE(SUBSTITUTE(C15," ",""),"0",""),"-","")) )&gt;(LEN(SUBSTITUTE(SUBSTITUTE(SUBSTITUTE(E15," ",""),"0",""),"-","")) +LEN(SUBSTITUTE(SUBSTITUTE(SUBSTITUTE(F15," ",""),"0",""),"-","")) ),1,0))+IF(UPPER(D16)="X",0,IF((LEN(SUBSTITUTE(SUBSTITUTE(SUBSTITUTE(B16," ",""),"0",""),"-","")) +LEN(SUBSTITUTE(SUBSTITUTE(SUBSTITUTE(C16," ",""),"0",""),"-","")) )&gt;(LEN(SUBSTITUTE(SUBSTITUTE(SUBSTITUTE(E16," ",""),"0",""),"-","")) +LEN(SUBSTITUTE(SUBSTITUTE(SUBSTITUTE(F16," ",""),"0",""),"-","")) ),1,0))+IF(UPPER(D17)="X",0,IF((LEN(SUBSTITUTE(SUBSTITUTE(SUBSTITUTE(B17," ",""),"0",""),"-","")) +LEN(SUBSTITUTE(SUBSTITUTE(SUBSTITUTE(C17," ",""),"0",""),"-","")) )&gt;(LEN(SUBSTITUTE(SUBSTITUTE(SUBSTITUTE(E17," ",""),"0",""),"-","")) +LEN(SUBSTITUTE(SUBSTITUTE(SUBSTITUTE(F17," ",""),"0",""),"-","")) ),1,0))</f>
      </c>
      <c r="C12" s="14" t="str">
        <f>LEN(SUBSTITUTE(SUBSTITUTE(SUBSTITUTE(B13," ",""),"0",""),"-","")) +LEN(SUBSTITUTE(SUBSTITUTE(SUBSTITUTE(C13," ",""),"0",""),"-","")) +LEN(SUBSTITUTE(SUBSTITUTE(SUBSTITUTE(B14," ",""),"0",""),"-","")) +LEN(SUBSTITUTE(SUBSTITUTE(SUBSTITUTE(C14," ",""),"0",""),"-","")) +LEN(SUBSTITUTE(SUBSTITUTE(SUBSTITUTE(B15," ",""),"0",""),"-","")) +LEN(SUBSTITUTE(SUBSTITUTE(SUBSTITUTE(C15," ",""),"0",""),"-","")) +LEN(SUBSTITUTE(SUBSTITUTE(SUBSTITUTE(B16," ",""),"0",""),"-","")) +LEN(SUBSTITUTE(SUBSTITUTE(SUBSTITUTE(C16," ",""),"0",""),"-","")) +LEN(SUBSTITUTE(SUBSTITUTE(SUBSTITUTE(B17," ",""),"0",""),"-","")) +LEN(SUBSTITUTE(SUBSTITUTE(SUBSTITUTE(C17," ",""),"0",""),"-","")) </f>
      </c>
      <c r="D12" s="18"/>
      <c r="E12" s="14" t="str">
        <f>LEN(SUBSTITUTE(SUBSTITUTE(SUBSTITUTE(E13," ",""),"0",""),"-","")) +LEN(SUBSTITUTE(SUBSTITUTE(SUBSTITUTE(F13," ",""),"0",""),"-","")) +LEN(SUBSTITUTE(SUBSTITUTE(SUBSTITUTE(E14," ",""),"0",""),"-","")) +LEN(SUBSTITUTE(SUBSTITUTE(SUBSTITUTE(F14," ",""),"0",""),"-","")) +LEN(SUBSTITUTE(SUBSTITUTE(SUBSTITUTE(E15," ",""),"0",""),"-","")) +LEN(SUBSTITUTE(SUBSTITUTE(SUBSTITUTE(F15," ",""),"0",""),"-","")) +LEN(SUBSTITUTE(SUBSTITUTE(SUBSTITUTE(E16," ",""),"0",""),"-","")) +LEN(SUBSTITUTE(SUBSTITUTE(SUBSTITUTE(F16," ",""),"0",""),"-","")) +LEN(SUBSTITUTE(SUBSTITUTE(SUBSTITUTE(E17," ",""),"0",""),"-","")) +LEN(SUBSTITUTE(SUBSTITUTE(SUBSTITUTE(F17," ",""),"0",""),"-","")) </f>
      </c>
      <c r="F12" s="14" t="str">
        <f>IF(UPPER(D13)="X",0,IF((LEN(SUBSTITUTE(SUBSTITUTE(SUBSTITUTE(E13," ",""),"0",""),"-","")) +LEN(SUBSTITUTE(SUBSTITUTE(SUBSTITUTE(F13," ",""),"0",""),"-","")) )&gt;(LEN(SUBSTITUTE(SUBSTITUTE(SUBSTITUTE(B13," ",""),"0",""),"-","")) +LEN(SUBSTITUTE(SUBSTITUTE(SUBSTITUTE(C13," ",""),"0",""),"-","")) ),1,0))+IF(UPPER(D14)="X",0,IF((LEN(SUBSTITUTE(SUBSTITUTE(SUBSTITUTE(E14," ",""),"0",""),"-","")) +LEN(SUBSTITUTE(SUBSTITUTE(SUBSTITUTE(F14," ",""),"0",""),"-","")) )&gt;(LEN(SUBSTITUTE(SUBSTITUTE(SUBSTITUTE(B14," ",""),"0",""),"-","")) +LEN(SUBSTITUTE(SUBSTITUTE(SUBSTITUTE(C14," ",""),"0",""),"-","")) ),1,0))+IF(UPPER(D15)="X",0,IF((LEN(SUBSTITUTE(SUBSTITUTE(SUBSTITUTE(E15," ",""),"0",""),"-","")) +LEN(SUBSTITUTE(SUBSTITUTE(SUBSTITUTE(F15," ",""),"0",""),"-","")) )&gt;(LEN(SUBSTITUTE(SUBSTITUTE(SUBSTITUTE(B15," ",""),"0",""),"-","")) +LEN(SUBSTITUTE(SUBSTITUTE(SUBSTITUTE(C15," ",""),"0",""),"-","")) ),1,0))+IF(UPPER(D16)="X",0,IF((LEN(SUBSTITUTE(SUBSTITUTE(SUBSTITUTE(E16," ",""),"0",""),"-","")) +LEN(SUBSTITUTE(SUBSTITUTE(SUBSTITUTE(F16," ",""),"0",""),"-","")) )&gt;(LEN(SUBSTITUTE(SUBSTITUTE(SUBSTITUTE(B16," ",""),"0",""),"-","")) +LEN(SUBSTITUTE(SUBSTITUTE(SUBSTITUTE(C16," ",""),"0",""),"-","")) ),1,0))+IF(UPPER(D17)="X",0,IF((LEN(SUBSTITUTE(SUBSTITUTE(SUBSTITUTE(E17," ",""),"0",""),"-","")) +LEN(SUBSTITUTE(SUBSTITUTE(SUBSTITUTE(F17," ",""),"0",""),"-","")) )&gt;(LEN(SUBSTITUTE(SUBSTITUTE(SUBSTITUTE(B17," ",""),"0",""),"-","")) +LEN(SUBSTITUTE(SUBSTITUTE(SUBSTITUTE(C17," ",""),"0",""),"-","")) ),1,0))</f>
      </c>
      <c r="G12" s="14" t="str">
        <f>'data'!$B$3</f>
      </c>
    </row>
    <row r="13">
      <c r="A13" s="14">
        <v>1</v>
      </c>
      <c r="B13" s="18"/>
      <c r="C13" s="18"/>
      <c r="D13" s="18"/>
      <c r="E13" s="18"/>
      <c r="F13" s="18"/>
      <c r="G13" s="14">
        <v>1</v>
      </c>
    </row>
    <row r="14">
      <c r="A14" s="14">
        <v>2</v>
      </c>
      <c r="B14" s="18"/>
      <c r="C14" s="18"/>
      <c r="D14" s="18"/>
      <c r="E14" s="18"/>
      <c r="F14" s="18"/>
      <c r="G14" s="14">
        <v>2</v>
      </c>
    </row>
    <row r="15">
      <c r="A15" s="14">
        <v>3</v>
      </c>
      <c r="B15" s="18"/>
      <c r="C15" s="18"/>
      <c r="D15" s="18"/>
      <c r="E15" s="18"/>
      <c r="F15" s="18"/>
      <c r="G15" s="14">
        <v>3</v>
      </c>
    </row>
    <row r="16">
      <c r="A16" s="14">
        <v>4</v>
      </c>
      <c r="B16" s="18"/>
      <c r="C16" s="18"/>
      <c r="D16" s="18"/>
      <c r="E16" s="18"/>
      <c r="F16" s="18"/>
      <c r="G16" s="14">
        <v>4</v>
      </c>
    </row>
    <row r="17">
      <c r="A17" s="14">
        <v>5</v>
      </c>
      <c r="B17" s="18"/>
      <c r="C17" s="18"/>
      <c r="D17" s="18"/>
      <c r="E17" s="18"/>
      <c r="F17" s="18"/>
      <c r="G17" s="14">
        <v>5</v>
      </c>
    </row>
    <row r="19">
      <c r="A19" s="17" t="s">
        <v>21</v>
      </c>
      <c r="B19" s="14"/>
      <c r="C19" s="14"/>
      <c r="D19" s="14" t="s">
        <v>22</v>
      </c>
      <c r="E19" s="14"/>
      <c r="F19" s="14"/>
      <c r="G19" s="16" t="s">
        <v>23</v>
      </c>
    </row>
    <row r="20">
      <c r="A20" s="14" t="str">
        <f>'data'!$B$5</f>
      </c>
      <c r="B20" s="14" t="str">
        <f>IF(UPPER(D21)="X",0,IF((LEN(SUBSTITUTE(SUBSTITUTE(SUBSTITUTE(B21," ",""),"0",""),"-","")) +LEN(SUBSTITUTE(SUBSTITUTE(SUBSTITUTE(C21," ",""),"0",""),"-","")) )&gt;(LEN(SUBSTITUTE(SUBSTITUTE(SUBSTITUTE(E21," ",""),"0",""),"-","")) +LEN(SUBSTITUTE(SUBSTITUTE(SUBSTITUTE(F21," ",""),"0",""),"-","")) ),1,0))+IF(UPPER(D22)="X",0,IF((LEN(SUBSTITUTE(SUBSTITUTE(SUBSTITUTE(B22," ",""),"0",""),"-","")) +LEN(SUBSTITUTE(SUBSTITUTE(SUBSTITUTE(C22," ",""),"0",""),"-","")) )&gt;(LEN(SUBSTITUTE(SUBSTITUTE(SUBSTITUTE(E22," ",""),"0",""),"-","")) +LEN(SUBSTITUTE(SUBSTITUTE(SUBSTITUTE(F22," ",""),"0",""),"-","")) ),1,0))+IF(UPPER(D23)="X",0,IF((LEN(SUBSTITUTE(SUBSTITUTE(SUBSTITUTE(B23," ",""),"0",""),"-","")) +LEN(SUBSTITUTE(SUBSTITUTE(SUBSTITUTE(C23," ",""),"0",""),"-","")) )&gt;(LEN(SUBSTITUTE(SUBSTITUTE(SUBSTITUTE(E23," ",""),"0",""),"-","")) +LEN(SUBSTITUTE(SUBSTITUTE(SUBSTITUTE(F23," ",""),"0",""),"-","")) ),1,0))+IF(UPPER(D24)="X",0,IF((LEN(SUBSTITUTE(SUBSTITUTE(SUBSTITUTE(B24," ",""),"0",""),"-","")) +LEN(SUBSTITUTE(SUBSTITUTE(SUBSTITUTE(C24," ",""),"0",""),"-","")) )&gt;(LEN(SUBSTITUTE(SUBSTITUTE(SUBSTITUTE(E24," ",""),"0",""),"-","")) +LEN(SUBSTITUTE(SUBSTITUTE(SUBSTITUTE(F24," ",""),"0",""),"-","")) ),1,0))+IF(UPPER(D25)="X",0,IF((LEN(SUBSTITUTE(SUBSTITUTE(SUBSTITUTE(B25," ",""),"0",""),"-","")) +LEN(SUBSTITUTE(SUBSTITUTE(SUBSTITUTE(C25," ",""),"0",""),"-","")) )&gt;(LEN(SUBSTITUTE(SUBSTITUTE(SUBSTITUTE(E25," ",""),"0",""),"-","")) +LEN(SUBSTITUTE(SUBSTITUTE(SUBSTITUTE(F25," ",""),"0",""),"-","")) ),1,0))</f>
      </c>
      <c r="C20" s="14" t="str">
        <f>LEN(SUBSTITUTE(SUBSTITUTE(SUBSTITUTE(B21," ",""),"0",""),"-","")) +LEN(SUBSTITUTE(SUBSTITUTE(SUBSTITUTE(C21," ",""),"0",""),"-","")) +LEN(SUBSTITUTE(SUBSTITUTE(SUBSTITUTE(B22," ",""),"0",""),"-","")) +LEN(SUBSTITUTE(SUBSTITUTE(SUBSTITUTE(C22," ",""),"0",""),"-","")) +LEN(SUBSTITUTE(SUBSTITUTE(SUBSTITUTE(B23," ",""),"0",""),"-","")) +LEN(SUBSTITUTE(SUBSTITUTE(SUBSTITUTE(C23," ",""),"0",""),"-","")) +LEN(SUBSTITUTE(SUBSTITUTE(SUBSTITUTE(B24," ",""),"0",""),"-","")) +LEN(SUBSTITUTE(SUBSTITUTE(SUBSTITUTE(C24," ",""),"0",""),"-","")) +LEN(SUBSTITUTE(SUBSTITUTE(SUBSTITUTE(B25," ",""),"0",""),"-","")) +LEN(SUBSTITUTE(SUBSTITUTE(SUBSTITUTE(C25," ",""),"0",""),"-","")) </f>
      </c>
      <c r="D20" s="18"/>
      <c r="E20" s="14" t="str">
        <f>LEN(SUBSTITUTE(SUBSTITUTE(SUBSTITUTE(E21," ",""),"0",""),"-","")) +LEN(SUBSTITUTE(SUBSTITUTE(SUBSTITUTE(F21," ",""),"0",""),"-","")) +LEN(SUBSTITUTE(SUBSTITUTE(SUBSTITUTE(E22," ",""),"0",""),"-","")) +LEN(SUBSTITUTE(SUBSTITUTE(SUBSTITUTE(F22," ",""),"0",""),"-","")) +LEN(SUBSTITUTE(SUBSTITUTE(SUBSTITUTE(E23," ",""),"0",""),"-","")) +LEN(SUBSTITUTE(SUBSTITUTE(SUBSTITUTE(F23," ",""),"0",""),"-","")) +LEN(SUBSTITUTE(SUBSTITUTE(SUBSTITUTE(E24," ",""),"0",""),"-","")) +LEN(SUBSTITUTE(SUBSTITUTE(SUBSTITUTE(F24," ",""),"0",""),"-","")) +LEN(SUBSTITUTE(SUBSTITUTE(SUBSTITUTE(E25," ",""),"0",""),"-","")) +LEN(SUBSTITUTE(SUBSTITUTE(SUBSTITUTE(F25," ",""),"0",""),"-","")) </f>
      </c>
      <c r="F20" s="14" t="str">
        <f>IF(UPPER(D21)="X",0,IF((LEN(SUBSTITUTE(SUBSTITUTE(SUBSTITUTE(E21," ",""),"0",""),"-","")) +LEN(SUBSTITUTE(SUBSTITUTE(SUBSTITUTE(F21," ",""),"0",""),"-","")) )&gt;(LEN(SUBSTITUTE(SUBSTITUTE(SUBSTITUTE(B21," ",""),"0",""),"-","")) +LEN(SUBSTITUTE(SUBSTITUTE(SUBSTITUTE(C21," ",""),"0",""),"-","")) ),1,0))+IF(UPPER(D22)="X",0,IF((LEN(SUBSTITUTE(SUBSTITUTE(SUBSTITUTE(E22," ",""),"0",""),"-","")) +LEN(SUBSTITUTE(SUBSTITUTE(SUBSTITUTE(F22," ",""),"0",""),"-","")) )&gt;(LEN(SUBSTITUTE(SUBSTITUTE(SUBSTITUTE(B22," ",""),"0",""),"-","")) +LEN(SUBSTITUTE(SUBSTITUTE(SUBSTITUTE(C22," ",""),"0",""),"-","")) ),1,0))+IF(UPPER(D23)="X",0,IF((LEN(SUBSTITUTE(SUBSTITUTE(SUBSTITUTE(E23," ",""),"0",""),"-","")) +LEN(SUBSTITUTE(SUBSTITUTE(SUBSTITUTE(F23," ",""),"0",""),"-","")) )&gt;(LEN(SUBSTITUTE(SUBSTITUTE(SUBSTITUTE(B23," ",""),"0",""),"-","")) +LEN(SUBSTITUTE(SUBSTITUTE(SUBSTITUTE(C23," ",""),"0",""),"-","")) ),1,0))+IF(UPPER(D24)="X",0,IF((LEN(SUBSTITUTE(SUBSTITUTE(SUBSTITUTE(E24," ",""),"0",""),"-","")) +LEN(SUBSTITUTE(SUBSTITUTE(SUBSTITUTE(F24," ",""),"0",""),"-","")) )&gt;(LEN(SUBSTITUTE(SUBSTITUTE(SUBSTITUTE(B24," ",""),"0",""),"-","")) +LEN(SUBSTITUTE(SUBSTITUTE(SUBSTITUTE(C24," ",""),"0",""),"-","")) ),1,0))+IF(UPPER(D25)="X",0,IF((LEN(SUBSTITUTE(SUBSTITUTE(SUBSTITUTE(E25," ",""),"0",""),"-","")) +LEN(SUBSTITUTE(SUBSTITUTE(SUBSTITUTE(F25," ",""),"0",""),"-","")) )&gt;(LEN(SUBSTITUTE(SUBSTITUTE(SUBSTITUTE(B25," ",""),"0",""),"-","")) +LEN(SUBSTITUTE(SUBSTITUTE(SUBSTITUTE(C25," ",""),"0",""),"-","")) ),1,0))</f>
      </c>
      <c r="G20" s="14" t="str">
        <f>'data'!$B$4</f>
      </c>
    </row>
    <row r="21">
      <c r="A21" s="14">
        <v>1</v>
      </c>
      <c r="B21" s="18"/>
      <c r="C21" s="18"/>
      <c r="D21" s="18"/>
      <c r="E21" s="18"/>
      <c r="F21" s="18"/>
      <c r="G21" s="14">
        <v>1</v>
      </c>
    </row>
    <row r="22">
      <c r="A22" s="14">
        <v>2</v>
      </c>
      <c r="B22" s="18"/>
      <c r="C22" s="18"/>
      <c r="D22" s="18"/>
      <c r="E22" s="18"/>
      <c r="F22" s="18"/>
      <c r="G22" s="14">
        <v>2</v>
      </c>
    </row>
    <row r="23">
      <c r="A23" s="14">
        <v>3</v>
      </c>
      <c r="B23" s="18"/>
      <c r="C23" s="18"/>
      <c r="D23" s="18"/>
      <c r="E23" s="18"/>
      <c r="F23" s="18"/>
      <c r="G23" s="14">
        <v>3</v>
      </c>
    </row>
    <row r="24">
      <c r="A24" s="14">
        <v>4</v>
      </c>
      <c r="B24" s="18"/>
      <c r="C24" s="18"/>
      <c r="D24" s="18"/>
      <c r="E24" s="18"/>
      <c r="F24" s="18"/>
      <c r="G24" s="14">
        <v>4</v>
      </c>
    </row>
    <row r="25">
      <c r="A25" s="14">
        <v>5</v>
      </c>
      <c r="B25" s="18"/>
      <c r="C25" s="18"/>
      <c r="D25" s="18"/>
      <c r="E25" s="18"/>
      <c r="F25" s="18"/>
      <c r="G25" s="14">
        <v>5</v>
      </c>
    </row>
    <row r="28">
      <c r="A28" s="13" t="s">
        <v>24</v>
      </c>
      <c r="B28" s="13" t="s">
        <v>25</v>
      </c>
      <c r="C28" s="13" t="s">
        <v>26</v>
      </c>
      <c r="D28" s="13" t="s">
        <v>27</v>
      </c>
      <c r="E28" s="13"/>
      <c r="F28" s="13"/>
      <c r="G28" s="13" t="s">
        <v>28</v>
      </c>
    </row>
    <row r="29">
      <c r="A29" s="14" t="str">
        <f>'data'!$B$3</f>
      </c>
      <c r="B29" s="14" t="str">
        <f>IF(OR(COUNTA(B5:C9,E5:F9)&gt;0,D5="X",D5="x",D6="X",D6="x",D7="X",D7="x",D8="X",D8="x",D9="X",D9="x",OR(D4="X",D4="x")),IF(OR(OR(D4="X",D4="x"),AND(B4=F4,C4=E4)),0,IF(OR(F4&gt;B4,AND(F4=B4,E4&gt;C4)),1,0)),0)+IF(OR(COUNTA(B13:C17,E13:F17)&gt;0,D13="X",D13="x",D14="X",D14="x",D15="X",D15="x",D16="X",D16="x",D17="X",D17="x",OR(D12="X",D12="x")),IF(OR(OR(D12="X",D12="x"),AND(B12=F12,C12=E12)),0,IF(OR(F12&gt;B12,AND(F12=B12,E12&gt;C12)),1,0)),0)</f>
      </c>
      <c r="C29" s="14" t="str">
        <f>IF(OR(COUNTA(B5:C9,E5:F9)&gt;0,D5="X",D5="x",D6="X",D6="x",D7="X",D7="x",D8="X",D8="x",D9="X",D9="x",OR(D4="X",D4="x")),IF(OR(OR(D4="X",D4="x"),AND(B4=F4,C4=E4)),0,IF(OR(F4&lt;B4,AND(F4=B4,E4&lt;C4)),1,0)),0)+IF(OR(COUNTA(B13:C17,E13:F17)&gt;0,D13="X",D13="x",D14="X",D14="x",D15="X",D15="x",D16="X",D16="x",D17="X",D17="x",OR(D12="X",D12="x")),IF(OR(OR(D12="X",D12="x"),AND(B12=F12,C12=E12)),0,IF(OR(F12&lt;B12,AND(F12=B12,E12&lt;C12)),1,0)),0)</f>
      </c>
      <c r="D29" s="14" t="str">
        <f>IF(OR(COUNTA(B5:C9,E5:F9)&gt;0,D5="X",D5="x",D6="X",D6="x",D7="X",D7="x",D8="X",D8="x",D9="X",D9="x",OR(D4="X",D4="x")),IF(OR(OR(D4="X",D4="x"),AND(B4=F4,C4=E4)),1,0),0)+IF(OR(COUNTA(B13:C17,E13:F17)&gt;0,D13="X",D13="x",D14="X",D14="x",D15="X",D15="x",D16="X",D16="x",D17="X",D17="x",OR(D12="X",D12="x")),IF(OR(OR(D12="X",D12="x"),AND(B12=F12,C12=E12)),1,0),0)</f>
      </c>
      <c r="G29" s="18" t="str">
        <f>RANK(U29,$U$29:$U$31)+COUNTIF($U$28:U28,U29)</f>
      </c>
      <c r="U29" t="str">
        <f>(B29*1000000000)-(C29*10000000)+(D29*100000)+(B34*1000)-(C34*100)+(D34*10)+(E34*1)-(F34*0.01)</f>
      </c>
    </row>
    <row r="30">
      <c r="A30" s="14" t="str">
        <f>'data'!$B$4</f>
      </c>
      <c r="B30" s="14" t="str">
        <f>IF(OR(COUNTA(B5:C9,E5:F9)&gt;0,D5="X",D5="x",D6="X",D6="x",D7="X",D7="x",D8="X",D8="x",D9="X",D9="x",OR(D4="X",D4="x")),IF(OR(OR(D4="X",D4="x"),AND(B4=F4,C4=E4)),0,IF(OR(B4&gt;F4,AND(B4=F4,C4&gt;E4)),1,0)),0)+IF(OR(COUNTA(B21:C25,E21:F25)&gt;0,D21="X",D21="x",D22="X",D22="x",D23="X",D23="x",D24="X",D24="x",D25="X",D25="x",OR(D20="X",D20="x")),IF(OR(OR(D20="X",D20="x"),AND(B20=F20,C20=E20)),0,IF(OR(F20&gt;B20,AND(F20=B20,E20&gt;C20)),1,0)),0)</f>
      </c>
      <c r="C30" s="14" t="str">
        <f>IF(OR(COUNTA(B5:C9,E5:F9)&gt;0,D5="X",D5="x",D6="X",D6="x",D7="X",D7="x",D8="X",D8="x",D9="X",D9="x",OR(D4="X",D4="x")),IF(OR(OR(D4="X",D4="x"),AND(B4=F4,C4=E4)),0,IF(OR(B4&lt;F4,AND(B4=F4,C4&lt;E4)),1,0)),0)+IF(OR(COUNTA(B21:C25,E21:F25)&gt;0,D21="X",D21="x",D22="X",D22="x",D23="X",D23="x",D24="X",D24="x",D25="X",D25="x",OR(D20="X",D20="x")),IF(OR(OR(D20="X",D20="x"),AND(B20=F20,C20=E20)),0,IF(OR(F20&lt;B20,AND(F20=B20,E20&lt;C20)),1,0)),0)</f>
      </c>
      <c r="D30" s="14" t="str">
        <f>IF(OR(COUNTA(B5:C9,E5:F9)&gt;0,D5="X",D5="x",D6="X",D6="x",D7="X",D7="x",D8="X",D8="x",D9="X",D9="x",OR(D4="X",D4="x")),IF(OR(OR(D4="X",D4="x"),AND(B4=F4,C4=E4)),1,0),0)+IF(OR(COUNTA(B21:C25,E21:F25)&gt;0,D21="X",D21="x",D22="X",D22="x",D23="X",D23="x",D24="X",D24="x",D25="X",D25="x",OR(D20="X",D20="x")),IF(OR(OR(D20="X",D20="x"),AND(B20=F20,C20=E20)),1,0),0)</f>
      </c>
      <c r="G30" s="18" t="str">
        <f>RANK(U30,$U$29:$U$31)+COUNTIF($U$28:U29,U30)</f>
      </c>
      <c r="U30" t="str">
        <f>(B30*1000000000)-(C30*10000000)+(D30*100000)+(B35*1000)-(C35*100)+(D35*10)+(E35*1)-(F35*0.01)</f>
      </c>
    </row>
    <row r="31">
      <c r="A31" s="14" t="str">
        <f>'data'!$B$5</f>
      </c>
      <c r="B31" s="14" t="str">
        <f>IF(OR(COUNTA(B13:C17,E13:F17)&gt;0,D13="X",D13="x",D14="X",D14="x",D15="X",D15="x",D16="X",D16="x",D17="X",D17="x",OR(D12="X",D12="x")),IF(OR(OR(D12="X",D12="x"),AND(B12=F12,C12=E12)),0,IF(OR(B12&gt;F12,AND(B12=F12,C12&gt;E12)),1,0)),0)+IF(OR(COUNTA(B21:C25,E21:F25)&gt;0,D21="X",D21="x",D22="X",D22="x",D23="X",D23="x",D24="X",D24="x",D25="X",D25="x",OR(D20="X",D20="x")),IF(OR(OR(D20="X",D20="x"),AND(B20=F20,C20=E20)),0,IF(OR(B20&gt;F20,AND(B20=F20,C20&gt;E20)),1,0)),0)</f>
      </c>
      <c r="C31" s="14" t="str">
        <f>IF(OR(COUNTA(B13:C17,E13:F17)&gt;0,D13="X",D13="x",D14="X",D14="x",D15="X",D15="x",D16="X",D16="x",D17="X",D17="x",OR(D12="X",D12="x")),IF(OR(OR(D12="X",D12="x"),AND(B12=F12,C12=E12)),0,IF(OR(B12&lt;F12,AND(B12=F12,C12&lt;E12)),1,0)),0)+IF(OR(COUNTA(B21:C25,E21:F25)&gt;0,D21="X",D21="x",D22="X",D22="x",D23="X",D23="x",D24="X",D24="x",D25="X",D25="x",OR(D20="X",D20="x")),IF(OR(OR(D20="X",D20="x"),AND(B20=F20,C20=E20)),0,IF(OR(B20&lt;F20,AND(B20=F20,C20&lt;E20)),1,0)),0)</f>
      </c>
      <c r="D31" s="14" t="str">
        <f>IF(OR(COUNTA(B13:C17,E13:F17)&gt;0,D13="X",D13="x",D14="X",D14="x",D15="X",D15="x",D16="X",D16="x",D17="X",D17="x",OR(D12="X",D12="x")),IF(OR(OR(D12="X",D12="x"),AND(B12=F12,C12=E12)),1,0),0)+IF(OR(COUNTA(B21:C25,E21:F25)&gt;0,D21="X",D21="x",D22="X",D22="x",D23="X",D23="x",D24="X",D24="x",D25="X",D25="x",OR(D20="X",D20="x")),IF(OR(OR(D20="X",D20="x"),AND(B20=F20,C20=E20)),1,0),0)</f>
      </c>
      <c r="G31" s="18" t="str">
        <f>RANK(U31,$U$29:$U$31)+COUNTIF($U$28:U30,U31)</f>
      </c>
      <c r="U31" t="str">
        <f>(B31*1000000000)-(C31*10000000)+(D31*100000)+(B36*1000)-(C36*100)+(D36*10)+(E36*1)-(F36*0.01)</f>
      </c>
    </row>
    <row r="33">
      <c r="A33" s="13"/>
      <c r="B33" s="13" t="s">
        <v>29</v>
      </c>
      <c r="C33" s="13" t="s">
        <v>30</v>
      </c>
      <c r="D33" s="13" t="s">
        <v>31</v>
      </c>
      <c r="E33" s="13" t="s">
        <v>32</v>
      </c>
      <c r="F33" s="13" t="s">
        <v>33</v>
      </c>
    </row>
    <row r="34">
      <c r="A34" s="14" t="str">
        <f>'data'!$B$3</f>
      </c>
      <c r="B34" s="14" t="str">
        <f>IF(OR(COUNTA(B5:C9,E5:F9)&gt;0,OR(D4="X",D4="x"),UPPER(D5)="X",UPPER(D6)="X",UPPER(D7)="X",UPPER(D8)="X",UPPER(D9)="X"),F4,0)+IF(OR(COUNTA(B13:C17,E13:F17)&gt;0,OR(D12="X",D12="x"),UPPER(D13)="X",UPPER(D14)="X",UPPER(D15)="X",UPPER(D16)="X",UPPER(D17)="X"),F12,0)</f>
      </c>
      <c r="C34" s="14" t="str">
        <f>IF(OR(COUNTA(B5:C9,E5:F9)&gt;0,OR(D4="X",D4="x"),UPPER(D5)="X",UPPER(D6)="X",UPPER(D7)="X",UPPER(D8)="X",UPPER(D9)="X"),B4,0)+IF(OR(COUNTA(B13:C17,E13:F17)&gt;0,OR(D12="X",D12="x"),UPPER(D13)="X",UPPER(D14)="X",UPPER(D15)="X",UPPER(D16)="X",UPPER(D17)="X"),B12,0)</f>
      </c>
      <c r="D3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34" s="14" t="str">
        <f>E4+E12</f>
      </c>
      <c r="F34" s="14" t="str">
        <f>C4+C12</f>
      </c>
    </row>
    <row r="35">
      <c r="A35" s="14" t="str">
        <f>'data'!$B$4</f>
      </c>
      <c r="B35" s="14" t="str">
        <f>IF(OR(COUNTA(B5:C9,E5:F9)&gt;0,OR(D4="X",D4="x"),UPPER(D5)="X",UPPER(D6)="X",UPPER(D7)="X",UPPER(D8)="X",UPPER(D9)="X"),B4,0)+IF(OR(COUNTA(B21:C25,E21:F25)&gt;0,OR(D20="X",D20="x"),UPPER(D21)="X",UPPER(D22)="X",UPPER(D23)="X",UPPER(D24)="X",UPPER(D25)="X"),F20,0)</f>
      </c>
      <c r="C35" s="14" t="str">
        <f>IF(OR(COUNTA(B5:C9,E5:F9)&gt;0,OR(D4="X",D4="x"),UPPER(D5)="X",UPPER(D6)="X",UPPER(D7)="X",UPPER(D8)="X",UPPER(D9)="X"),F4,0)+IF(OR(COUNTA(B21:C25,E21:F25)&gt;0,OR(D20="X",D20="x"),UPPER(D21)="X",UPPER(D22)="X",UPPER(D23)="X",UPPER(D24)="X",UPPER(D25)="X"),B20,0)</f>
      </c>
      <c r="D35"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5" s="14" t="str">
        <f>C4+E20</f>
      </c>
      <c r="F35" s="14" t="str">
        <f>E4+C20</f>
      </c>
    </row>
    <row r="36">
      <c r="A36" s="14" t="str">
        <f>'data'!$B$5</f>
      </c>
      <c r="B36" s="14" t="str">
        <f>IF(OR(COUNTA(B13:C17,E13:F17)&gt;0,OR(D12="X",D12="x"),UPPER(D13)="X",UPPER(D14)="X",UPPER(D15)="X",UPPER(D16)="X",UPPER(D17)="X"),B12,0)+IF(OR(COUNTA(B21:C25,E21:F25)&gt;0,OR(D20="X",D20="x"),UPPER(D21)="X",UPPER(D22)="X",UPPER(D23)="X",UPPER(D24)="X",UPPER(D25)="X"),B20,0)</f>
      </c>
      <c r="C36" s="14" t="str">
        <f>IF(OR(COUNTA(B13:C17,E13:F17)&gt;0,OR(D12="X",D12="x"),UPPER(D13)="X",UPPER(D14)="X",UPPER(D15)="X",UPPER(D16)="X",UPPER(D17)="X"),F12,0)+IF(OR(COUNTA(B21:C25,E21:F25)&gt;0,OR(D20="X",D20="x"),UPPER(D21)="X",UPPER(D22)="X",UPPER(D23)="X",UPPER(D24)="X",UPPER(D25)="X"),F20,0)</f>
      </c>
      <c r="D36"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6" s="14" t="str">
        <f>C12+C20</f>
      </c>
      <c r="F36" s="14" t="str">
        <f>E12+E20</f>
      </c>
    </row>
    <row r="39">
      <c r="F39" s="13"/>
      <c r="G39" s="13" t="s">
        <v>34</v>
      </c>
    </row>
    <row r="40">
      <c r="F40" t="s">
        <v>35</v>
      </c>
      <c r="G40" s="19" t="str">
        <f>IFERROR(INDEX($A$29:$A$36, MATCH(1, $G$29:$G$36, 0)), "-")</f>
      </c>
    </row>
    <row r="41">
      <c r="F41" t="s">
        <v>36</v>
      </c>
      <c r="G41" s="19" t="str">
        <f>IFERROR(INDEX($A$29:$A$36, MATCH(2, $G$29:$G$36, 0)), "-")</f>
      </c>
    </row>
    <row r="42">
      <c r="F42" t="s">
        <v>37</v>
      </c>
      <c r="G42" s="19" t="str">
        <f>IFERROR(INDEX($A$29:$A$36, MATCH(3, $G$29:$G$36,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20</v>
      </c>
      <c r="B1" s="13"/>
      <c r="C1" s="13"/>
      <c r="D1" s="13"/>
      <c r="E1" s="13"/>
      <c r="F1" s="13"/>
      <c r="G1" s="13"/>
    </row>
    <row r="2">
      <c r="A2" s="13" t="s">
        <v>41</v>
      </c>
      <c r="B2" s="13"/>
      <c r="C2" s="13"/>
      <c r="D2" s="13"/>
      <c r="E2" s="13"/>
      <c r="F2" s="13"/>
      <c r="G2" s="13"/>
    </row>
    <row r="3">
      <c r="A3" s="17" t="s">
        <v>21</v>
      </c>
      <c r="D3" s="14" t="s">
        <v>22</v>
      </c>
      <c r="G3" s="16" t="s">
        <v>23</v>
      </c>
    </row>
    <row r="4">
      <c r="A4" s="14" t="str">
        <f>CONCATENATE("Pool A-2nd ",'Pool Matches'!G41)</f>
      </c>
      <c r="B4" s="14"/>
      <c r="C4" s="14"/>
      <c r="D4" s="18"/>
      <c r="E4" s="14"/>
      <c r="F4" s="14"/>
      <c r="G4" s="14" t="str">
        <f>CONCATENATE("Pool A-1st ",'Pool Matches'!G40)</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8">
      <c r="A8" s="14">
        <v>4</v>
      </c>
      <c r="B8" s="18"/>
      <c r="C8" s="18"/>
      <c r="D8" s="18"/>
      <c r="E8" s="18"/>
      <c r="F8" s="18"/>
      <c r="G8" s="14">
        <v>4</v>
      </c>
    </row>
    <row r="9">
      <c r="A9" s="14">
        <v>5</v>
      </c>
      <c r="B9" s="18"/>
      <c r="C9" s="18"/>
      <c r="D9" s="18"/>
      <c r="E9" s="18"/>
      <c r="F9" s="18"/>
      <c r="G9" s="14">
        <v>5</v>
      </c>
    </row>
    <row r="11">
      <c r="A11" s="14" t="str">
        <f>CONCATENATE("Pool A-2nd ",'Pool Matches'!G41)</f>
      </c>
      <c r="B11" s="14" t="s">
        <v>29</v>
      </c>
      <c r="C11" s="14" t="s">
        <v>32</v>
      </c>
      <c r="D11" s="14"/>
      <c r="E11" s="14" t="s">
        <v>32</v>
      </c>
      <c r="F11" s="14" t="s">
        <v>29</v>
      </c>
      <c r="G11" s="14" t="str">
        <f>CONCATENATE("Pool A-1st ",'Pool Matches'!G40)</f>
      </c>
    </row>
    <row r="12">
      <c r="A12" s="14" t="s">
        <v>42</v>
      </c>
      <c r="B12" s="14" t="str">
        <f>IF(UPPER(D5)="X",0,IF((LEN(SUBSTITUTE(SUBSTITUTE(SUBSTITUTE(B5," ",""),"0",""),"-","")) +LEN(SUBSTITUTE(SUBSTITUTE(SUBSTITUTE(C5," ",""),"0",""),"-","")) )&gt;(LEN(SUBSTITUTE(SUBSTITUTE(SUBSTITUTE(E5," ",""),"0",""),"-","")) +LEN(SUBSTITUTE(SUBSTITUTE(SUBSTITUTE(F5," ",""),"0",""),"-","")) ),1,0))+IF(UPPER(D6)="X",0,IF((LEN(SUBSTITUTE(SUBSTITUTE(SUBSTITUTE(B6," ",""),"0",""),"-","")) +LEN(SUBSTITUTE(SUBSTITUTE(SUBSTITUTE(C6," ",""),"0",""),"-","")) )&gt;(LEN(SUBSTITUTE(SUBSTITUTE(SUBSTITUTE(E6," ",""),"0",""),"-","")) +LEN(SUBSTITUTE(SUBSTITUTE(SUBSTITUTE(F6," ",""),"0",""),"-","")) ),1,0))+IF(UPPER(D7)="X",0,IF((LEN(SUBSTITUTE(SUBSTITUTE(SUBSTITUTE(B7," ",""),"0",""),"-","")) +LEN(SUBSTITUTE(SUBSTITUTE(SUBSTITUTE(C7," ",""),"0",""),"-","")) )&gt;(LEN(SUBSTITUTE(SUBSTITUTE(SUBSTITUTE(E7," ",""),"0",""),"-","")) +LEN(SUBSTITUTE(SUBSTITUTE(SUBSTITUTE(F7," ",""),"0",""),"-","")) ),1,0))+IF(UPPER(D8)="X",0,IF((LEN(SUBSTITUTE(SUBSTITUTE(SUBSTITUTE(B8," ",""),"0",""),"-","")) +LEN(SUBSTITUTE(SUBSTITUTE(SUBSTITUTE(C8," ",""),"0",""),"-","")) )&gt;(LEN(SUBSTITUTE(SUBSTITUTE(SUBSTITUTE(E8," ",""),"0",""),"-","")) +LEN(SUBSTITUTE(SUBSTITUTE(SUBSTITUTE(F8," ",""),"0",""),"-","")) ),1,0))+IF(UPPER(D9)="X",0,IF((LEN(SUBSTITUTE(SUBSTITUTE(SUBSTITUTE(B9," ",""),"0",""),"-","")) +LEN(SUBSTITUTE(SUBSTITUTE(SUBSTITUTE(C9," ",""),"0",""),"-","")) )&gt;(LEN(SUBSTITUTE(SUBSTITUTE(SUBSTITUTE(E9," ",""),"0",""),"-","")) +LEN(SUBSTITUTE(SUBSTITUTE(SUBSTITUTE(F9," ",""),"0",""),"-","")) ),1,0))</f>
      </c>
      <c r="C12" s="14" t="str">
        <f>LEN(SUBSTITUTE(SUBSTITUTE(SUBSTITUTE(B5," ",""),"0",""),"-","")) +LEN(SUBSTITUTE(SUBSTITUTE(SUBSTITUTE(C5," ",""),"0",""),"-","")) +LEN(SUBSTITUTE(SUBSTITUTE(SUBSTITUTE(B6," ",""),"0",""),"-","")) +LEN(SUBSTITUTE(SUBSTITUTE(SUBSTITUTE(C6," ",""),"0",""),"-","")) +LEN(SUBSTITUTE(SUBSTITUTE(SUBSTITUTE(B7," ",""),"0",""),"-","")) +LEN(SUBSTITUTE(SUBSTITUTE(SUBSTITUTE(C7," ",""),"0",""),"-","")) +LEN(SUBSTITUTE(SUBSTITUTE(SUBSTITUTE(B8," ",""),"0",""),"-","")) +LEN(SUBSTITUTE(SUBSTITUTE(SUBSTITUTE(C8," ",""),"0",""),"-","")) +LEN(SUBSTITUTE(SUBSTITUTE(SUBSTITUTE(B9," ",""),"0",""),"-","")) +LEN(SUBSTITUTE(SUBSTITUTE(SUBSTITUTE(C9," ",""),"0",""),"-","")) </f>
      </c>
      <c r="D12" s="14"/>
      <c r="E12" s="14" t="str">
        <f>LEN(SUBSTITUTE(SUBSTITUTE(SUBSTITUTE(E5," ",""),"0",""),"-","")) +LEN(SUBSTITUTE(SUBSTITUTE(SUBSTITUTE(F5," ",""),"0",""),"-","")) +LEN(SUBSTITUTE(SUBSTITUTE(SUBSTITUTE(E6," ",""),"0",""),"-","")) +LEN(SUBSTITUTE(SUBSTITUTE(SUBSTITUTE(F6," ",""),"0",""),"-","")) +LEN(SUBSTITUTE(SUBSTITUTE(SUBSTITUTE(E7," ",""),"0",""),"-","")) +LEN(SUBSTITUTE(SUBSTITUTE(SUBSTITUTE(F7," ",""),"0",""),"-","")) +LEN(SUBSTITUTE(SUBSTITUTE(SUBSTITUTE(E8," ",""),"0",""),"-","")) +LEN(SUBSTITUTE(SUBSTITUTE(SUBSTITUTE(F8," ",""),"0",""),"-","")) +LEN(SUBSTITUTE(SUBSTITUTE(SUBSTITUTE(E9," ",""),"0",""),"-","")) +LEN(SUBSTITUTE(SUBSTITUTE(SUBSTITUTE(F9," ",""),"0",""),"-","")) </f>
      </c>
      <c r="F12" s="14" t="str">
        <f>IF(UPPER(D5)="X",0,IF((LEN(SUBSTITUTE(SUBSTITUTE(SUBSTITUTE(E5," ",""),"0",""),"-","")) +LEN(SUBSTITUTE(SUBSTITUTE(SUBSTITUTE(F5," ",""),"0",""),"-","")) )&gt;(LEN(SUBSTITUTE(SUBSTITUTE(SUBSTITUTE(B5," ",""),"0",""),"-","")) +LEN(SUBSTITUTE(SUBSTITUTE(SUBSTITUTE(C5," ",""),"0",""),"-","")) ),1,0))+IF(UPPER(D6)="X",0,IF((LEN(SUBSTITUTE(SUBSTITUTE(SUBSTITUTE(E6," ",""),"0",""),"-","")) +LEN(SUBSTITUTE(SUBSTITUTE(SUBSTITUTE(F6," ",""),"0",""),"-","")) )&gt;(LEN(SUBSTITUTE(SUBSTITUTE(SUBSTITUTE(B6," ",""),"0",""),"-","")) +LEN(SUBSTITUTE(SUBSTITUTE(SUBSTITUTE(C6," ",""),"0",""),"-","")) ),1,0))+IF(UPPER(D7)="X",0,IF((LEN(SUBSTITUTE(SUBSTITUTE(SUBSTITUTE(E7," ",""),"0",""),"-","")) +LEN(SUBSTITUTE(SUBSTITUTE(SUBSTITUTE(F7," ",""),"0",""),"-","")) )&gt;(LEN(SUBSTITUTE(SUBSTITUTE(SUBSTITUTE(B7," ",""),"0",""),"-","")) +LEN(SUBSTITUTE(SUBSTITUTE(SUBSTITUTE(C7," ",""),"0",""),"-","")) ),1,0))+IF(UPPER(D8)="X",0,IF((LEN(SUBSTITUTE(SUBSTITUTE(SUBSTITUTE(E8," ",""),"0",""),"-","")) +LEN(SUBSTITUTE(SUBSTITUTE(SUBSTITUTE(F8," ",""),"0",""),"-","")) )&gt;(LEN(SUBSTITUTE(SUBSTITUTE(SUBSTITUTE(B8," ",""),"0",""),"-","")) +LEN(SUBSTITUTE(SUBSTITUTE(SUBSTITUTE(C8," ",""),"0",""),"-","")) ),1,0))+IF(UPPER(D9)="X",0,IF((LEN(SUBSTITUTE(SUBSTITUTE(SUBSTITUTE(E9," ",""),"0",""),"-","")) +LEN(SUBSTITUTE(SUBSTITUTE(SUBSTITUTE(F9," ",""),"0",""),"-","")) )&gt;(LEN(SUBSTITUTE(SUBSTITUTE(SUBSTITUTE(B9," ",""),"0",""),"-","")) +LEN(SUBSTITUTE(SUBSTITUTE(SUBSTITUTE(C9," ",""),"0",""),"-","")) ),1,0))</f>
      </c>
      <c r="G12" s="14" t="s">
        <v>42</v>
      </c>
    </row>
    <row r="15">
      <c r="F15" t="s">
        <v>35</v>
      </c>
      <c r="G15" s="19"/>
    </row>
    <row r="16">
      <c r="F16" t="s">
        <v>36</v>
      </c>
      <c r="G16"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c r="C5" s="23" t="str">
        <f>CONCATENATE("Pool A-1st ",'Pool Matches'!G40)</f>
      </c>
    </row>
    <row r="6">
      <c r="A6" s="26" t="str">
        <f>"2. " &amp; data!$B$4</f>
      </c>
      <c r="D6" s="22"/>
      <c r="E6" s="21">
        <v>1</v>
      </c>
    </row>
    <row r="7">
      <c r="A7" s="27" t="str">
        <f>"3. " &amp; data!$B$5</f>
      </c>
      <c r="C7" s="23" t="str">
        <f>CONCATENATE("Pool A-2nd ",'Pool Matches'!G41)</f>
      </c>
      <c r="D7" s="15"/>
      <c r="E7" s="20"/>
    </row>
    <row r="8">
      <c r="A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38</v>
      </c>
      <c r="B1" s="29" t="str">
        <f>'data'!$B$3</f>
      </c>
    </row>
    <row r="2" ht="270" customHeight="true">
      <c r="A2" s="28" t="s">
        <v>39</v>
      </c>
      <c r="B2" s="29" t="str">
        <f>'data'!$B$4</f>
      </c>
    </row>
    <row r="3" ht="270" customHeight="true">
      <c r="A3" s="28" t="s">
        <v>40</v>
      </c>
      <c r="B3" s="29" t="str">
        <f>'data'!$B$5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90"/>
  </cols>
  <sheetData>
    <row r="1" ht="390" customHeight="true">
      <c r="A1" s="30" t="s">
        <v>38</v>
      </c>
    </row>
    <row r="2" ht="390" customHeight="true">
      <c r="A2" s="30" t="s">
        <v>38</v>
      </c>
    </row>
    <row r="3" ht="390" customHeight="true">
      <c r="A3" s="30" t="s">
        <v>39</v>
      </c>
    </row>
    <row r="4" ht="390" customHeight="true">
      <c r="A4" s="30" t="s">
        <v>39</v>
      </c>
    </row>
    <row r="5" ht="390" customHeight="true">
      <c r="A5" s="30" t="s">
        <v>40</v>
      </c>
    </row>
    <row r="6" ht="390" customHeight="true">
      <c r="A6" s="30" t="s">
        <v>40</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3" manualBreakCount="3">
    <brk id="2" max="16383" man="true"/>
    <brk id="4" max="16383" man="true"/>
    <brk id="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