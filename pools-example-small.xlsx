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7" name="_xlnm.Print_Area">'Names to Print A'!$A$1:$B$7</definedName>
    <definedName localSheetId="8" name="_xlnm.Print_Area">'Names to Print B'!$A$1:$B$3</definedName>
    <definedName localSheetId="4" name="_xlnm.Print_Area">'Elimination Matches'!$A$1:$P$64</definedName>
  </definedNames>
  <calcPr calcId="122211"/>
</workbook>
</file>

<file path=xl/sharedStrings.xml><?xml version="1.0" encoding="utf-8"?>
<sst xmlns="http://schemas.openxmlformats.org/spreadsheetml/2006/main" count="76" uniqueCount="76">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</sst>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69</v>
      </c>
      <c r="F13" s="13"/>
      <c r="G13" s="13"/>
      <c r="H13" s="13"/>
    </row>
    <row r="14">
      <c r="A14">
        <v>2</v>
      </c>
      <c r="E14" s="32" t="s">
        <v>70</v>
      </c>
      <c r="F14" s="32"/>
      <c r="G14" s="32"/>
      <c r="H14" s="31" t="str">
        <f>H2</f>
      </c>
    </row>
    <row r="15">
      <c r="E15" s="32" t="s">
        <v>71</v>
      </c>
      <c r="F15" s="32"/>
      <c r="G15" s="32"/>
      <c r="H15" s="31" t="str">
        <f>H8</f>
      </c>
    </row>
    <row r="16">
      <c r="E16" s="32" t="s">
        <v>72</v>
      </c>
      <c r="F16" s="32"/>
      <c r="G16" s="32"/>
      <c r="H16" s="31" t="str">
        <f>H14+H15</f>
      </c>
    </row>
    <row r="17">
      <c r="E17" s="32" t="s">
        <v>73</v>
      </c>
      <c r="F17" s="32"/>
      <c r="G17" s="32"/>
      <c r="H17" s="31" t="str">
        <f>H16/A14</f>
      </c>
    </row>
    <row r="18">
      <c r="E18" s="13" t="s">
        <v>74</v>
      </c>
      <c r="F18" s="13"/>
      <c r="G18" s="13"/>
      <c r="H18" s="33">
        <v>0.375</v>
      </c>
    </row>
    <row r="19">
      <c r="E19" s="13" t="s">
        <v>75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35</v>
      </c>
      <c r="B11" s="14"/>
      <c r="C11" s="14"/>
      <c r="D11" s="14" t="s">
        <v>36</v>
      </c>
      <c r="E11" s="14"/>
      <c r="F11" s="14"/>
      <c r="G11" s="16" t="s">
        <v>37</v>
      </c>
      <c r="I11" s="17" t="s">
        <v>35</v>
      </c>
      <c r="J11" s="14"/>
      <c r="K11" s="14"/>
      <c r="L11" s="14" t="s">
        <v>36</v>
      </c>
      <c r="M11" s="14"/>
      <c r="N11" s="14"/>
      <c r="O11" s="16" t="s">
        <v>37</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35</v>
      </c>
      <c r="B19" s="14"/>
      <c r="C19" s="14"/>
      <c r="D19" s="14" t="s">
        <v>36</v>
      </c>
      <c r="E19" s="14"/>
      <c r="F19" s="14"/>
      <c r="G19" s="16" t="s">
        <v>37</v>
      </c>
      <c r="I19" s="17" t="s">
        <v>35</v>
      </c>
      <c r="J19" s="14"/>
      <c r="K19" s="14"/>
      <c r="L19" s="14" t="s">
        <v>36</v>
      </c>
      <c r="M19" s="14"/>
      <c r="N19" s="14"/>
      <c r="O19" s="16" t="s">
        <v>37</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35</v>
      </c>
      <c r="B27" s="14"/>
      <c r="C27" s="14"/>
      <c r="D27" s="14" t="s">
        <v>36</v>
      </c>
      <c r="E27" s="14"/>
      <c r="F27" s="14"/>
      <c r="G27" s="16" t="s">
        <v>37</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35</v>
      </c>
      <c r="B35" s="14"/>
      <c r="C35" s="14"/>
      <c r="D35" s="14" t="s">
        <v>36</v>
      </c>
      <c r="E35" s="14"/>
      <c r="F35" s="14"/>
      <c r="G35" s="16" t="s">
        <v>37</v>
      </c>
    </row>
    <row r="36">
      <c r="A36" s="14" t="str">
        <f>'data'!$B$5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35</v>
      </c>
      <c r="B43" s="14"/>
      <c r="C43" s="14"/>
      <c r="D43" s="14" t="s">
        <v>36</v>
      </c>
      <c r="E43" s="14"/>
      <c r="F43" s="14"/>
      <c r="G43" s="16" t="s">
        <v>37</v>
      </c>
    </row>
    <row r="44">
      <c r="A44" s="14" t="str">
        <f>'data'!$B$6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38</v>
      </c>
      <c r="B52" s="13" t="s">
        <v>39</v>
      </c>
      <c r="C52" s="13" t="s">
        <v>40</v>
      </c>
      <c r="D52" s="13" t="s">
        <v>41</v>
      </c>
      <c r="E52" s="13"/>
      <c r="F52" s="13"/>
      <c r="G52" s="13" t="s">
        <v>42</v>
      </c>
      <c r="I52" s="13" t="s">
        <v>38</v>
      </c>
      <c r="J52" s="13" t="s">
        <v>39</v>
      </c>
      <c r="K52" s="13" t="s">
        <v>40</v>
      </c>
      <c r="L52" s="13" t="s">
        <v>41</v>
      </c>
      <c r="M52" s="13"/>
      <c r="N52" s="13"/>
      <c r="O52" s="13" t="s">
        <v>42</v>
      </c>
    </row>
    <row r="53">
      <c r="A53" s="14" t="str">
        <f>'data'!$B$3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43</v>
      </c>
      <c r="K57" s="13" t="s">
        <v>44</v>
      </c>
      <c r="L57" s="13" t="s">
        <v>45</v>
      </c>
      <c r="M57" s="13" t="s">
        <v>46</v>
      </c>
      <c r="N57" s="13" t="s">
        <v>47</v>
      </c>
    </row>
    <row r="58">
      <c r="A58" s="13"/>
      <c r="B58" s="13" t="s">
        <v>43</v>
      </c>
      <c r="C58" s="13" t="s">
        <v>44</v>
      </c>
      <c r="D58" s="13" t="s">
        <v>45</v>
      </c>
      <c r="E58" s="13" t="s">
        <v>46</v>
      </c>
      <c r="F58" s="13" t="s">
        <v>47</v>
      </c>
      <c r="I58" s="14" t="str">
        <f>'data'!$B$10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48</v>
      </c>
    </row>
    <row r="64">
      <c r="N64" t="s">
        <v>49</v>
      </c>
      <c r="O64" s="19" t="str">
        <f>IFERROR(INDEX($I$53:$I$60, MATCH(1, $O$53:$O$60, 0)), "-")</f>
      </c>
    </row>
    <row r="65">
      <c r="F65" s="13"/>
      <c r="G65" s="13" t="s">
        <v>48</v>
      </c>
      <c r="N65" t="s">
        <v>50</v>
      </c>
      <c r="O65" s="19" t="str">
        <f>IFERROR(INDEX($I$53:$I$60, MATCH(2, $O$53:$O$60, 0)), "-")</f>
      </c>
    </row>
    <row r="66">
      <c r="F66" t="s">
        <v>49</v>
      </c>
      <c r="G66" s="19" t="str">
        <f>IFERROR(INDEX($A$53:$A$62, MATCH(1, $G$53:$G$62, 0)), "-")</f>
      </c>
      <c r="N66" t="s">
        <v>51</v>
      </c>
      <c r="O66" s="19" t="str">
        <f>IFERROR(INDEX($I$53:$I$60, MATCH(3, $O$53:$O$60, 0)), "-")</f>
      </c>
    </row>
    <row r="67">
      <c r="F67" t="s">
        <v>50</v>
      </c>
      <c r="G67" s="19" t="str">
        <f>IFERROR(INDEX($A$53:$A$62, MATCH(2, $G$53:$G$62, 0)), "-")</f>
      </c>
    </row>
    <row r="68">
      <c r="F68" t="s">
        <v>51</v>
      </c>
      <c r="G68" s="19" t="str">
        <f>IFERROR(INDEX($A$53:$A$62, MATCH(3, $G$53:$G$62, 0)), "-")</f>
      </c>
    </row>
    <row r="69">
      <c r="A69" s="13" t="str">
        <f>'data'!$A$9</f>
      </c>
      <c r="B69" s="13"/>
      <c r="C69" s="13"/>
      <c r="D69" s="13"/>
      <c r="E69" s="13"/>
      <c r="F69" s="13"/>
      <c r="G69" s="13"/>
    </row>
    <row r="70">
      <c r="A70" s="17" t="s">
        <v>35</v>
      </c>
      <c r="B70" s="14"/>
      <c r="C70" s="14"/>
      <c r="D70" s="14" t="s">
        <v>36</v>
      </c>
      <c r="E70" s="14"/>
      <c r="F70" s="14"/>
      <c r="G70" s="16" t="s">
        <v>37</v>
      </c>
    </row>
    <row r="71">
      <c r="A71" s="14" t="str">
        <f>'data'!$B$8</f>
      </c>
      <c r="B71" s="14" t="str">
        <f>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f>
      </c>
      <c r="C71" s="14" t="str">
        <f>LEN(SUBSTITUTE(SUBSTITUTE(SUBSTITUTE(B72," ",""),"0",""),"-",""))+LEN(SUBSTITUTE(SUBSTITUTE(SUBSTITUTE(C72," ",""),"0",""),"-",""))+LEN(SUBSTITUTE(SUBSTITUTE(SUBSTITUTE(B73," ",""),"0",""),"-",""))+LEN(SUBSTITUTE(SUBSTITUTE(SUBSTITUTE(C73," ",""),"0",""),"-",""))+LEN(SUBSTITUTE(SUBSTITUTE(SUBSTITUTE(B74," ",""),"0",""),"-",""))+LEN(SUBSTITUTE(SUBSTITUTE(SUBSTITUTE(C74," ",""),"0",""),"-",""))+LEN(SUBSTITUTE(SUBSTITUTE(SUBSTITUTE(B75," ",""),"0",""),"-",""))+LEN(SUBSTITUTE(SUBSTITUTE(SUBSTITUTE(C75," ",""),"0",""),"-",""))+LEN(SUBSTITUTE(SUBSTITUTE(SUBSTITUTE(B76," ",""),"0",""),"-",""))+LEN(SUBSTITUTE(SUBSTITUTE(SUBSTITUTE(C76," ",""),"0",""),"-",""))</f>
      </c>
      <c r="D71" s="18"/>
      <c r="E71" s="14" t="str">
        <f>LEN(SUBSTITUTE(SUBSTITUTE(SUBSTITUTE(E72," ",""),"0",""),"-",""))+LEN(SUBSTITUTE(SUBSTITUTE(SUBSTITUTE(F72," ",""),"0",""),"-",""))+LEN(SUBSTITUTE(SUBSTITUTE(SUBSTITUTE(E73," ",""),"0",""),"-",""))+LEN(SUBSTITUTE(SUBSTITUTE(SUBSTITUTE(F73," ",""),"0",""),"-",""))+LEN(SUBSTITUTE(SUBSTITUTE(SUBSTITUTE(E74," ",""),"0",""),"-",""))+LEN(SUBSTITUTE(SUBSTITUTE(SUBSTITUTE(F74," ",""),"0",""),"-",""))+LEN(SUBSTITUTE(SUBSTITUTE(SUBSTITUTE(E75," ",""),"0",""),"-",""))+LEN(SUBSTITUTE(SUBSTITUTE(SUBSTITUTE(F75," ",""),"0",""),"-",""))+LEN(SUBSTITUTE(SUBSTITUTE(SUBSTITUTE(E76," ",""),"0",""),"-",""))+LEN(SUBSTITUTE(SUBSTITUTE(SUBSTITUTE(F76," ",""),"0",""),"-",""))</f>
      </c>
      <c r="F71" s="14" t="str">
        <f>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f>
      </c>
      <c r="G71" s="14" t="str">
        <f>'data'!$B$7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35</v>
      </c>
      <c r="B78" s="14"/>
      <c r="C78" s="14"/>
      <c r="D78" s="14" t="s">
        <v>36</v>
      </c>
      <c r="E78" s="14"/>
      <c r="F78" s="14"/>
      <c r="G78" s="16" t="s">
        <v>37</v>
      </c>
    </row>
    <row r="79">
      <c r="A79" s="14" t="str">
        <f>'data'!$B$9</f>
      </c>
      <c r="B79" s="14" t="str">
        <f>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f>
      </c>
      <c r="C79" s="14" t="str">
        <f>LEN(SUBSTITUTE(SUBSTITUTE(SUBSTITUTE(B80," ",""),"0",""),"-",""))+LEN(SUBSTITUTE(SUBSTITUTE(SUBSTITUTE(C80," ",""),"0",""),"-",""))+LEN(SUBSTITUTE(SUBSTITUTE(SUBSTITUTE(B81," ",""),"0",""),"-",""))+LEN(SUBSTITUTE(SUBSTITUTE(SUBSTITUTE(C81," ",""),"0",""),"-",""))+LEN(SUBSTITUTE(SUBSTITUTE(SUBSTITUTE(B82," ",""),"0",""),"-",""))+LEN(SUBSTITUTE(SUBSTITUTE(SUBSTITUTE(C82," ",""),"0",""),"-",""))+LEN(SUBSTITUTE(SUBSTITUTE(SUBSTITUTE(B83," ",""),"0",""),"-",""))+LEN(SUBSTITUTE(SUBSTITUTE(SUBSTITUTE(C83," ",""),"0",""),"-",""))+LEN(SUBSTITUTE(SUBSTITUTE(SUBSTITUTE(B84," ",""),"0",""),"-",""))+LEN(SUBSTITUTE(SUBSTITUTE(SUBSTITUTE(C84," ",""),"0",""),"-",""))</f>
      </c>
      <c r="D79" s="18"/>
      <c r="E79" s="14" t="str">
        <f>LEN(SUBSTITUTE(SUBSTITUTE(SUBSTITUTE(E80," ",""),"0",""),"-",""))+LEN(SUBSTITUTE(SUBSTITUTE(SUBSTITUTE(F80," ",""),"0",""),"-",""))+LEN(SUBSTITUTE(SUBSTITUTE(SUBSTITUTE(E81," ",""),"0",""),"-",""))+LEN(SUBSTITUTE(SUBSTITUTE(SUBSTITUTE(F81," ",""),"0",""),"-",""))+LEN(SUBSTITUTE(SUBSTITUTE(SUBSTITUTE(E82," ",""),"0",""),"-",""))+LEN(SUBSTITUTE(SUBSTITUTE(SUBSTITUTE(F82," ",""),"0",""),"-",""))+LEN(SUBSTITUTE(SUBSTITUTE(SUBSTITUTE(E83," ",""),"0",""),"-",""))+LEN(SUBSTITUTE(SUBSTITUTE(SUBSTITUTE(F83," ",""),"0",""),"-",""))+LEN(SUBSTITUTE(SUBSTITUTE(SUBSTITUTE(E84," ",""),"0",""),"-",""))+LEN(SUBSTITUTE(SUBSTITUTE(SUBSTITUTE(F84," ",""),"0",""),"-",""))</f>
      </c>
      <c r="F79" s="14" t="str">
        <f>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f>
      </c>
      <c r="G79" s="14" t="str">
        <f>'data'!$B$7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35</v>
      </c>
      <c r="B86" s="14"/>
      <c r="C86" s="14"/>
      <c r="D86" s="14" t="s">
        <v>36</v>
      </c>
      <c r="E86" s="14"/>
      <c r="F86" s="14"/>
      <c r="G86" s="16" t="s">
        <v>37</v>
      </c>
    </row>
    <row r="87">
      <c r="A87" s="14" t="str">
        <f>'data'!$B$9</f>
      </c>
      <c r="B87" s="14" t="str">
        <f>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f>
      </c>
      <c r="C87" s="14" t="str">
        <f>LEN(SUBSTITUTE(SUBSTITUTE(SUBSTITUTE(B88," ",""),"0",""),"-",""))+LEN(SUBSTITUTE(SUBSTITUTE(SUBSTITUTE(C88," ",""),"0",""),"-",""))+LEN(SUBSTITUTE(SUBSTITUTE(SUBSTITUTE(B89," ",""),"0",""),"-",""))+LEN(SUBSTITUTE(SUBSTITUTE(SUBSTITUTE(C89," ",""),"0",""),"-",""))+LEN(SUBSTITUTE(SUBSTITUTE(SUBSTITUTE(B90," ",""),"0",""),"-",""))+LEN(SUBSTITUTE(SUBSTITUTE(SUBSTITUTE(C90," ",""),"0",""),"-",""))+LEN(SUBSTITUTE(SUBSTITUTE(SUBSTITUTE(B91," ",""),"0",""),"-",""))+LEN(SUBSTITUTE(SUBSTITUTE(SUBSTITUTE(C91," ",""),"0",""),"-",""))+LEN(SUBSTITUTE(SUBSTITUTE(SUBSTITUTE(B92," ",""),"0",""),"-",""))+LEN(SUBSTITUTE(SUBSTITUTE(SUBSTITUTE(C92," ",""),"0",""),"-",""))</f>
      </c>
      <c r="D87" s="18"/>
      <c r="E87" s="14" t="str">
        <f>LEN(SUBSTITUTE(SUBSTITUTE(SUBSTITUTE(E88," ",""),"0",""),"-",""))+LEN(SUBSTITUTE(SUBSTITUTE(SUBSTITUTE(F88," ",""),"0",""),"-",""))+LEN(SUBSTITUTE(SUBSTITUTE(SUBSTITUTE(E89," ",""),"0",""),"-",""))+LEN(SUBSTITUTE(SUBSTITUTE(SUBSTITUTE(F89," ",""),"0",""),"-",""))+LEN(SUBSTITUTE(SUBSTITUTE(SUBSTITUTE(E90," ",""),"0",""),"-",""))+LEN(SUBSTITUTE(SUBSTITUTE(SUBSTITUTE(F90," ",""),"0",""),"-",""))+LEN(SUBSTITUTE(SUBSTITUTE(SUBSTITUTE(E91," ",""),"0",""),"-",""))+LEN(SUBSTITUTE(SUBSTITUTE(SUBSTITUTE(F91," ",""),"0",""),"-",""))+LEN(SUBSTITUTE(SUBSTITUTE(SUBSTITUTE(E92," ",""),"0",""),"-",""))+LEN(SUBSTITUTE(SUBSTITUTE(SUBSTITUTE(F92," ",""),"0",""),"-",""))</f>
      </c>
      <c r="F87" s="14" t="str">
        <f>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f>
      </c>
      <c r="G87" s="14" t="str">
        <f>'data'!$B$8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38</v>
      </c>
      <c r="B95" s="13" t="s">
        <v>39</v>
      </c>
      <c r="C95" s="13" t="s">
        <v>40</v>
      </c>
      <c r="D95" s="13" t="s">
        <v>41</v>
      </c>
      <c r="E95" s="13"/>
      <c r="F95" s="13"/>
      <c r="G95" s="13" t="s">
        <v>42</v>
      </c>
    </row>
    <row r="96">
      <c r="A96" s="14" t="str">
        <f>'data'!$B$7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43</v>
      </c>
      <c r="C100" s="13" t="s">
        <v>44</v>
      </c>
      <c r="D100" s="13" t="s">
        <v>45</v>
      </c>
      <c r="E100" s="13" t="s">
        <v>46</v>
      </c>
      <c r="F100" s="13" t="s">
        <v>47</v>
      </c>
    </row>
    <row r="101">
      <c r="A101" s="14" t="str">
        <f>'data'!$B$7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48</v>
      </c>
    </row>
    <row r="107">
      <c r="F107" t="s">
        <v>49</v>
      </c>
      <c r="G107" s="19" t="str">
        <f>IFERROR(INDEX($A$96:$A$103, MATCH(1, $G$96:$G$103, 0)), "-")</f>
      </c>
    </row>
    <row r="108">
      <c r="F108" t="s">
        <v>50</v>
      </c>
      <c r="G108" s="19" t="str">
        <f>IFERROR(INDEX($A$96:$A$103, MATCH(2, $G$96:$G$103, 0)), "-")</f>
      </c>
    </row>
    <row r="109">
      <c r="F109" t="s">
        <v>51</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33</v>
      </c>
      <c r="B1" s="13"/>
      <c r="C1" s="13"/>
      <c r="D1" s="13"/>
      <c r="E1" s="13"/>
      <c r="F1" s="13"/>
      <c r="G1" s="13"/>
      <c r="I1" s="13" t="s">
        <v>34</v>
      </c>
      <c r="J1" s="13"/>
      <c r="K1" s="13"/>
      <c r="L1" s="13"/>
      <c r="M1" s="13"/>
      <c r="N1" s="13"/>
      <c r="O1" s="13"/>
    </row>
    <row r="2">
      <c r="A2" s="13" t="s">
        <v>63</v>
      </c>
      <c r="B2" s="13"/>
      <c r="C2" s="13"/>
      <c r="D2" s="13"/>
      <c r="E2" s="13"/>
      <c r="F2" s="13"/>
      <c r="G2" s="13"/>
      <c r="I2" s="13" t="s">
        <v>65</v>
      </c>
      <c r="J2" s="13"/>
      <c r="K2" s="13"/>
      <c r="L2" s="13"/>
      <c r="M2" s="13"/>
      <c r="N2" s="13"/>
      <c r="O2" s="13"/>
    </row>
    <row r="3">
      <c r="A3" s="17" t="s">
        <v>35</v>
      </c>
      <c r="D3" s="14" t="s">
        <v>36</v>
      </c>
      <c r="G3" s="16" t="s">
        <v>37</v>
      </c>
      <c r="I3" s="17" t="s">
        <v>35</v>
      </c>
      <c r="L3" s="14" t="s">
        <v>36</v>
      </c>
      <c r="O3" s="16" t="s">
        <v>37</v>
      </c>
    </row>
    <row r="4">
      <c r="A4" s="14" t="str">
        <f>CONCATENATE("Pool B-2nd ",'Pool Matches'!G108)</f>
      </c>
      <c r="B4" s="14"/>
      <c r="C4" s="14"/>
      <c r="D4" s="18"/>
      <c r="E4" s="14"/>
      <c r="F4" s="14"/>
      <c r="G4" s="14" t="str">
        <f>CONCATENATE("Pool C-1st ",'Pool Matches'!O64)</f>
      </c>
      <c r="I4" s="14" t="str">
        <f>CONCATENATE("Pool C-2nd ",'Pool Matches'!O65)</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Matches'!G108)</f>
      </c>
      <c r="B11" s="14" t="s">
        <v>43</v>
      </c>
      <c r="C11" s="14" t="s">
        <v>46</v>
      </c>
      <c r="D11" s="14"/>
      <c r="E11" s="14" t="s">
        <v>46</v>
      </c>
      <c r="F11" s="14" t="s">
        <v>43</v>
      </c>
      <c r="G11" s="14" t="str">
        <f>CONCATENATE("Pool C-1st ",'Pool Matches'!O64)</f>
      </c>
      <c r="I11" s="14" t="str">
        <f>CONCATENATE("Pool C-2nd ",'Pool Matches'!O65)</f>
      </c>
      <c r="J11" s="14" t="s">
        <v>43</v>
      </c>
      <c r="K11" s="14" t="s">
        <v>46</v>
      </c>
      <c r="L11" s="14"/>
      <c r="M11" s="14" t="s">
        <v>46</v>
      </c>
      <c r="N11" s="14" t="s">
        <v>43</v>
      </c>
      <c r="O11" s="14" t="str">
        <f>CONCATENATE("Pool A-2nd ",'Pool Matches'!G67)</f>
      </c>
    </row>
    <row r="12">
      <c r="A12" s="14" t="s">
        <v>64</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64</v>
      </c>
      <c r="I12" s="14" t="s">
        <v>64</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64</v>
      </c>
    </row>
    <row r="15">
      <c r="F15" t="s">
        <v>49</v>
      </c>
      <c r="G15" s="19"/>
      <c r="N15" t="s">
        <v>49</v>
      </c>
      <c r="O15" s="19"/>
    </row>
    <row r="16">
      <c r="F16" t="s">
        <v>50</v>
      </c>
      <c r="G16" s="19"/>
      <c r="N16" t="s">
        <v>50</v>
      </c>
      <c r="O16" s="19"/>
    </row>
    <row r="23">
      <c r="A23" s="13" t="s">
        <v>66</v>
      </c>
      <c r="B23" s="13"/>
      <c r="C23" s="13"/>
      <c r="D23" s="13"/>
      <c r="E23" s="13"/>
      <c r="F23" s="13"/>
      <c r="G23" s="13"/>
      <c r="I23" s="13" t="s">
        <v>67</v>
      </c>
      <c r="J23" s="13"/>
      <c r="K23" s="13"/>
      <c r="L23" s="13"/>
      <c r="M23" s="13"/>
      <c r="N23" s="13"/>
      <c r="O23" s="13"/>
    </row>
    <row r="24">
      <c r="A24" s="17" t="s">
        <v>35</v>
      </c>
      <c r="D24" s="14" t="s">
        <v>36</v>
      </c>
      <c r="G24" s="16" t="s">
        <v>37</v>
      </c>
      <c r="I24" s="17" t="s">
        <v>35</v>
      </c>
      <c r="L24" s="14" t="s">
        <v>36</v>
      </c>
      <c r="O24" s="16" t="s">
        <v>37</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B-1st ",'Pool Matches'!G107)</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43</v>
      </c>
      <c r="C32" s="14" t="s">
        <v>46</v>
      </c>
      <c r="D32" s="14"/>
      <c r="E32" s="14" t="s">
        <v>46</v>
      </c>
      <c r="F32" s="14" t="s">
        <v>43</v>
      </c>
      <c r="G32" s="14" t="str">
        <f>CONCATENATE("Pool A-1st ",'Pool Matches'!G66)</f>
      </c>
      <c r="I32" s="14" t="str">
        <f>CONCATENATE("M 2 ",O15)</f>
      </c>
      <c r="J32" s="14" t="s">
        <v>43</v>
      </c>
      <c r="K32" s="14" t="s">
        <v>46</v>
      </c>
      <c r="L32" s="14"/>
      <c r="M32" s="14" t="s">
        <v>46</v>
      </c>
      <c r="N32" s="14" t="s">
        <v>43</v>
      </c>
      <c r="O32" s="14" t="str">
        <f>CONCATENATE("Pool B-1st ",'Pool Matches'!G107)</f>
      </c>
    </row>
    <row r="33">
      <c r="A33" s="14" t="s">
        <v>64</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64</v>
      </c>
      <c r="I33" s="14" t="s">
        <v>64</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64</v>
      </c>
    </row>
    <row r="36">
      <c r="F36" t="s">
        <v>49</v>
      </c>
      <c r="G36" s="19"/>
      <c r="N36" t="s">
        <v>49</v>
      </c>
      <c r="O36" s="19"/>
    </row>
    <row r="37">
      <c r="F37" t="s">
        <v>50</v>
      </c>
      <c r="G37" s="19"/>
      <c r="N37" t="s">
        <v>50</v>
      </c>
      <c r="O37" s="19"/>
    </row>
    <row r="44">
      <c r="A44" s="13" t="s">
        <v>68</v>
      </c>
      <c r="B44" s="13"/>
      <c r="C44" s="13"/>
      <c r="D44" s="13"/>
      <c r="E44" s="13"/>
      <c r="F44" s="13"/>
      <c r="G44" s="13"/>
    </row>
    <row r="45">
      <c r="A45" s="17" t="s">
        <v>35</v>
      </c>
      <c r="D45" s="14" t="s">
        <v>36</v>
      </c>
      <c r="G45" s="16" t="s">
        <v>37</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43</v>
      </c>
      <c r="C53" s="14" t="s">
        <v>46</v>
      </c>
      <c r="D53" s="14"/>
      <c r="E53" s="14" t="s">
        <v>46</v>
      </c>
      <c r="F53" s="14" t="s">
        <v>43</v>
      </c>
      <c r="G53" s="14" t="str">
        <f>CONCATENATE("M 3 ",G36)</f>
      </c>
    </row>
    <row r="54">
      <c r="A54" s="14" t="s">
        <v>64</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64</v>
      </c>
    </row>
    <row r="57">
      <c r="F57" t="s">
        <v>49</v>
      </c>
      <c r="G57" s="19"/>
    </row>
    <row r="58">
      <c r="F58" t="s">
        <v>50</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Matches'!G66)</f>
      </c>
    </row>
    <row r="7">
      <c r="A7" s="26" t="str">
        <f>"3. " &amp; data!$B$5</f>
      </c>
      <c r="F7" s="22"/>
      <c r="G7" s="20"/>
    </row>
    <row r="8">
      <c r="A8" s="27" t="str">
        <f>"4. " &amp; data!$B$6</f>
      </c>
      <c r="G8" s="21">
        <v>3</v>
      </c>
    </row>
    <row r="9">
      <c r="A9" s="22"/>
      <c r="C9" s="23" t="str">
        <f>CONCATENATE("Pool C-1st ",'Pool Matches'!O64)</f>
      </c>
      <c r="G9" s="20"/>
    </row>
    <row r="10">
      <c r="A10" s="24" t="str">
        <f>'data'!$A$9</f>
      </c>
      <c r="D10" s="22"/>
      <c r="E10" s="21">
        <v>1</v>
      </c>
      <c r="F10" s="15"/>
      <c r="G10" s="20"/>
    </row>
    <row r="11">
      <c r="A11" s="25" t="str">
        <f>"1. " &amp; data!$B$7</f>
      </c>
      <c r="C11" s="23" t="str">
        <f>CONCATENATE("Pool B-2nd ",'Pool Matches'!G108)</f>
      </c>
      <c r="D11" s="15"/>
      <c r="E11" s="20"/>
    </row>
    <row r="12">
      <c r="A12" s="26" t="str">
        <f>"2. " &amp; data!$B$8</f>
      </c>
    </row>
    <row r="13">
      <c r="A13" s="27" t="str">
        <f>"3. " &amp; 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'data'!$A$12</f>
      </c>
    </row>
    <row r="5">
      <c r="A5" s="25" t="str">
        <f>"1. " &amp; data!$B$10</f>
      </c>
    </row>
    <row r="6">
      <c r="A6" s="26" t="str">
        <f>"2. " &amp; data!$B$11</f>
      </c>
      <c r="E6" s="23" t="str">
        <f>CONCATENATE("Pool B-1st ",'Pool Matches'!G107)</f>
      </c>
    </row>
    <row r="7">
      <c r="A7" s="27" t="str">
        <f>"3. " &amp; data!$B$12</f>
      </c>
      <c r="F7" s="22"/>
      <c r="G7" s="20"/>
    </row>
    <row r="8">
      <c r="A8" s="22"/>
      <c r="G8" s="21">
        <v>4</v>
      </c>
    </row>
    <row r="9">
      <c r="C9" s="23" t="str">
        <f>CONCATENATE("Pool A-2nd ",'Pool Matches'!G67)</f>
      </c>
      <c r="G9" s="20"/>
    </row>
    <row r="10">
      <c r="D10" s="22"/>
      <c r="E10" s="21">
        <v>2</v>
      </c>
      <c r="F10" s="15"/>
      <c r="G10" s="20"/>
    </row>
    <row r="11">
      <c r="C11" s="23" t="str">
        <f>CONCATENATE("Pool C-2nd ",'Pool Matches'!O65)</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53</v>
      </c>
      <c r="B1" s="29" t="str">
        <f>'data'!$B$3</f>
      </c>
    </row>
    <row r="2" ht="270" customHeight="true">
      <c r="A2" s="28" t="s">
        <v>54</v>
      </c>
      <c r="B2" s="29" t="str">
        <f>'data'!$B$4</f>
      </c>
    </row>
    <row r="3" ht="270" customHeight="true">
      <c r="A3" s="28" t="s">
        <v>55</v>
      </c>
      <c r="B3" s="29" t="str">
        <f>'data'!$B$5</f>
      </c>
    </row>
    <row r="4" ht="270" customHeight="true">
      <c r="A4" s="28" t="s">
        <v>56</v>
      </c>
      <c r="B4" s="29" t="str">
        <f>'data'!$B$6</f>
      </c>
    </row>
    <row r="5" ht="270" customHeight="true">
      <c r="A5" s="28" t="s">
        <v>57</v>
      </c>
      <c r="B5" s="29" t="str">
        <f>'data'!$B$7</f>
      </c>
    </row>
    <row r="6" ht="270" customHeight="true">
      <c r="A6" s="28" t="s">
        <v>58</v>
      </c>
      <c r="B6" s="29" t="str">
        <f>'data'!$B$8</f>
      </c>
    </row>
    <row r="7" ht="270" customHeight="true">
      <c r="A7" s="28" t="s">
        <v>59</v>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60</v>
      </c>
      <c r="B1" s="29" t="str">
        <f>'data'!$B$10</f>
      </c>
    </row>
    <row r="2" ht="270" customHeight="true">
      <c r="A2" s="28" t="s">
        <v>61</v>
      </c>
      <c r="B2" s="29" t="str">
        <f>'data'!$B$11</f>
      </c>
    </row>
    <row r="3" ht="270" customHeight="true">
      <c r="A3" s="28" t="s">
        <v>62</v>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53</v>
      </c>
    </row>
    <row r="2" ht="390" customHeight="true">
      <c r="A2" s="30" t="s">
        <v>53</v>
      </c>
    </row>
    <row r="3" ht="390" customHeight="true">
      <c r="A3" s="30" t="s">
        <v>54</v>
      </c>
    </row>
    <row r="4" ht="390" customHeight="true">
      <c r="A4" s="30" t="s">
        <v>54</v>
      </c>
    </row>
    <row r="5" ht="390" customHeight="true">
      <c r="A5" s="30" t="s">
        <v>55</v>
      </c>
    </row>
    <row r="6" ht="390" customHeight="true">
      <c r="A6" s="30" t="s">
        <v>55</v>
      </c>
    </row>
    <row r="7" ht="390" customHeight="true">
      <c r="A7" s="30" t="s">
        <v>56</v>
      </c>
    </row>
    <row r="8" ht="390" customHeight="true">
      <c r="A8" s="30" t="s">
        <v>56</v>
      </c>
    </row>
    <row r="9" ht="390" customHeight="true">
      <c r="A9" s="30" t="s">
        <v>57</v>
      </c>
    </row>
    <row r="10" ht="390" customHeight="true">
      <c r="A10" s="30" t="s">
        <v>57</v>
      </c>
    </row>
    <row r="11" ht="390" customHeight="true">
      <c r="A11" s="30" t="s">
        <v>58</v>
      </c>
    </row>
    <row r="12" ht="390" customHeight="true">
      <c r="A12" s="30" t="s">
        <v>58</v>
      </c>
    </row>
    <row r="13" ht="390" customHeight="true">
      <c r="A13" s="30" t="s">
        <v>59</v>
      </c>
    </row>
    <row r="14" ht="390" customHeight="true">
      <c r="A14" s="30" t="s">
        <v>59</v>
      </c>
    </row>
    <row r="15" ht="390" customHeight="true">
      <c r="A15" s="30" t="s">
        <v>60</v>
      </c>
    </row>
    <row r="16" ht="390" customHeight="true">
      <c r="A16" s="30" t="s">
        <v>60</v>
      </c>
    </row>
    <row r="17" ht="390" customHeight="true">
      <c r="A17" s="30" t="s">
        <v>61</v>
      </c>
    </row>
    <row r="18" ht="390" customHeight="true">
      <c r="A18" s="30" t="s">
        <v>61</v>
      </c>
    </row>
    <row r="19" ht="390" customHeight="true">
      <c r="A19" s="30" t="s">
        <v>62</v>
      </c>
    </row>
    <row r="20" ht="390" customHeight="true">
      <c r="A20" s="30" t="s">
        <v>62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