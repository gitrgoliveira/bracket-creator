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<sst xmlns="http://schemas.openxmlformats.org/spreadsheetml/2006/main" count="76" uniqueCount="76">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</sst>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),1,0))+IF(UPPER(D8)="X",0,IF((LEN(SUBSTITUTE(SUBSTITUTE(SUBSTITUTE(B8," ",""),"0",""),"-","")) +LEN(SUBSTITUTE(SUBSTITUTE(SUBSTITUTE(C8," ",""),"0",""),"-","")) )&gt;(LEN(SUBSTITUTE(SUBSTITUTE(SUBSTITUTE(E8," ",""),"0",""),"-","")) +LEN(SUBSTITUTE(SUBSTITUTE(SUBSTITUTE(F8," ",""),"0",""),"-","")) ),1,0))+IF(UPPER(D9)="X",0,IF((LEN(SUBSTITUTE(SUBSTITUTE(SUBSTITUTE(B9," ",""),"0",""),"-","")) +LEN(SUBSTITUTE(SUBSTITUTE(SUBSTITUTE(C9," ",""),"0",""),"-","")) )&gt;(LEN(SUBSTITUTE(SUBSTITUTE(SUBSTITUTE(E9," ",""),"0",""),"-","")) +LEN(SUBSTITUTE(SUBSTITUTE(SUBSTITUTE(F9," ",""),"0",""),"-","")) ),1,0))</f>
      </c>
      <c r="C4" s="14" t="str">
        <f>LEN(SUBSTITUTE(SUBSTITUTE(SUBSTITUTE(B5," ",""),"0",""),"-","")) +LEN(SUBSTITUTE(SUBSTITUTE(SUBSTITUTE(C5," ",""),"0",""),"-","")) +LEN(SUBSTITUTE(SUBSTITUTE(SUBSTITUTE(B6," ",""),"0",""),"-","")) +LEN(SUBSTITUTE(SUBSTITUTE(SUBSTITUTE(C6," ",""),"0",""),"-","")) +LEN(SUBSTITUTE(SUBSTITUTE(SUBSTITUTE(B7," ",""),"0",""),"-","")) +LEN(SUBSTITUTE(SUBSTITUTE(SUBSTITUTE(C7," ",""),"0",""),"-","")) +LEN(SUBSTITUTE(SUBSTITUTE(SUBSTITUTE(B8," ",""),"0",""),"-","")) +LEN(SUBSTITUTE(SUBSTITUTE(SUBSTITUTE(C8," ",""),"0",""),"-","")) +LEN(SUBSTITUTE(SUBSTITUTE(SUBSTITUTE(B9," ",""),"0",""),"-","")) +LEN(SUBSTITUTE(SUBSTITUTE(SUBSTITUTE(C9," ",""),"0",""),"-","")) </f>
      </c>
      <c r="D4" s="18"/>
      <c r="E4" s="14" t="str">
        <f>LEN(SUBSTITUTE(SUBSTITUTE(SUBSTITUTE(E5," ",""),"0",""),"-","")) +LEN(SUBSTITUTE(SUBSTITUTE(SUBSTITUTE(F5," ",""),"0",""),"-","")) +LEN(SUBSTITUTE(SUBSTITUTE(SUBSTITUTE(E6," ",""),"0",""),"-","")) +LEN(SUBSTITUTE(SUBSTITUTE(SUBSTITUTE(F6," ",""),"0",""),"-","")) +LEN(SUBSTITUTE(SUBSTITUTE(SUBSTITUTE(E7," ",""),"0",""),"-","")) +LEN(SUBSTITUTE(SUBSTITUTE(SUBSTITUTE(F7," ",""),"0",""),"-","")) +LEN(SUBSTITUTE(SUBSTITUTE(SUBSTITUTE(E8," ",""),"0",""),"-","")) +LEN(SUBSTITUTE(SUBSTITUTE(SUBSTITUTE(F8," ",""),"0",""),"-","")) +LEN(SUBSTITUTE(SUBSTITUTE(SUBSTITUTE(E9," ",""),"0",""),"-","")) +LEN(SUBSTITUTE(SUBSTITUTE(SUBSTITUTE(F9," ",""),"0",""),"-","")) </f>
      </c>
      <c r="F4"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),1,0))+IF(UPPER(D8)="X",0,IF((LEN(SUBSTITUTE(SUBSTITUTE(SUBSTITUTE(E8," ",""),"0",""),"-","")) +LEN(SUBSTITUTE(SUBSTITUTE(SUBSTITUTE(F8," ",""),"0",""),"-","")) )&gt;(LEN(SUBSTITUTE(SUBSTITUTE(SUBSTITUTE(B8," ",""),"0",""),"-","")) +LEN(SUBSTITUTE(SUBSTITUTE(SUBSTITUTE(C8," ",""),"0",""),"-","")) ),1,0))+IF(UPPER(D9)="X",0,IF((LEN(SUBSTITUTE(SUBSTITUTE(SUBSTITUTE(E9," ",""),"0",""),"-","")) +LEN(SUBSTITUTE(SUBSTITUTE(SUBSTITUTE(F9," ",""),"0",""),"-","")) )&gt;(LEN(SUBSTITUTE(SUBSTITUTE(SUBSTITUTE(B9," ",""),"0",""),"-","")) +LEN(SUBSTITUTE(SUBSTITUTE(SUBSTITUTE(C9," ",""),"0",""),"-","")) ),1,0))</f>
      </c>
      <c r="G4" s="14" t="str">
        <f>'data'!$B$3</f>
      </c>
      <c r="I4" s="14" t="str">
        <f>'data'!$B$11</f>
      </c>
      <c r="J4" s="14" t="str">
        <f>IF(UPPER(L5)="X",0,IF((LEN(SUBSTITUTE(SUBSTITUTE(SUBSTITUTE(J5," ",""),"0",""),"-","")) +LEN(SUBSTITUTE(SUBSTITUTE(SUBSTITUTE(K5," ",""),"0",""),"-","")) )&gt;(LEN(SUBSTITUTE(SUBSTITUTE(SUBSTITUTE(M5," ",""),"0",""),"-","")) +LEN(SUBSTITUTE(SUBSTITUTE(SUBSTITUTE(N5," ",""),"0",""),"-","")) ),1,0))+IF(UPPER(L6)="X",0,IF((LEN(SUBSTITUTE(SUBSTITUTE(SUBSTITUTE(J6," ",""),"0",""),"-","")) +LEN(SUBSTITUTE(SUBSTITUTE(SUBSTITUTE(K6," ",""),"0",""),"-","")) )&gt;(LEN(SUBSTITUTE(SUBSTITUTE(SUBSTITUTE(M6," ",""),"0",""),"-","")) +LEN(SUBSTITUTE(SUBSTITUTE(SUBSTITUTE(N6," ",""),"0",""),"-","")) ),1,0))+IF(UPPER(L7)="X",0,IF((LEN(SUBSTITUTE(SUBSTITUTE(SUBSTITUTE(J7," ",""),"0",""),"-","")) +LEN(SUBSTITUTE(SUBSTITUTE(SUBSTITUTE(K7," ",""),"0",""),"-","")) )&gt;(LEN(SUBSTITUTE(SUBSTITUTE(SUBSTITUTE(M7," ",""),"0",""),"-","")) +LEN(SUBSTITUTE(SUBSTITUTE(SUBSTITUTE(N7," ",""),"0",""),"-","")) ),1,0))+IF(UPPER(L8)="X",0,IF((LEN(SUBSTITUTE(SUBSTITUTE(SUBSTITUTE(J8," ",""),"0",""),"-","")) +LEN(SUBSTITUTE(SUBSTITUTE(SUBSTITUTE(K8," ",""),"0",""),"-","")) )&gt;(LEN(SUBSTITUTE(SUBSTITUTE(SUBSTITUTE(M8," ",""),"0",""),"-","")) +LEN(SUBSTITUTE(SUBSTITUTE(SUBSTITUTE(N8," ",""),"0",""),"-","")) ),1,0))+IF(UPPER(L9)="X",0,IF((LEN(SUBSTITUTE(SUBSTITUTE(SUBSTITUTE(J9," ",""),"0",""),"-","")) +LEN(SUBSTITUTE(SUBSTITUTE(SUBSTITUTE(K9," ",""),"0",""),"-","")) )&gt;(LEN(SUBSTITUTE(SUBSTITUTE(SUBSTITUTE(M9," ",""),"0",""),"-","")) +LEN(SUBSTITUTE(SUBSTITUTE(SUBSTITUTE(N9," ",""),"0",""),"-","")) ),1,0))</f>
      </c>
      <c r="K4" s="14" t="str">
        <f>LEN(SUBSTITUTE(SUBSTITUTE(SUBSTITUTE(J5," ",""),"0",""),"-","")) +LEN(SUBSTITUTE(SUBSTITUTE(SUBSTITUTE(K5," ",""),"0",""),"-","")) +LEN(SUBSTITUTE(SUBSTITUTE(SUBSTITUTE(J6," ",""),"0",""),"-","")) +LEN(SUBSTITUTE(SUBSTITUTE(SUBSTITUTE(K6," ",""),"0",""),"-","")) +LEN(SUBSTITUTE(SUBSTITUTE(SUBSTITUTE(J7," ",""),"0",""),"-","")) +LEN(SUBSTITUTE(SUBSTITUTE(SUBSTITUTE(K7," ",""),"0",""),"-","")) +LEN(SUBSTITUTE(SUBSTITUTE(SUBSTITUTE(J8," ",""),"0",""),"-","")) +LEN(SUBSTITUTE(SUBSTITUTE(SUBSTITUTE(K8," ",""),"0",""),"-","")) +LEN(SUBSTITUTE(SUBSTITUTE(SUBSTITUTE(J9," ",""),"0",""),"-","")) +LEN(SUBSTITUTE(SUBSTITUTE(SUBSTITUTE(K9," ",""),"0",""),"-","")) </f>
      </c>
      <c r="L4" s="18"/>
      <c r="M4" s="14" t="str">
        <f>LEN(SUBSTITUTE(SUBSTITUTE(SUBSTITUTE(M5," ",""),"0",""),"-","")) +LEN(SUBSTITUTE(SUBSTITUTE(SUBSTITUTE(N5," ",""),"0",""),"-","")) +LEN(SUBSTITUTE(SUBSTITUTE(SUBSTITUTE(M6," ",""),"0",""),"-","")) +LEN(SUBSTITUTE(SUBSTITUTE(SUBSTITUTE(N6," ",""),"0",""),"-","")) +LEN(SUBSTITUTE(SUBSTITUTE(SUBSTITUTE(M7," ",""),"0",""),"-","")) +LEN(SUBSTITUTE(SUBSTITUTE(SUBSTITUTE(N7," ",""),"0",""),"-","")) +LEN(SUBSTITUTE(SUBSTITUTE(SUBSTITUTE(M8," ",""),"0",""),"-","")) +LEN(SUBSTITUTE(SUBSTITUTE(SUBSTITUTE(N8," ",""),"0",""),"-","")) +LEN(SUBSTITUTE(SUBSTITUTE(SUBSTITUTE(M9," ",""),"0",""),"-","")) +LEN(SUBSTITUTE(SUBSTITUTE(SUBSTITUTE(N9," ",""),"0",""),"-","")) </f>
      </c>
      <c r="N4" s="14" t="str">
        <f>IF(UPPER(L5)="X",0,IF((LEN(SUBSTITUTE(SUBSTITUTE(SUBSTITUTE(M5," ",""),"0",""),"-","")) +LEN(SUBSTITUTE(SUBSTITUTE(SUBSTITUTE(N5," ",""),"0",""),"-","")) )&gt;(LEN(SUBSTITUTE(SUBSTITUTE(SUBSTITUTE(J5," ",""),"0",""),"-","")) +LEN(SUBSTITUTE(SUBSTITUTE(SUBSTITUTE(K5," ",""),"0",""),"-","")) ),1,0))+IF(UPPER(L6)="X",0,IF((LEN(SUBSTITUTE(SUBSTITUTE(SUBSTITUTE(M6," ",""),"0",""),"-","")) +LEN(SUBSTITUTE(SUBSTITUTE(SUBSTITUTE(N6," ",""),"0",""),"-","")) )&gt;(LEN(SUBSTITUTE(SUBSTITUTE(SUBSTITUTE(J6," ",""),"0",""),"-","")) +LEN(SUBSTITUTE(SUBSTITUTE(SUBSTITUTE(K6," ",""),"0",""),"-","")) ),1,0))+IF(UPPER(L7)="X",0,IF((LEN(SUBSTITUTE(SUBSTITUTE(SUBSTITUTE(M7," ",""),"0",""),"-","")) +LEN(SUBSTITUTE(SUBSTITUTE(SUBSTITUTE(N7," ",""),"0",""),"-","")) )&gt;(LEN(SUBSTITUTE(SUBSTITUTE(SUBSTITUTE(J7," ",""),"0",""),"-","")) +LEN(SUBSTITUTE(SUBSTITUTE(SUBSTITUTE(K7," ",""),"0",""),"-","")) ),1,0))+IF(UPPER(L8)="X",0,IF((LEN(SUBSTITUTE(SUBSTITUTE(SUBSTITUTE(M8," ",""),"0",""),"-","")) +LEN(SUBSTITUTE(SUBSTITUTE(SUBSTITUTE(N8," ",""),"0",""),"-","")) )&gt;(LEN(SUBSTITUTE(SUBSTITUTE(SUBSTITUTE(J8," ",""),"0",""),"-","")) +LEN(SUBSTITUTE(SUBSTITUTE(SUBSTITUTE(K8," ",""),"0",""),"-","")) ),1,0))+IF(UPPER(L9)="X",0,IF((LEN(SUBSTITUTE(SUBSTITUTE(SUBSTITUTE(M9," ",""),"0",""),"-","")) +LEN(SUBSTITUTE(SUBSTITUTE(SUBSTITUTE(N9," ",""),"0",""),"-","")) )&gt;(LEN(SUBSTITUTE(SUBSTITUTE(SUBSTITUTE(J9," ",""),"0",""),"-","")) +LEN(SUBSTITUTE(SUBSTITUTE(SUBSTITUTE(K9," ",""),"0",""),"-","")) ),1,0))</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IF(UPPER(D13)="X",0,IF((LEN(SUBSTITUTE(SUBSTITUTE(SUBSTITUTE(B13," ",""),"0",""),"-","")) +LEN(SUBSTITUTE(SUBSTITUTE(SUBSTITUTE(C13," ",""),"0",""),"-","")) )&gt;(LEN(SUBSTITUTE(SUBSTITUTE(SUBSTITUTE(E13," ",""),"0",""),"-","")) +LEN(SUBSTITUTE(SUBSTITUTE(SUBSTITUTE(F13," ",""),"0",""),"-","")) ),1,0))+IF(UPPER(D14)="X",0,IF((LEN(SUBSTITUTE(SUBSTITUTE(SUBSTITUTE(B14," ",""),"0",""),"-","")) +LEN(SUBSTITUTE(SUBSTITUTE(SUBSTITUTE(C14," ",""),"0",""),"-","")) )&gt;(LEN(SUBSTITUTE(SUBSTITUTE(SUBSTITUTE(E14," ",""),"0",""),"-","")) +LEN(SUBSTITUTE(SUBSTITUTE(SUBSTITUTE(F14," ",""),"0",""),"-","")) ),1,0))+IF(UPPER(D15)="X",0,IF((LEN(SUBSTITUTE(SUBSTITUTE(SUBSTITUTE(B15," ",""),"0",""),"-","")) +LEN(SUBSTITUTE(SUBSTITUTE(SUBSTITUTE(C15," ",""),"0",""),"-","")) )&gt;(LEN(SUBSTITUTE(SUBSTITUTE(SUBSTITUTE(E15," ",""),"0",""),"-","")) +LEN(SUBSTITUTE(SUBSTITUTE(SUBSTITUTE(F15," ",""),"0",""),"-","")) ),1,0))+IF(UPPER(D16)="X",0,IF((LEN(SUBSTITUTE(SUBSTITUTE(SUBSTITUTE(B16," ",""),"0",""),"-","")) +LEN(SUBSTITUTE(SUBSTITUTE(SUBSTITUTE(C16," ",""),"0",""),"-","")) )&gt;(LEN(SUBSTITUTE(SUBSTITUTE(SUBSTITUTE(E16," ",""),"0",""),"-","")) +LEN(SUBSTITUTE(SUBSTITUTE(SUBSTITUTE(F16," ",""),"0",""),"-","")) ),1,0))+IF(UPPER(D17)="X",0,IF((LEN(SUBSTITUTE(SUBSTITUTE(SUBSTITUTE(B17," ",""),"0",""),"-","")) +LEN(SUBSTITUTE(SUBSTITUTE(SUBSTITUTE(C17," ",""),"0",""),"-","")) )&gt;(LEN(SUBSTITUTE(SUBSTITUTE(SUBSTITUTE(E17," ",""),"0",""),"-","")) +LEN(SUBSTITUTE(SUBSTITUTE(SUBSTITUTE(F17," ",""),"0",""),"-","")) ),1,0))</f>
      </c>
      <c r="C12" s="14" t="str">
        <f>LEN(SUBSTITUTE(SUBSTITUTE(SUBSTITUTE(B13," ",""),"0",""),"-","")) +LEN(SUBSTITUTE(SUBSTITUTE(SUBSTITUTE(C13," ",""),"0",""),"-","")) +LEN(SUBSTITUTE(SUBSTITUTE(SUBSTITUTE(B14," ",""),"0",""),"-","")) +LEN(SUBSTITUTE(SUBSTITUTE(SUBSTITUTE(C14," ",""),"0",""),"-","")) +LEN(SUBSTITUTE(SUBSTITUTE(SUBSTITUTE(B15," ",""),"0",""),"-","")) +LEN(SUBSTITUTE(SUBSTITUTE(SUBSTITUTE(C15," ",""),"0",""),"-","")) +LEN(SUBSTITUTE(SUBSTITUTE(SUBSTITUTE(B16," ",""),"0",""),"-","")) +LEN(SUBSTITUTE(SUBSTITUTE(SUBSTITUTE(C16," ",""),"0",""),"-","")) +LEN(SUBSTITUTE(SUBSTITUTE(SUBSTITUTE(B17," ",""),"0",""),"-","")) +LEN(SUBSTITUTE(SUBSTITUTE(SUBSTITUTE(C17," ",""),"0",""),"-","")) </f>
      </c>
      <c r="D12" s="18"/>
      <c r="E12" s="14" t="str">
        <f>LEN(SUBSTITUTE(SUBSTITUTE(SUBSTITUTE(E13," ",""),"0",""),"-","")) +LEN(SUBSTITUTE(SUBSTITUTE(SUBSTITUTE(F13," ",""),"0",""),"-","")) +LEN(SUBSTITUTE(SUBSTITUTE(SUBSTITUTE(E14," ",""),"0",""),"-","")) +LEN(SUBSTITUTE(SUBSTITUTE(SUBSTITUTE(F14," ",""),"0",""),"-","")) +LEN(SUBSTITUTE(SUBSTITUTE(SUBSTITUTE(E15," ",""),"0",""),"-","")) +LEN(SUBSTITUTE(SUBSTITUTE(SUBSTITUTE(F15," ",""),"0",""),"-","")) +LEN(SUBSTITUTE(SUBSTITUTE(SUBSTITUTE(E16," ",""),"0",""),"-","")) +LEN(SUBSTITUTE(SUBSTITUTE(SUBSTITUTE(F16," ",""),"0",""),"-","")) +LEN(SUBSTITUTE(SUBSTITUTE(SUBSTITUTE(E17," ",""),"0",""),"-","")) +LEN(SUBSTITUTE(SUBSTITUTE(SUBSTITUTE(F17," ",""),"0",""),"-","")) </f>
      </c>
      <c r="F12" s="14" t="str">
        <f>IF(UPPER(D13)="X",0,IF((LEN(SUBSTITUTE(SUBSTITUTE(SUBSTITUTE(E13," ",""),"0",""),"-","")) +LEN(SUBSTITUTE(SUBSTITUTE(SUBSTITUTE(F13," ",""),"0",""),"-","")) )&gt;(LEN(SUBSTITUTE(SUBSTITUTE(SUBSTITUTE(B13," ",""),"0",""),"-","")) +LEN(SUBSTITUTE(SUBSTITUTE(SUBSTITUTE(C13," ",""),"0",""),"-","")) ),1,0))+IF(UPPER(D14)="X",0,IF((LEN(SUBSTITUTE(SUBSTITUTE(SUBSTITUTE(E14," ",""),"0",""),"-","")) +LEN(SUBSTITUTE(SUBSTITUTE(SUBSTITUTE(F14," ",""),"0",""),"-","")) )&gt;(LEN(SUBSTITUTE(SUBSTITUTE(SUBSTITUTE(B14," ",""),"0",""),"-","")) +LEN(SUBSTITUTE(SUBSTITUTE(SUBSTITUTE(C14," ",""),"0",""),"-","")) ),1,0))+IF(UPPER(D15)="X",0,IF((LEN(SUBSTITUTE(SUBSTITUTE(SUBSTITUTE(E15," ",""),"0",""),"-","")) +LEN(SUBSTITUTE(SUBSTITUTE(SUBSTITUTE(F15," ",""),"0",""),"-","")) )&gt;(LEN(SUBSTITUTE(SUBSTITUTE(SUBSTITUTE(B15," ",""),"0",""),"-","")) +LEN(SUBSTITUTE(SUBSTITUTE(SUBSTITUTE(C15," ",""),"0",""),"-","")) ),1,0))+IF(UPPER(D16)="X",0,IF((LEN(SUBSTITUTE(SUBSTITUTE(SUBSTITUTE(E16," ",""),"0",""),"-","")) +LEN(SUBSTITUTE(SUBSTITUTE(SUBSTITUTE(F16," ",""),"0",""),"-","")) )&gt;(LEN(SUBSTITUTE(SUBSTITUTE(SUBSTITUTE(B16," ",""),"0",""),"-","")) +LEN(SUBSTITUTE(SUBSTITUTE(SUBSTITUTE(C16," ",""),"0",""),"-","")) ),1,0))+IF(UPPER(D17)="X",0,IF((LEN(SUBSTITUTE(SUBSTITUTE(SUBSTITUTE(E17," ",""),"0",""),"-","")) +LEN(SUBSTITUTE(SUBSTITUTE(SUBSTITUTE(F17," ",""),"0",""),"-","")) )&gt;(LEN(SUBSTITUTE(SUBSTITUTE(SUBSTITUTE(B17," ",""),"0",""),"-","")) +LEN(SUBSTITUTE(SUBSTITUTE(SUBSTITUTE(C17," ",""),"0",""),"-","")) ),1,0))</f>
      </c>
      <c r="G12" s="14" t="str">
        <f>'data'!$B$5</f>
      </c>
      <c r="I12" s="14" t="str">
        <f>'data'!$B$12</f>
      </c>
      <c r="J12" s="14" t="str">
        <f>IF(UPPER(L13)="X",0,IF((LEN(SUBSTITUTE(SUBSTITUTE(SUBSTITUTE(J13," ",""),"0",""),"-","")) +LEN(SUBSTITUTE(SUBSTITUTE(SUBSTITUTE(K13," ",""),"0",""),"-","")) )&gt;(LEN(SUBSTITUTE(SUBSTITUTE(SUBSTITUTE(M13," ",""),"0",""),"-","")) +LEN(SUBSTITUTE(SUBSTITUTE(SUBSTITUTE(N13," ",""),"0",""),"-","")) ),1,0))+IF(UPPER(L14)="X",0,IF((LEN(SUBSTITUTE(SUBSTITUTE(SUBSTITUTE(J14," ",""),"0",""),"-","")) +LEN(SUBSTITUTE(SUBSTITUTE(SUBSTITUTE(K14," ",""),"0",""),"-","")) )&gt;(LEN(SUBSTITUTE(SUBSTITUTE(SUBSTITUTE(M14," ",""),"0",""),"-","")) +LEN(SUBSTITUTE(SUBSTITUTE(SUBSTITUTE(N14," ",""),"0",""),"-","")) ),1,0))+IF(UPPER(L15)="X",0,IF((LEN(SUBSTITUTE(SUBSTITUTE(SUBSTITUTE(J15," ",""),"0",""),"-","")) +LEN(SUBSTITUTE(SUBSTITUTE(SUBSTITUTE(K15," ",""),"0",""),"-","")) )&gt;(LEN(SUBSTITUTE(SUBSTITUTE(SUBSTITUTE(M15," ",""),"0",""),"-","")) +LEN(SUBSTITUTE(SUBSTITUTE(SUBSTITUTE(N15," ",""),"0",""),"-","")) ),1,0))+IF(UPPER(L16)="X",0,IF((LEN(SUBSTITUTE(SUBSTITUTE(SUBSTITUTE(J16," ",""),"0",""),"-","")) +LEN(SUBSTITUTE(SUBSTITUTE(SUBSTITUTE(K16," ",""),"0",""),"-","")) )&gt;(LEN(SUBSTITUTE(SUBSTITUTE(SUBSTITUTE(M16," ",""),"0",""),"-","")) +LEN(SUBSTITUTE(SUBSTITUTE(SUBSTITUTE(N16," ",""),"0",""),"-","")) ),1,0))+IF(UPPER(L17)="X",0,IF((LEN(SUBSTITUTE(SUBSTITUTE(SUBSTITUTE(J17," ",""),"0",""),"-","")) +LEN(SUBSTITUTE(SUBSTITUTE(SUBSTITUTE(K17," ",""),"0",""),"-","")) )&gt;(LEN(SUBSTITUTE(SUBSTITUTE(SUBSTITUTE(M17," ",""),"0",""),"-","")) +LEN(SUBSTITUTE(SUBSTITUTE(SUBSTITUTE(N17," ",""),"0",""),"-","")) ),1,0))</f>
      </c>
      <c r="K12" s="14" t="str">
        <f>LEN(SUBSTITUTE(SUBSTITUTE(SUBSTITUTE(J13," ",""),"0",""),"-","")) +LEN(SUBSTITUTE(SUBSTITUTE(SUBSTITUTE(K13," ",""),"0",""),"-","")) +LEN(SUBSTITUTE(SUBSTITUTE(SUBSTITUTE(J14," ",""),"0",""),"-","")) +LEN(SUBSTITUTE(SUBSTITUTE(SUBSTITUTE(K14," ",""),"0",""),"-","")) +LEN(SUBSTITUTE(SUBSTITUTE(SUBSTITUTE(J15," ",""),"0",""),"-","")) +LEN(SUBSTITUTE(SUBSTITUTE(SUBSTITUTE(K15," ",""),"0",""),"-","")) +LEN(SUBSTITUTE(SUBSTITUTE(SUBSTITUTE(J16," ",""),"0",""),"-","")) +LEN(SUBSTITUTE(SUBSTITUTE(SUBSTITUTE(K16," ",""),"0",""),"-","")) +LEN(SUBSTITUTE(SUBSTITUTE(SUBSTITUTE(J17," ",""),"0",""),"-","")) +LEN(SUBSTITUTE(SUBSTITUTE(SUBSTITUTE(K17," ",""),"0",""),"-","")) </f>
      </c>
      <c r="L12" s="18"/>
      <c r="M12" s="14" t="str">
        <f>LEN(SUBSTITUTE(SUBSTITUTE(SUBSTITUTE(M13," ",""),"0",""),"-","")) +LEN(SUBSTITUTE(SUBSTITUTE(SUBSTITUTE(N13," ",""),"0",""),"-","")) +LEN(SUBSTITUTE(SUBSTITUTE(SUBSTITUTE(M14," ",""),"0",""),"-","")) +LEN(SUBSTITUTE(SUBSTITUTE(SUBSTITUTE(N14," ",""),"0",""),"-","")) +LEN(SUBSTITUTE(SUBSTITUTE(SUBSTITUTE(M15," ",""),"0",""),"-","")) +LEN(SUBSTITUTE(SUBSTITUTE(SUBSTITUTE(N15," ",""),"0",""),"-","")) +LEN(SUBSTITUTE(SUBSTITUTE(SUBSTITUTE(M16," ",""),"0",""),"-","")) +LEN(SUBSTITUTE(SUBSTITUTE(SUBSTITUTE(N16," ",""),"0",""),"-","")) +LEN(SUBSTITUTE(SUBSTITUTE(SUBSTITUTE(M17," ",""),"0",""),"-","")) +LEN(SUBSTITUTE(SUBSTITUTE(SUBSTITUTE(N17," ",""),"0",""),"-","")) </f>
      </c>
      <c r="N12" s="14" t="str">
        <f>IF(UPPER(L13)="X",0,IF((LEN(SUBSTITUTE(SUBSTITUTE(SUBSTITUTE(M13," ",""),"0",""),"-","")) +LEN(SUBSTITUTE(SUBSTITUTE(SUBSTITUTE(N13," ",""),"0",""),"-","")) )&gt;(LEN(SUBSTITUTE(SUBSTITUTE(SUBSTITUTE(J13," ",""),"0",""),"-","")) +LEN(SUBSTITUTE(SUBSTITUTE(SUBSTITUTE(K13," ",""),"0",""),"-","")) ),1,0))+IF(UPPER(L14)="X",0,IF((LEN(SUBSTITUTE(SUBSTITUTE(SUBSTITUTE(M14," ",""),"0",""),"-","")) +LEN(SUBSTITUTE(SUBSTITUTE(SUBSTITUTE(N14," ",""),"0",""),"-","")) )&gt;(LEN(SUBSTITUTE(SUBSTITUTE(SUBSTITUTE(J14," ",""),"0",""),"-","")) +LEN(SUBSTITUTE(SUBSTITUTE(SUBSTITUTE(K14," ",""),"0",""),"-","")) ),1,0))+IF(UPPER(L15)="X",0,IF((LEN(SUBSTITUTE(SUBSTITUTE(SUBSTITUTE(M15," ",""),"0",""),"-","")) +LEN(SUBSTITUTE(SUBSTITUTE(SUBSTITUTE(N15," ",""),"0",""),"-","")) )&gt;(LEN(SUBSTITUTE(SUBSTITUTE(SUBSTITUTE(J15," ",""),"0",""),"-","")) +LEN(SUBSTITUTE(SUBSTITUTE(SUBSTITUTE(K15," ",""),"0",""),"-","")) ),1,0))+IF(UPPER(L16)="X",0,IF((LEN(SUBSTITUTE(SUBSTITUTE(SUBSTITUTE(M16," ",""),"0",""),"-","")) +LEN(SUBSTITUTE(SUBSTITUTE(SUBSTITUTE(N16," ",""),"0",""),"-","")) )&gt;(LEN(SUBSTITUTE(SUBSTITUTE(SUBSTITUTE(J16," ",""),"0",""),"-","")) +LEN(SUBSTITUTE(SUBSTITUTE(SUBSTITUTE(K16," ",""),"0",""),"-","")) ),1,0))+IF(UPPER(L17)="X",0,IF((LEN(SUBSTITUTE(SUBSTITUTE(SUBSTITUTE(M17," ",""),"0",""),"-","")) +LEN(SUBSTITUTE(SUBSTITUTE(SUBSTITUTE(N17," ",""),"0",""),"-","")) )&gt;(LEN(SUBSTITUTE(SUBSTITUTE(SUBSTITUTE(J17," ",""),"0",""),"-","")) +LEN(SUBSTITUTE(SUBSTITUTE(SUBSTITUTE(K17," ",""),"0",""),"-","")) ),1,0))</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IF(UPPER(D21)="X",0,IF((LEN(SUBSTITUTE(SUBSTITUTE(SUBSTITUTE(B21," ",""),"0",""),"-","")) +LEN(SUBSTITUTE(SUBSTITUTE(SUBSTITUTE(C21," ",""),"0",""),"-","")) )&gt;(LEN(SUBSTITUTE(SUBSTITUTE(SUBSTITUTE(E21," ",""),"0",""),"-","")) +LEN(SUBSTITUTE(SUBSTITUTE(SUBSTITUTE(F21," ",""),"0",""),"-","")) ),1,0))+IF(UPPER(D22)="X",0,IF((LEN(SUBSTITUTE(SUBSTITUTE(SUBSTITUTE(B22," ",""),"0",""),"-","")) +LEN(SUBSTITUTE(SUBSTITUTE(SUBSTITUTE(C22," ",""),"0",""),"-","")) )&gt;(LEN(SUBSTITUTE(SUBSTITUTE(SUBSTITUTE(E22," ",""),"0",""),"-","")) +LEN(SUBSTITUTE(SUBSTITUTE(SUBSTITUTE(F22," ",""),"0",""),"-","")) ),1,0))+IF(UPPER(D23)="X",0,IF((LEN(SUBSTITUTE(SUBSTITUTE(SUBSTITUTE(B23," ",""),"0",""),"-","")) +LEN(SUBSTITUTE(SUBSTITUTE(SUBSTITUTE(C23," ",""),"0",""),"-","")) )&gt;(LEN(SUBSTITUTE(SUBSTITUTE(SUBSTITUTE(E23," ",""),"0",""),"-","")) +LEN(SUBSTITUTE(SUBSTITUTE(SUBSTITUTE(F23," ",""),"0",""),"-","")) ),1,0))+IF(UPPER(D24)="X",0,IF((LEN(SUBSTITUTE(SUBSTITUTE(SUBSTITUTE(B24," ",""),"0",""),"-","")) +LEN(SUBSTITUTE(SUBSTITUTE(SUBSTITUTE(C24," ",""),"0",""),"-","")) )&gt;(LEN(SUBSTITUTE(SUBSTITUTE(SUBSTITUTE(E24," ",""),"0",""),"-","")) +LEN(SUBSTITUTE(SUBSTITUTE(SUBSTITUTE(F24," ",""),"0",""),"-","")) ),1,0))+IF(UPPER(D25)="X",0,IF((LEN(SUBSTITUTE(SUBSTITUTE(SUBSTITUTE(B25," ",""),"0",""),"-","")) +LEN(SUBSTITUTE(SUBSTITUTE(SUBSTITUTE(C25," ",""),"0",""),"-","")) )&gt;(LEN(SUBSTITUTE(SUBSTITUTE(SUBSTITUTE(E25," ",""),"0",""),"-","")) +LEN(SUBSTITUTE(SUBSTITUTE(SUBSTITUTE(F25," ",""),"0",""),"-","")) ),1,0))</f>
      </c>
      <c r="C20" s="14" t="str">
        <f>LEN(SUBSTITUTE(SUBSTITUTE(SUBSTITUTE(B21," ",""),"0",""),"-","")) +LEN(SUBSTITUTE(SUBSTITUTE(SUBSTITUTE(C21," ",""),"0",""),"-","")) +LEN(SUBSTITUTE(SUBSTITUTE(SUBSTITUTE(B22," ",""),"0",""),"-","")) +LEN(SUBSTITUTE(SUBSTITUTE(SUBSTITUTE(C22," ",""),"0",""),"-","")) +LEN(SUBSTITUTE(SUBSTITUTE(SUBSTITUTE(B23," ",""),"0",""),"-","")) +LEN(SUBSTITUTE(SUBSTITUTE(SUBSTITUTE(C23," ",""),"0",""),"-","")) +LEN(SUBSTITUTE(SUBSTITUTE(SUBSTITUTE(B24," ",""),"0",""),"-","")) +LEN(SUBSTITUTE(SUBSTITUTE(SUBSTITUTE(C24," ",""),"0",""),"-","")) +LEN(SUBSTITUTE(SUBSTITUTE(SUBSTITUTE(B25," ",""),"0",""),"-","")) +LEN(SUBSTITUTE(SUBSTITUTE(SUBSTITUTE(C25," ",""),"0",""),"-","")) </f>
      </c>
      <c r="D20" s="18"/>
      <c r="E20" s="14" t="str">
        <f>LEN(SUBSTITUTE(SUBSTITUTE(SUBSTITUTE(E21," ",""),"0",""),"-","")) +LEN(SUBSTITUTE(SUBSTITUTE(SUBSTITUTE(F21," ",""),"0",""),"-","")) +LEN(SUBSTITUTE(SUBSTITUTE(SUBSTITUTE(E22," ",""),"0",""),"-","")) +LEN(SUBSTITUTE(SUBSTITUTE(SUBSTITUTE(F22," ",""),"0",""),"-","")) +LEN(SUBSTITUTE(SUBSTITUTE(SUBSTITUTE(E23," ",""),"0",""),"-","")) +LEN(SUBSTITUTE(SUBSTITUTE(SUBSTITUTE(F23," ",""),"0",""),"-","")) +LEN(SUBSTITUTE(SUBSTITUTE(SUBSTITUTE(E24," ",""),"0",""),"-","")) +LEN(SUBSTITUTE(SUBSTITUTE(SUBSTITUTE(F24," ",""),"0",""),"-","")) +LEN(SUBSTITUTE(SUBSTITUTE(SUBSTITUTE(E25," ",""),"0",""),"-","")) +LEN(SUBSTITUTE(SUBSTITUTE(SUBSTITUTE(F25," ",""),"0",""),"-","")) </f>
      </c>
      <c r="F20" s="14" t="str">
        <f>IF(UPPER(D21)="X",0,IF((LEN(SUBSTITUTE(SUBSTITUTE(SUBSTITUTE(E21," ",""),"0",""),"-","")) +LEN(SUBSTITUTE(SUBSTITUTE(SUBSTITUTE(F21," ",""),"0",""),"-","")) )&gt;(LEN(SUBSTITUTE(SUBSTITUTE(SUBSTITUTE(B21," ",""),"0",""),"-","")) +LEN(SUBSTITUTE(SUBSTITUTE(SUBSTITUTE(C21," ",""),"0",""),"-","")) ),1,0))+IF(UPPER(D22)="X",0,IF((LEN(SUBSTITUTE(SUBSTITUTE(SUBSTITUTE(E22," ",""),"0",""),"-","")) +LEN(SUBSTITUTE(SUBSTITUTE(SUBSTITUTE(F22," ",""),"0",""),"-","")) )&gt;(LEN(SUBSTITUTE(SUBSTITUTE(SUBSTITUTE(B22," ",""),"0",""),"-","")) +LEN(SUBSTITUTE(SUBSTITUTE(SUBSTITUTE(C22," ",""),"0",""),"-","")) ),1,0))+IF(UPPER(D23)="X",0,IF((LEN(SUBSTITUTE(SUBSTITUTE(SUBSTITUTE(E23," ",""),"0",""),"-","")) +LEN(SUBSTITUTE(SUBSTITUTE(SUBSTITUTE(F23," ",""),"0",""),"-","")) )&gt;(LEN(SUBSTITUTE(SUBSTITUTE(SUBSTITUTE(B23," ",""),"0",""),"-","")) +LEN(SUBSTITUTE(SUBSTITUTE(SUBSTITUTE(C23," ",""),"0",""),"-","")) ),1,0))+IF(UPPER(D24)="X",0,IF((LEN(SUBSTITUTE(SUBSTITUTE(SUBSTITUTE(E24," ",""),"0",""),"-","")) +LEN(SUBSTITUTE(SUBSTITUTE(SUBSTITUTE(F24," ",""),"0",""),"-","")) )&gt;(LEN(SUBSTITUTE(SUBSTITUTE(SUBSTITUTE(B24," ",""),"0",""),"-","")) +LEN(SUBSTITUTE(SUBSTITUTE(SUBSTITUTE(C24," ",""),"0",""),"-","")) ),1,0))+IF(UPPER(D25)="X",0,IF((LEN(SUBSTITUTE(SUBSTITUTE(SUBSTITUTE(E25," ",""),"0",""),"-","")) +LEN(SUBSTITUTE(SUBSTITUTE(SUBSTITUTE(F25," ",""),"0",""),"-","")) )&gt;(LEN(SUBSTITUTE(SUBSTITUTE(SUBSTITUTE(B25," ",""),"0",""),"-","")) +LEN(SUBSTITUTE(SUBSTITUTE(SUBSTITUTE(C25," ",""),"0",""),"-","")) ),1,0))</f>
      </c>
      <c r="G20" s="14" t="str">
        <f>'data'!$B$5</f>
      </c>
      <c r="I20" s="14" t="str">
        <f>'data'!$B$12</f>
      </c>
      <c r="J20" s="14" t="str">
        <f>IF(UPPER(L21)="X",0,IF((LEN(SUBSTITUTE(SUBSTITUTE(SUBSTITUTE(J21," ",""),"0",""),"-","")) +LEN(SUBSTITUTE(SUBSTITUTE(SUBSTITUTE(K21," ",""),"0",""),"-","")) )&gt;(LEN(SUBSTITUTE(SUBSTITUTE(SUBSTITUTE(M21," ",""),"0",""),"-","")) +LEN(SUBSTITUTE(SUBSTITUTE(SUBSTITUTE(N21," ",""),"0",""),"-","")) ),1,0))+IF(UPPER(L22)="X",0,IF((LEN(SUBSTITUTE(SUBSTITUTE(SUBSTITUTE(J22," ",""),"0",""),"-","")) +LEN(SUBSTITUTE(SUBSTITUTE(SUBSTITUTE(K22," ",""),"0",""),"-","")) )&gt;(LEN(SUBSTITUTE(SUBSTITUTE(SUBSTITUTE(M22," ",""),"0",""),"-","")) +LEN(SUBSTITUTE(SUBSTITUTE(SUBSTITUTE(N22," ",""),"0",""),"-","")) ),1,0))+IF(UPPER(L23)="X",0,IF((LEN(SUBSTITUTE(SUBSTITUTE(SUBSTITUTE(J23," ",""),"0",""),"-","")) +LEN(SUBSTITUTE(SUBSTITUTE(SUBSTITUTE(K23," ",""),"0",""),"-","")) )&gt;(LEN(SUBSTITUTE(SUBSTITUTE(SUBSTITUTE(M23," ",""),"0",""),"-","")) +LEN(SUBSTITUTE(SUBSTITUTE(SUBSTITUTE(N23," ",""),"0",""),"-","")) ),1,0))+IF(UPPER(L24)="X",0,IF((LEN(SUBSTITUTE(SUBSTITUTE(SUBSTITUTE(J24," ",""),"0",""),"-","")) +LEN(SUBSTITUTE(SUBSTITUTE(SUBSTITUTE(K24," ",""),"0",""),"-","")) )&gt;(LEN(SUBSTITUTE(SUBSTITUTE(SUBSTITUTE(M24," ",""),"0",""),"-","")) +LEN(SUBSTITUTE(SUBSTITUTE(SUBSTITUTE(N24," ",""),"0",""),"-","")) ),1,0))+IF(UPPER(L25)="X",0,IF((LEN(SUBSTITUTE(SUBSTITUTE(SUBSTITUTE(J25," ",""),"0",""),"-","")) +LEN(SUBSTITUTE(SUBSTITUTE(SUBSTITUTE(K25," ",""),"0",""),"-","")) )&gt;(LEN(SUBSTITUTE(SUBSTITUTE(SUBSTITUTE(M25," ",""),"0",""),"-","")) +LEN(SUBSTITUTE(SUBSTITUTE(SUBSTITUTE(N25," ",""),"0",""),"-","")) ),1,0))</f>
      </c>
      <c r="K20" s="14" t="str">
        <f>LEN(SUBSTITUTE(SUBSTITUTE(SUBSTITUTE(J21," ",""),"0",""),"-","")) +LEN(SUBSTITUTE(SUBSTITUTE(SUBSTITUTE(K21," ",""),"0",""),"-","")) +LEN(SUBSTITUTE(SUBSTITUTE(SUBSTITUTE(J22," ",""),"0",""),"-","")) +LEN(SUBSTITUTE(SUBSTITUTE(SUBSTITUTE(K22," ",""),"0",""),"-","")) +LEN(SUBSTITUTE(SUBSTITUTE(SUBSTITUTE(J23," ",""),"0",""),"-","")) +LEN(SUBSTITUTE(SUBSTITUTE(SUBSTITUTE(K23," ",""),"0",""),"-","")) +LEN(SUBSTITUTE(SUBSTITUTE(SUBSTITUTE(J24," ",""),"0",""),"-","")) +LEN(SUBSTITUTE(SUBSTITUTE(SUBSTITUTE(K24," ",""),"0",""),"-","")) +LEN(SUBSTITUTE(SUBSTITUTE(SUBSTITUTE(J25," ",""),"0",""),"-","")) +LEN(SUBSTITUTE(SUBSTITUTE(SUBSTITUTE(K25," ",""),"0",""),"-","")) </f>
      </c>
      <c r="L20" s="18"/>
      <c r="M20" s="14" t="str">
        <f>LEN(SUBSTITUTE(SUBSTITUTE(SUBSTITUTE(M21," ",""),"0",""),"-","")) +LEN(SUBSTITUTE(SUBSTITUTE(SUBSTITUTE(N21," ",""),"0",""),"-","")) +LEN(SUBSTITUTE(SUBSTITUTE(SUBSTITUTE(M22," ",""),"0",""),"-","")) +LEN(SUBSTITUTE(SUBSTITUTE(SUBSTITUTE(N22," ",""),"0",""),"-","")) +LEN(SUBSTITUTE(SUBSTITUTE(SUBSTITUTE(M23," ",""),"0",""),"-","")) +LEN(SUBSTITUTE(SUBSTITUTE(SUBSTITUTE(N23," ",""),"0",""),"-","")) +LEN(SUBSTITUTE(SUBSTITUTE(SUBSTITUTE(M24," ",""),"0",""),"-","")) +LEN(SUBSTITUTE(SUBSTITUTE(SUBSTITUTE(N24," ",""),"0",""),"-","")) +LEN(SUBSTITUTE(SUBSTITUTE(SUBSTITUTE(M25," ",""),"0",""),"-","")) +LEN(SUBSTITUTE(SUBSTITUTE(SUBSTITUTE(N25," ",""),"0",""),"-","")) </f>
      </c>
      <c r="N20" s="14" t="str">
        <f>IF(UPPER(L21)="X",0,IF((LEN(SUBSTITUTE(SUBSTITUTE(SUBSTITUTE(M21," ",""),"0",""),"-","")) +LEN(SUBSTITUTE(SUBSTITUTE(SUBSTITUTE(N21," ",""),"0",""),"-","")) )&gt;(LEN(SUBSTITUTE(SUBSTITUTE(SUBSTITUTE(J21," ",""),"0",""),"-","")) +LEN(SUBSTITUTE(SUBSTITUTE(SUBSTITUTE(K21," ",""),"0",""),"-","")) ),1,0))+IF(UPPER(L22)="X",0,IF((LEN(SUBSTITUTE(SUBSTITUTE(SUBSTITUTE(M22," ",""),"0",""),"-","")) +LEN(SUBSTITUTE(SUBSTITUTE(SUBSTITUTE(N22," ",""),"0",""),"-","")) )&gt;(LEN(SUBSTITUTE(SUBSTITUTE(SUBSTITUTE(J22," ",""),"0",""),"-","")) +LEN(SUBSTITUTE(SUBSTITUTE(SUBSTITUTE(K22," ",""),"0",""),"-","")) ),1,0))+IF(UPPER(L23)="X",0,IF((LEN(SUBSTITUTE(SUBSTITUTE(SUBSTITUTE(M23," ",""),"0",""),"-","")) +LEN(SUBSTITUTE(SUBSTITUTE(SUBSTITUTE(N23," ",""),"0",""),"-","")) )&gt;(LEN(SUBSTITUTE(SUBSTITUTE(SUBSTITUTE(J23," ",""),"0",""),"-","")) +LEN(SUBSTITUTE(SUBSTITUTE(SUBSTITUTE(K23," ",""),"0",""),"-","")) ),1,0))+IF(UPPER(L24)="X",0,IF((LEN(SUBSTITUTE(SUBSTITUTE(SUBSTITUTE(M24," ",""),"0",""),"-","")) +LEN(SUBSTITUTE(SUBSTITUTE(SUBSTITUTE(N24," ",""),"0",""),"-","")) )&gt;(LEN(SUBSTITUTE(SUBSTITUTE(SUBSTITUTE(J24," ",""),"0",""),"-","")) +LEN(SUBSTITUTE(SUBSTITUTE(SUBSTITUTE(K24," ",""),"0",""),"-","")) ),1,0))+IF(UPPER(L25)="X",0,IF((LEN(SUBSTITUTE(SUBSTITUTE(SUBSTITUTE(M25," ",""),"0",""),"-","")) +LEN(SUBSTITUTE(SUBSTITUTE(SUBSTITUTE(N25," ",""),"0",""),"-","")) )&gt;(LEN(SUBSTITUTE(SUBSTITUTE(SUBSTITUTE(J25," ",""),"0",""),"-","")) +LEN(SUBSTITUTE(SUBSTITUTE(SUBSTITUTE(K25," ",""),"0",""),"-","")) ),1,0))</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IF(UPPER(D29)="X",0,IF((LEN(SUBSTITUTE(SUBSTITUTE(SUBSTITUTE(B29," ",""),"0",""),"-","")) +LEN(SUBSTITUTE(SUBSTITUTE(SUBSTITUTE(C29," ",""),"0",""),"-","")) )&gt;(LEN(SUBSTITUTE(SUBSTITUTE(SUBSTITUTE(E29," ",""),"0",""),"-","")) +LEN(SUBSTITUTE(SUBSTITUTE(SUBSTITUTE(F29," ",""),"0",""),"-","")) ),1,0))+IF(UPPER(D30)="X",0,IF((LEN(SUBSTITUTE(SUBSTITUTE(SUBSTITUTE(B30," ",""),"0",""),"-","")) +LEN(SUBSTITUTE(SUBSTITUTE(SUBSTITUTE(C30," ",""),"0",""),"-","")) )&gt;(LEN(SUBSTITUTE(SUBSTITUTE(SUBSTITUTE(E30," ",""),"0",""),"-","")) +LEN(SUBSTITUTE(SUBSTITUTE(SUBSTITUTE(F30," ",""),"0",""),"-","")) ),1,0))+IF(UPPER(D31)="X",0,IF((LEN(SUBSTITUTE(SUBSTITUTE(SUBSTITUTE(B31," ",""),"0",""),"-","")) +LEN(SUBSTITUTE(SUBSTITUTE(SUBSTITUTE(C31," ",""),"0",""),"-","")) )&gt;(LEN(SUBSTITUTE(SUBSTITUTE(SUBSTITUTE(E31," ",""),"0",""),"-","")) +LEN(SUBSTITUTE(SUBSTITUTE(SUBSTITUTE(F31," ",""),"0",""),"-","")) ),1,0))+IF(UPPER(D32)="X",0,IF((LEN(SUBSTITUTE(SUBSTITUTE(SUBSTITUTE(B32," ",""),"0",""),"-","")) +LEN(SUBSTITUTE(SUBSTITUTE(SUBSTITUTE(C32," ",""),"0",""),"-","")) )&gt;(LEN(SUBSTITUTE(SUBSTITUTE(SUBSTITUTE(E32," ",""),"0",""),"-","")) +LEN(SUBSTITUTE(SUBSTITUTE(SUBSTITUTE(F32," ",""),"0",""),"-","")) ),1,0))+IF(UPPER(D33)="X",0,IF((LEN(SUBSTITUTE(SUBSTITUTE(SUBSTITUTE(B33," ",""),"0",""),"-","")) +LEN(SUBSTITUTE(SUBSTITUTE(SUBSTITUTE(C33," ",""),"0",""),"-","")) )&gt;(LEN(SUBSTITUTE(SUBSTITUTE(SUBSTITUTE(E33," ",""),"0",""),"-","")) +LEN(SUBSTITUTE(SUBSTITUTE(SUBSTITUTE(F33," ",""),"0",""),"-","")) ),1,0))</f>
      </c>
      <c r="C28" s="14" t="str">
        <f>LEN(SUBSTITUTE(SUBSTITUTE(SUBSTITUTE(B29," ",""),"0",""),"-","")) +LEN(SUBSTITUTE(SUBSTITUTE(SUBSTITUTE(C29," ",""),"0",""),"-","")) +LEN(SUBSTITUTE(SUBSTITUTE(SUBSTITUTE(B30," ",""),"0",""),"-","")) +LEN(SUBSTITUTE(SUBSTITUTE(SUBSTITUTE(C30," ",""),"0",""),"-","")) +LEN(SUBSTITUTE(SUBSTITUTE(SUBSTITUTE(B31," ",""),"0",""),"-","")) +LEN(SUBSTITUTE(SUBSTITUTE(SUBSTITUTE(C31," ",""),"0",""),"-","")) +LEN(SUBSTITUTE(SUBSTITUTE(SUBSTITUTE(B32," ",""),"0",""),"-","")) +LEN(SUBSTITUTE(SUBSTITUTE(SUBSTITUTE(C32," ",""),"0",""),"-","")) +LEN(SUBSTITUTE(SUBSTITUTE(SUBSTITUTE(B33," ",""),"0",""),"-","")) +LEN(SUBSTITUTE(SUBSTITUTE(SUBSTITUTE(C33," ",""),"0",""),"-","")) </f>
      </c>
      <c r="D28" s="18"/>
      <c r="E28" s="14" t="str">
        <f>LEN(SUBSTITUTE(SUBSTITUTE(SUBSTITUTE(E29," ",""),"0",""),"-","")) +LEN(SUBSTITUTE(SUBSTITUTE(SUBSTITUTE(F29," ",""),"0",""),"-","")) +LEN(SUBSTITUTE(SUBSTITUTE(SUBSTITUTE(E30," ",""),"0",""),"-","")) +LEN(SUBSTITUTE(SUBSTITUTE(SUBSTITUTE(F30," ",""),"0",""),"-","")) +LEN(SUBSTITUTE(SUBSTITUTE(SUBSTITUTE(E31," ",""),"0",""),"-","")) +LEN(SUBSTITUTE(SUBSTITUTE(SUBSTITUTE(F31," ",""),"0",""),"-","")) +LEN(SUBSTITUTE(SUBSTITUTE(SUBSTITUTE(E32," ",""),"0",""),"-","")) +LEN(SUBSTITUTE(SUBSTITUTE(SUBSTITUTE(F32," ",""),"0",""),"-","")) +LEN(SUBSTITUTE(SUBSTITUTE(SUBSTITUTE(E33," ",""),"0",""),"-","")) +LEN(SUBSTITUTE(SUBSTITUTE(SUBSTITUTE(F33," ",""),"0",""),"-","")) </f>
      </c>
      <c r="F28" s="14" t="str">
        <f>IF(UPPER(D29)="X",0,IF((LEN(SUBSTITUTE(SUBSTITUTE(SUBSTITUTE(E29," ",""),"0",""),"-","")) +LEN(SUBSTITUTE(SUBSTITUTE(SUBSTITUTE(F29," ",""),"0",""),"-","")) )&gt;(LEN(SUBSTITUTE(SUBSTITUTE(SUBSTITUTE(B29," ",""),"0",""),"-","")) +LEN(SUBSTITUTE(SUBSTITUTE(SUBSTITUTE(C29," ",""),"0",""),"-","")) ),1,0))+IF(UPPER(D30)="X",0,IF((LEN(SUBSTITUTE(SUBSTITUTE(SUBSTITUTE(E30," ",""),"0",""),"-","")) +LEN(SUBSTITUTE(SUBSTITUTE(SUBSTITUTE(F30," ",""),"0",""),"-","")) )&gt;(LEN(SUBSTITUTE(SUBSTITUTE(SUBSTITUTE(B30," ",""),"0",""),"-","")) +LEN(SUBSTITUTE(SUBSTITUTE(SUBSTITUTE(C30," ",""),"0",""),"-","")) ),1,0))+IF(UPPER(D31)="X",0,IF((LEN(SUBSTITUTE(SUBSTITUTE(SUBSTITUTE(E31," ",""),"0",""),"-","")) +LEN(SUBSTITUTE(SUBSTITUTE(SUBSTITUTE(F31," ",""),"0",""),"-","")) )&gt;(LEN(SUBSTITUTE(SUBSTITUTE(SUBSTITUTE(B31," ",""),"0",""),"-","")) +LEN(SUBSTITUTE(SUBSTITUTE(SUBSTITUTE(C31," ",""),"0",""),"-","")) ),1,0))+IF(UPPER(D32)="X",0,IF((LEN(SUBSTITUTE(SUBSTITUTE(SUBSTITUTE(E32," ",""),"0",""),"-","")) +LEN(SUBSTITUTE(SUBSTITUTE(SUBSTITUTE(F32," ",""),"0",""),"-","")) )&gt;(LEN(SUBSTITUTE(SUBSTITUTE(SUBSTITUTE(B32," ",""),"0",""),"-","")) +LEN(SUBSTITUTE(SUBSTITUTE(SUBSTITUTE(C32," ",""),"0",""),"-","")) ),1,0))+IF(UPPER(D33)="X",0,IF((LEN(SUBSTITUTE(SUBSTITUTE(SUBSTITUTE(E33," ",""),"0",""),"-","")) +LEN(SUBSTITUTE(SUBSTITUTE(SUBSTITUTE(F33," ",""),"0",""),"-","")) )&gt;(LEN(SUBSTITUTE(SUBSTITUTE(SUBSTITUTE(B33," ",""),"0",""),"-","")) +LEN(SUBSTITUTE(SUBSTITUTE(SUBSTITUTE(C33," ",""),"0",""),"-","")) ),1,0))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IF(UPPER(D37)="X",0,IF((LEN(SUBSTITUTE(SUBSTITUTE(SUBSTITUTE(B37," ",""),"0",""),"-","")) +LEN(SUBSTITUTE(SUBSTITUTE(SUBSTITUTE(C37," ",""),"0",""),"-","")) )&gt;(LEN(SUBSTITUTE(SUBSTITUTE(SUBSTITUTE(E37," ",""),"0",""),"-","")) +LEN(SUBSTITUTE(SUBSTITUTE(SUBSTITUTE(F37," ",""),"0",""),"-","")) ),1,0))+IF(UPPER(D38)="X",0,IF((LEN(SUBSTITUTE(SUBSTITUTE(SUBSTITUTE(B38," ",""),"0",""),"-","")) +LEN(SUBSTITUTE(SUBSTITUTE(SUBSTITUTE(C38," ",""),"0",""),"-","")) )&gt;(LEN(SUBSTITUTE(SUBSTITUTE(SUBSTITUTE(E38," ",""),"0",""),"-","")) +LEN(SUBSTITUTE(SUBSTITUTE(SUBSTITUTE(F38," ",""),"0",""),"-","")) ),1,0))+IF(UPPER(D39)="X",0,IF((LEN(SUBSTITUTE(SUBSTITUTE(SUBSTITUTE(B39," ",""),"0",""),"-","")) +LEN(SUBSTITUTE(SUBSTITUTE(SUBSTITUTE(C39," ",""),"0",""),"-","")) )&gt;(LEN(SUBSTITUTE(SUBSTITUTE(SUBSTITUTE(E39," ",""),"0",""),"-","")) +LEN(SUBSTITUTE(SUBSTITUTE(SUBSTITUTE(F39," ",""),"0",""),"-","")) ),1,0))+IF(UPPER(D40)="X",0,IF((LEN(SUBSTITUTE(SUBSTITUTE(SUBSTITUTE(B40," ",""),"0",""),"-","")) +LEN(SUBSTITUTE(SUBSTITUTE(SUBSTITUTE(C40," ",""),"0",""),"-","")) )&gt;(LEN(SUBSTITUTE(SUBSTITUTE(SUBSTITUTE(E40," ",""),"0",""),"-","")) +LEN(SUBSTITUTE(SUBSTITUTE(SUBSTITUTE(F40," ",""),"0",""),"-","")) ),1,0))+IF(UPPER(D41)="X",0,IF((LEN(SUBSTITUTE(SUBSTITUTE(SUBSTITUTE(B41," ",""),"0",""),"-","")) +LEN(SUBSTITUTE(SUBSTITUTE(SUBSTITUTE(C41," ",""),"0",""),"-","")) )&gt;(LEN(SUBSTITUTE(SUBSTITUTE(SUBSTITUTE(E41," ",""),"0",""),"-","")) +LEN(SUBSTITUTE(SUBSTITUTE(SUBSTITUTE(F41," ",""),"0",""),"-","")) ),1,0))</f>
      </c>
      <c r="C36" s="14" t="str">
        <f>LEN(SUBSTITUTE(SUBSTITUTE(SUBSTITUTE(B37," ",""),"0",""),"-","")) +LEN(SUBSTITUTE(SUBSTITUTE(SUBSTITUTE(C37," ",""),"0",""),"-","")) +LEN(SUBSTITUTE(SUBSTITUTE(SUBSTITUTE(B38," ",""),"0",""),"-","")) +LEN(SUBSTITUTE(SUBSTITUTE(SUBSTITUTE(C38," ",""),"0",""),"-","")) +LEN(SUBSTITUTE(SUBSTITUTE(SUBSTITUTE(B39," ",""),"0",""),"-","")) +LEN(SUBSTITUTE(SUBSTITUTE(SUBSTITUTE(C39," ",""),"0",""),"-","")) +LEN(SUBSTITUTE(SUBSTITUTE(SUBSTITUTE(B40," ",""),"0",""),"-","")) +LEN(SUBSTITUTE(SUBSTITUTE(SUBSTITUTE(C40," ",""),"0",""),"-","")) +LEN(SUBSTITUTE(SUBSTITUTE(SUBSTITUTE(B41," ",""),"0",""),"-","")) +LEN(SUBSTITUTE(SUBSTITUTE(SUBSTITUTE(C41," ",""),"0",""),"-","")) </f>
      </c>
      <c r="D36" s="18"/>
      <c r="E36" s="14" t="str">
        <f>LEN(SUBSTITUTE(SUBSTITUTE(SUBSTITUTE(E37," ",""),"0",""),"-","")) +LEN(SUBSTITUTE(SUBSTITUTE(SUBSTITUTE(F37," ",""),"0",""),"-","")) +LEN(SUBSTITUTE(SUBSTITUTE(SUBSTITUTE(E38," ",""),"0",""),"-","")) +LEN(SUBSTITUTE(SUBSTITUTE(SUBSTITUTE(F38," ",""),"0",""),"-","")) +LEN(SUBSTITUTE(SUBSTITUTE(SUBSTITUTE(E39," ",""),"0",""),"-","")) +LEN(SUBSTITUTE(SUBSTITUTE(SUBSTITUTE(F39," ",""),"0",""),"-","")) +LEN(SUBSTITUTE(SUBSTITUTE(SUBSTITUTE(E40," ",""),"0",""),"-","")) +LEN(SUBSTITUTE(SUBSTITUTE(SUBSTITUTE(F40," ",""),"0",""),"-","")) +LEN(SUBSTITUTE(SUBSTITUTE(SUBSTITUTE(E41," ",""),"0",""),"-","")) +LEN(SUBSTITUTE(SUBSTITUTE(SUBSTITUTE(F41," ",""),"0",""),"-","")) </f>
      </c>
      <c r="F36" s="14" t="str">
        <f>IF(UPPER(D37)="X",0,IF((LEN(SUBSTITUTE(SUBSTITUTE(SUBSTITUTE(E37," ",""),"0",""),"-","")) +LEN(SUBSTITUTE(SUBSTITUTE(SUBSTITUTE(F37," ",""),"0",""),"-","")) )&gt;(LEN(SUBSTITUTE(SUBSTITUTE(SUBSTITUTE(B37," ",""),"0",""),"-","")) +LEN(SUBSTITUTE(SUBSTITUTE(SUBSTITUTE(C37," ",""),"0",""),"-","")) ),1,0))+IF(UPPER(D38)="X",0,IF((LEN(SUBSTITUTE(SUBSTITUTE(SUBSTITUTE(E38," ",""),"0",""),"-","")) +LEN(SUBSTITUTE(SUBSTITUTE(SUBSTITUTE(F38," ",""),"0",""),"-","")) )&gt;(LEN(SUBSTITUTE(SUBSTITUTE(SUBSTITUTE(B38," ",""),"0",""),"-","")) +LEN(SUBSTITUTE(SUBSTITUTE(SUBSTITUTE(C38," ",""),"0",""),"-","")) ),1,0))+IF(UPPER(D39)="X",0,IF((LEN(SUBSTITUTE(SUBSTITUTE(SUBSTITUTE(E39," ",""),"0",""),"-","")) +LEN(SUBSTITUTE(SUBSTITUTE(SUBSTITUTE(F39," ",""),"0",""),"-","")) )&gt;(LEN(SUBSTITUTE(SUBSTITUTE(SUBSTITUTE(B39," ",""),"0",""),"-","")) +LEN(SUBSTITUTE(SUBSTITUTE(SUBSTITUTE(C39," ",""),"0",""),"-","")) ),1,0))+IF(UPPER(D40)="X",0,IF((LEN(SUBSTITUTE(SUBSTITUTE(SUBSTITUTE(E40," ",""),"0",""),"-","")) +LEN(SUBSTITUTE(SUBSTITUTE(SUBSTITUTE(F40," ",""),"0",""),"-","")) )&gt;(LEN(SUBSTITUTE(SUBSTITUTE(SUBSTITUTE(B40," ",""),"0",""),"-","")) +LEN(SUBSTITUTE(SUBSTITUTE(SUBSTITUTE(C40," ",""),"0",""),"-","")) ),1,0))+IF(UPPER(D41)="X",0,IF((LEN(SUBSTITUTE(SUBSTITUTE(SUBSTITUTE(E41," ",""),"0",""),"-","")) +LEN(SUBSTITUTE(SUBSTITUTE(SUBSTITUTE(F41," ",""),"0",""),"-","")) )&gt;(LEN(SUBSTITUTE(SUBSTITUTE(SUBSTITUTE(B41," ",""),"0",""),"-","")) +LEN(SUBSTITUTE(SUBSTITUTE(SUBSTITUTE(C41," ",""),"0",""),"-","")) ),1,0))</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IF(UPPER(D45)="X",0,IF((LEN(SUBSTITUTE(SUBSTITUTE(SUBSTITUTE(B45," ",""),"0",""),"-","")) +LEN(SUBSTITUTE(SUBSTITUTE(SUBSTITUTE(C45," ",""),"0",""),"-","")) )&gt;(LEN(SUBSTITUTE(SUBSTITUTE(SUBSTITUTE(E45," ",""),"0",""),"-","")) +LEN(SUBSTITUTE(SUBSTITUTE(SUBSTITUTE(F45," ",""),"0",""),"-","")) ),1,0))+IF(UPPER(D46)="X",0,IF((LEN(SUBSTITUTE(SUBSTITUTE(SUBSTITUTE(B46," ",""),"0",""),"-","")) +LEN(SUBSTITUTE(SUBSTITUTE(SUBSTITUTE(C46," ",""),"0",""),"-","")) )&gt;(LEN(SUBSTITUTE(SUBSTITUTE(SUBSTITUTE(E46," ",""),"0",""),"-","")) +LEN(SUBSTITUTE(SUBSTITUTE(SUBSTITUTE(F46," ",""),"0",""),"-","")) ),1,0))+IF(UPPER(D47)="X",0,IF((LEN(SUBSTITUTE(SUBSTITUTE(SUBSTITUTE(B47," ",""),"0",""),"-","")) +LEN(SUBSTITUTE(SUBSTITUTE(SUBSTITUTE(C47," ",""),"0",""),"-","")) )&gt;(LEN(SUBSTITUTE(SUBSTITUTE(SUBSTITUTE(E47," ",""),"0",""),"-","")) +LEN(SUBSTITUTE(SUBSTITUTE(SUBSTITUTE(F47," ",""),"0",""),"-","")) ),1,0))+IF(UPPER(D48)="X",0,IF((LEN(SUBSTITUTE(SUBSTITUTE(SUBSTITUTE(B48," ",""),"0",""),"-","")) +LEN(SUBSTITUTE(SUBSTITUTE(SUBSTITUTE(C48," ",""),"0",""),"-","")) )&gt;(LEN(SUBSTITUTE(SUBSTITUTE(SUBSTITUTE(E48," ",""),"0",""),"-","")) +LEN(SUBSTITUTE(SUBSTITUTE(SUBSTITUTE(F48," ",""),"0",""),"-","")) ),1,0))+IF(UPPER(D49)="X",0,IF((LEN(SUBSTITUTE(SUBSTITUTE(SUBSTITUTE(B49," ",""),"0",""),"-","")) +LEN(SUBSTITUTE(SUBSTITUTE(SUBSTITUTE(C49," ",""),"0",""),"-","")) )&gt;(LEN(SUBSTITUTE(SUBSTITUTE(SUBSTITUTE(E49," ",""),"0",""),"-","")) +LEN(SUBSTITUTE(SUBSTITUTE(SUBSTITUTE(F49," ",""),"0",""),"-","")) ),1,0))</f>
      </c>
      <c r="C44" s="14" t="str">
        <f>LEN(SUBSTITUTE(SUBSTITUTE(SUBSTITUTE(B45," ",""),"0",""),"-","")) +LEN(SUBSTITUTE(SUBSTITUTE(SUBSTITUTE(C45," ",""),"0",""),"-","")) +LEN(SUBSTITUTE(SUBSTITUTE(SUBSTITUTE(B46," ",""),"0",""),"-","")) +LEN(SUBSTITUTE(SUBSTITUTE(SUBSTITUTE(C46," ",""),"0",""),"-","")) +LEN(SUBSTITUTE(SUBSTITUTE(SUBSTITUTE(B47," ",""),"0",""),"-","")) +LEN(SUBSTITUTE(SUBSTITUTE(SUBSTITUTE(C47," ",""),"0",""),"-","")) +LEN(SUBSTITUTE(SUBSTITUTE(SUBSTITUTE(B48," ",""),"0",""),"-","")) +LEN(SUBSTITUTE(SUBSTITUTE(SUBSTITUTE(C48," ",""),"0",""),"-","")) +LEN(SUBSTITUTE(SUBSTITUTE(SUBSTITUTE(B49," ",""),"0",""),"-","")) +LEN(SUBSTITUTE(SUBSTITUTE(SUBSTITUTE(C49," ",""),"0",""),"-","")) </f>
      </c>
      <c r="D44" s="18"/>
      <c r="E44" s="14" t="str">
        <f>LEN(SUBSTITUTE(SUBSTITUTE(SUBSTITUTE(E45," ",""),"0",""),"-","")) +LEN(SUBSTITUTE(SUBSTITUTE(SUBSTITUTE(F45," ",""),"0",""),"-","")) +LEN(SUBSTITUTE(SUBSTITUTE(SUBSTITUTE(E46," ",""),"0",""),"-","")) +LEN(SUBSTITUTE(SUBSTITUTE(SUBSTITUTE(F46," ",""),"0",""),"-","")) +LEN(SUBSTITUTE(SUBSTITUTE(SUBSTITUTE(E47," ",""),"0",""),"-","")) +LEN(SUBSTITUTE(SUBSTITUTE(SUBSTITUTE(F47," ",""),"0",""),"-","")) +LEN(SUBSTITUTE(SUBSTITUTE(SUBSTITUTE(E48," ",""),"0",""),"-","")) +LEN(SUBSTITUTE(SUBSTITUTE(SUBSTITUTE(F48," ",""),"0",""),"-","")) +LEN(SUBSTITUTE(SUBSTITUTE(SUBSTITUTE(E49," ",""),"0",""),"-","")) +LEN(SUBSTITUTE(SUBSTITUTE(SUBSTITUTE(F49," ",""),"0",""),"-","")) </f>
      </c>
      <c r="F44" s="14" t="str">
        <f>IF(UPPER(D45)="X",0,IF((LEN(SUBSTITUTE(SUBSTITUTE(SUBSTITUTE(E45," ",""),"0",""),"-","")) +LEN(SUBSTITUTE(SUBSTITUTE(SUBSTITUTE(F45," ",""),"0",""),"-","")) )&gt;(LEN(SUBSTITUTE(SUBSTITUTE(SUBSTITUTE(B45," ",""),"0",""),"-","")) +LEN(SUBSTITUTE(SUBSTITUTE(SUBSTITUTE(C45," ",""),"0",""),"-","")) ),1,0))+IF(UPPER(D46)="X",0,IF((LEN(SUBSTITUTE(SUBSTITUTE(SUBSTITUTE(E46," ",""),"0",""),"-","")) +LEN(SUBSTITUTE(SUBSTITUTE(SUBSTITUTE(F46," ",""),"0",""),"-","")) )&gt;(LEN(SUBSTITUTE(SUBSTITUTE(SUBSTITUTE(B46," ",""),"0",""),"-","")) +LEN(SUBSTITUTE(SUBSTITUTE(SUBSTITUTE(C46," ",""),"0",""),"-","")) ),1,0))+IF(UPPER(D47)="X",0,IF((LEN(SUBSTITUTE(SUBSTITUTE(SUBSTITUTE(E47," ",""),"0",""),"-","")) +LEN(SUBSTITUTE(SUBSTITUTE(SUBSTITUTE(F47," ",""),"0",""),"-","")) )&gt;(LEN(SUBSTITUTE(SUBSTITUTE(SUBSTITUTE(B47," ",""),"0",""),"-","")) +LEN(SUBSTITUTE(SUBSTITUTE(SUBSTITUTE(C47," ",""),"0",""),"-","")) ),1,0))+IF(UPPER(D48)="X",0,IF((LEN(SUBSTITUTE(SUBSTITUTE(SUBSTITUTE(E48," ",""),"0",""),"-","")) +LEN(SUBSTITUTE(SUBSTITUTE(SUBSTITUTE(F48," ",""),"0",""),"-","")) )&gt;(LEN(SUBSTITUTE(SUBSTITUTE(SUBSTITUTE(B48," ",""),"0",""),"-","")) +LEN(SUBSTITUTE(SUBSTITUTE(SUBSTITUTE(C48," ",""),"0",""),"-","")) ),1,0))+IF(UPPER(D49)="X",0,IF((LEN(SUBSTITUTE(SUBSTITUTE(SUBSTITUTE(E49," ",""),"0",""),"-","")) +LEN(SUBSTITUTE(SUBSTITUTE(SUBSTITUTE(F49," ",""),"0",""),"-","")) )&gt;(LEN(SUBSTITUTE(SUBSTITUTE(SUBSTITUTE(B49," ",""),"0",""),"-","")) +LEN(SUBSTITUTE(SUBSTITUTE(SUBSTITUTE(C49," ",""),"0",""),"-","")) ),1,0))</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IF(UPPER(D72)="X",0,IF((LEN(SUBSTITUTE(SUBSTITUTE(SUBSTITUTE(B72," ",""),"0",""),"-","")) +LEN(SUBSTITUTE(SUBSTITUTE(SUBSTITUTE(C72," ",""),"0",""),"-","")) )&gt;(LEN(SUBSTITUTE(SUBSTITUTE(SUBSTITUTE(E72," ",""),"0",""),"-","")) +LEN(SUBSTITUTE(SUBSTITUTE(SUBSTITUTE(F72," ",""),"0",""),"-","")) ),1,0))+IF(UPPER(D73)="X",0,IF((LEN(SUBSTITUTE(SUBSTITUTE(SUBSTITUTE(B73," ",""),"0",""),"-","")) +LEN(SUBSTITUTE(SUBSTITUTE(SUBSTITUTE(C73," ",""),"0",""),"-","")) )&gt;(LEN(SUBSTITUTE(SUBSTITUTE(SUBSTITUTE(E73," ",""),"0",""),"-","")) +LEN(SUBSTITUTE(SUBSTITUTE(SUBSTITUTE(F73," ",""),"0",""),"-","")) ),1,0))+IF(UPPER(D74)="X",0,IF((LEN(SUBSTITUTE(SUBSTITUTE(SUBSTITUTE(B74," ",""),"0",""),"-","")) +LEN(SUBSTITUTE(SUBSTITUTE(SUBSTITUTE(C74," ",""),"0",""),"-","")) )&gt;(LEN(SUBSTITUTE(SUBSTITUTE(SUBSTITUTE(E74," ",""),"0",""),"-","")) +LEN(SUBSTITUTE(SUBSTITUTE(SUBSTITUTE(F74," ",""),"0",""),"-","")) ),1,0))+IF(UPPER(D75)="X",0,IF((LEN(SUBSTITUTE(SUBSTITUTE(SUBSTITUTE(B75," ",""),"0",""),"-","")) +LEN(SUBSTITUTE(SUBSTITUTE(SUBSTITUTE(C75," ",""),"0",""),"-","")) )&gt;(LEN(SUBSTITUTE(SUBSTITUTE(SUBSTITUTE(E75," ",""),"0",""),"-","")) +LEN(SUBSTITUTE(SUBSTITUTE(SUBSTITUTE(F75," ",""),"0",""),"-","")) ),1,0))+IF(UPPER(D76)="X",0,IF((LEN(SUBSTITUTE(SUBSTITUTE(SUBSTITUTE(B76," ",""),"0",""),"-","")) +LEN(SUBSTITUTE(SUBSTITUTE(SUBSTITUTE(C76," ",""),"0",""),"-","")) )&gt;(LEN(SUBSTITUTE(SUBSTITUTE(SUBSTITUTE(E76," ",""),"0",""),"-","")) +LEN(SUBSTITUTE(SUBSTITUTE(SUBSTITUTE(F76," ",""),"0",""),"-","")) ),1,0))</f>
      </c>
      <c r="C71" s="14" t="str">
        <f>LEN(SUBSTITUTE(SUBSTITUTE(SUBSTITUTE(B72," ",""),"0",""),"-","")) +LEN(SUBSTITUTE(SUBSTITUTE(SUBSTITUTE(C72," ",""),"0",""),"-","")) +LEN(SUBSTITUTE(SUBSTITUTE(SUBSTITUTE(B73," ",""),"0",""),"-","")) +LEN(SUBSTITUTE(SUBSTITUTE(SUBSTITUTE(C73," ",""),"0",""),"-","")) +LEN(SUBSTITUTE(SUBSTITUTE(SUBSTITUTE(B74," ",""),"0",""),"-","")) +LEN(SUBSTITUTE(SUBSTITUTE(SUBSTITUTE(C74," ",""),"0",""),"-","")) +LEN(SUBSTITUTE(SUBSTITUTE(SUBSTITUTE(B75," ",""),"0",""),"-","")) +LEN(SUBSTITUTE(SUBSTITUTE(SUBSTITUTE(C75," ",""),"0",""),"-","")) +LEN(SUBSTITUTE(SUBSTITUTE(SUBSTITUTE(B76," ",""),"0",""),"-","")) +LEN(SUBSTITUTE(SUBSTITUTE(SUBSTITUTE(C76," ",""),"0",""),"-","")) </f>
      </c>
      <c r="D71" s="18"/>
      <c r="E71" s="14" t="str">
        <f>LEN(SUBSTITUTE(SUBSTITUTE(SUBSTITUTE(E72," ",""),"0",""),"-","")) +LEN(SUBSTITUTE(SUBSTITUTE(SUBSTITUTE(F72," ",""),"0",""),"-","")) +LEN(SUBSTITUTE(SUBSTITUTE(SUBSTITUTE(E73," ",""),"0",""),"-","")) +LEN(SUBSTITUTE(SUBSTITUTE(SUBSTITUTE(F73," ",""),"0",""),"-","")) +LEN(SUBSTITUTE(SUBSTITUTE(SUBSTITUTE(E74," ",""),"0",""),"-","")) +LEN(SUBSTITUTE(SUBSTITUTE(SUBSTITUTE(F74," ",""),"0",""),"-","")) +LEN(SUBSTITUTE(SUBSTITUTE(SUBSTITUTE(E75," ",""),"0",""),"-","")) +LEN(SUBSTITUTE(SUBSTITUTE(SUBSTITUTE(F75," ",""),"0",""),"-","")) +LEN(SUBSTITUTE(SUBSTITUTE(SUBSTITUTE(E76," ",""),"0",""),"-","")) +LEN(SUBSTITUTE(SUBSTITUTE(SUBSTITUTE(F76," ",""),"0",""),"-","")) </f>
      </c>
      <c r="F71" s="14" t="str">
        <f>IF(UPPER(D72)="X",0,IF((LEN(SUBSTITUTE(SUBSTITUTE(SUBSTITUTE(E72," ",""),"0",""),"-","")) +LEN(SUBSTITUTE(SUBSTITUTE(SUBSTITUTE(F72," ",""),"0",""),"-","")) )&gt;(LEN(SUBSTITUTE(SUBSTITUTE(SUBSTITUTE(B72," ",""),"0",""),"-","")) +LEN(SUBSTITUTE(SUBSTITUTE(SUBSTITUTE(C72," ",""),"0",""),"-","")) ),1,0))+IF(UPPER(D73)="X",0,IF((LEN(SUBSTITUTE(SUBSTITUTE(SUBSTITUTE(E73," ",""),"0",""),"-","")) +LEN(SUBSTITUTE(SUBSTITUTE(SUBSTITUTE(F73," ",""),"0",""),"-","")) )&gt;(LEN(SUBSTITUTE(SUBSTITUTE(SUBSTITUTE(B73," ",""),"0",""),"-","")) +LEN(SUBSTITUTE(SUBSTITUTE(SUBSTITUTE(C73," ",""),"0",""),"-","")) ),1,0))+IF(UPPER(D74)="X",0,IF((LEN(SUBSTITUTE(SUBSTITUTE(SUBSTITUTE(E74," ",""),"0",""),"-","")) +LEN(SUBSTITUTE(SUBSTITUTE(SUBSTITUTE(F74," ",""),"0",""),"-","")) )&gt;(LEN(SUBSTITUTE(SUBSTITUTE(SUBSTITUTE(B74," ",""),"0",""),"-","")) +LEN(SUBSTITUTE(SUBSTITUTE(SUBSTITUTE(C74," ",""),"0",""),"-","")) ),1,0))+IF(UPPER(D75)="X",0,IF((LEN(SUBSTITUTE(SUBSTITUTE(SUBSTITUTE(E75," ",""),"0",""),"-","")) +LEN(SUBSTITUTE(SUBSTITUTE(SUBSTITUTE(F75," ",""),"0",""),"-","")) )&gt;(LEN(SUBSTITUTE(SUBSTITUTE(SUBSTITUTE(B75," ",""),"0",""),"-","")) +LEN(SUBSTITUTE(SUBSTITUTE(SUBSTITUTE(C75," ",""),"0",""),"-","")) ),1,0))+IF(UPPER(D76)="X",0,IF((LEN(SUBSTITUTE(SUBSTITUTE(SUBSTITUTE(E76," ",""),"0",""),"-","")) +LEN(SUBSTITUTE(SUBSTITUTE(SUBSTITUTE(F76," ",""),"0",""),"-","")) )&gt;(LEN(SUBSTITUTE(SUBSTITUTE(SUBSTITUTE(B76," ",""),"0",""),"-","")) +LEN(SUBSTITUTE(SUBSTITUTE(SUBSTITUTE(C76," ",""),"0",""),"-","")) ),1,0))</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IF(UPPER(D80)="X",0,IF((LEN(SUBSTITUTE(SUBSTITUTE(SUBSTITUTE(B80," ",""),"0",""),"-","")) +LEN(SUBSTITUTE(SUBSTITUTE(SUBSTITUTE(C80," ",""),"0",""),"-","")) )&gt;(LEN(SUBSTITUTE(SUBSTITUTE(SUBSTITUTE(E80," ",""),"0",""),"-","")) +LEN(SUBSTITUTE(SUBSTITUTE(SUBSTITUTE(F80," ",""),"0",""),"-","")) ),1,0))+IF(UPPER(D81)="X",0,IF((LEN(SUBSTITUTE(SUBSTITUTE(SUBSTITUTE(B81," ",""),"0",""),"-","")) +LEN(SUBSTITUTE(SUBSTITUTE(SUBSTITUTE(C81," ",""),"0",""),"-","")) )&gt;(LEN(SUBSTITUTE(SUBSTITUTE(SUBSTITUTE(E81," ",""),"0",""),"-","")) +LEN(SUBSTITUTE(SUBSTITUTE(SUBSTITUTE(F81," ",""),"0",""),"-","")) ),1,0))+IF(UPPER(D82)="X",0,IF((LEN(SUBSTITUTE(SUBSTITUTE(SUBSTITUTE(B82," ",""),"0",""),"-","")) +LEN(SUBSTITUTE(SUBSTITUTE(SUBSTITUTE(C82," ",""),"0",""),"-","")) )&gt;(LEN(SUBSTITUTE(SUBSTITUTE(SUBSTITUTE(E82," ",""),"0",""),"-","")) +LEN(SUBSTITUTE(SUBSTITUTE(SUBSTITUTE(F82," ",""),"0",""),"-","")) ),1,0))+IF(UPPER(D83)="X",0,IF((LEN(SUBSTITUTE(SUBSTITUTE(SUBSTITUTE(B83," ",""),"0",""),"-","")) +LEN(SUBSTITUTE(SUBSTITUTE(SUBSTITUTE(C83," ",""),"0",""),"-","")) )&gt;(LEN(SUBSTITUTE(SUBSTITUTE(SUBSTITUTE(E83," ",""),"0",""),"-","")) +LEN(SUBSTITUTE(SUBSTITUTE(SUBSTITUTE(F83," ",""),"0",""),"-","")) ),1,0))+IF(UPPER(D84)="X",0,IF((LEN(SUBSTITUTE(SUBSTITUTE(SUBSTITUTE(B84," ",""),"0",""),"-","")) +LEN(SUBSTITUTE(SUBSTITUTE(SUBSTITUTE(C84," ",""),"0",""),"-","")) )&gt;(LEN(SUBSTITUTE(SUBSTITUTE(SUBSTITUTE(E84," ",""),"0",""),"-","")) +LEN(SUBSTITUTE(SUBSTITUTE(SUBSTITUTE(F84," ",""),"0",""),"-","")) ),1,0))</f>
      </c>
      <c r="C79" s="14" t="str">
        <f>LEN(SUBSTITUTE(SUBSTITUTE(SUBSTITUTE(B80," ",""),"0",""),"-","")) +LEN(SUBSTITUTE(SUBSTITUTE(SUBSTITUTE(C80," ",""),"0",""),"-","")) +LEN(SUBSTITUTE(SUBSTITUTE(SUBSTITUTE(B81," ",""),"0",""),"-","")) +LEN(SUBSTITUTE(SUBSTITUTE(SUBSTITUTE(C81," ",""),"0",""),"-","")) +LEN(SUBSTITUTE(SUBSTITUTE(SUBSTITUTE(B82," ",""),"0",""),"-","")) +LEN(SUBSTITUTE(SUBSTITUTE(SUBSTITUTE(C82," ",""),"0",""),"-","")) +LEN(SUBSTITUTE(SUBSTITUTE(SUBSTITUTE(B83," ",""),"0",""),"-","")) +LEN(SUBSTITUTE(SUBSTITUTE(SUBSTITUTE(C83," ",""),"0",""),"-","")) +LEN(SUBSTITUTE(SUBSTITUTE(SUBSTITUTE(B84," ",""),"0",""),"-","")) +LEN(SUBSTITUTE(SUBSTITUTE(SUBSTITUTE(C84," ",""),"0",""),"-","")) </f>
      </c>
      <c r="D79" s="18"/>
      <c r="E79" s="14" t="str">
        <f>LEN(SUBSTITUTE(SUBSTITUTE(SUBSTITUTE(E80," ",""),"0",""),"-","")) +LEN(SUBSTITUTE(SUBSTITUTE(SUBSTITUTE(F80," ",""),"0",""),"-","")) +LEN(SUBSTITUTE(SUBSTITUTE(SUBSTITUTE(E81," ",""),"0",""),"-","")) +LEN(SUBSTITUTE(SUBSTITUTE(SUBSTITUTE(F81," ",""),"0",""),"-","")) +LEN(SUBSTITUTE(SUBSTITUTE(SUBSTITUTE(E82," ",""),"0",""),"-","")) +LEN(SUBSTITUTE(SUBSTITUTE(SUBSTITUTE(F82," ",""),"0",""),"-","")) +LEN(SUBSTITUTE(SUBSTITUTE(SUBSTITUTE(E83," ",""),"0",""),"-","")) +LEN(SUBSTITUTE(SUBSTITUTE(SUBSTITUTE(F83," ",""),"0",""),"-","")) +LEN(SUBSTITUTE(SUBSTITUTE(SUBSTITUTE(E84," ",""),"0",""),"-","")) +LEN(SUBSTITUTE(SUBSTITUTE(SUBSTITUTE(F84," ",""),"0",""),"-","")) </f>
      </c>
      <c r="F79" s="14" t="str">
        <f>IF(UPPER(D80)="X",0,IF((LEN(SUBSTITUTE(SUBSTITUTE(SUBSTITUTE(E80," ",""),"0",""),"-","")) +LEN(SUBSTITUTE(SUBSTITUTE(SUBSTITUTE(F80," ",""),"0",""),"-","")) )&gt;(LEN(SUBSTITUTE(SUBSTITUTE(SUBSTITUTE(B80," ",""),"0",""),"-","")) +LEN(SUBSTITUTE(SUBSTITUTE(SUBSTITUTE(C80," ",""),"0",""),"-","")) ),1,0))+IF(UPPER(D81)="X",0,IF((LEN(SUBSTITUTE(SUBSTITUTE(SUBSTITUTE(E81," ",""),"0",""),"-","")) +LEN(SUBSTITUTE(SUBSTITUTE(SUBSTITUTE(F81," ",""),"0",""),"-","")) )&gt;(LEN(SUBSTITUTE(SUBSTITUTE(SUBSTITUTE(B81," ",""),"0",""),"-","")) +LEN(SUBSTITUTE(SUBSTITUTE(SUBSTITUTE(C81," ",""),"0",""),"-","")) ),1,0))+IF(UPPER(D82)="X",0,IF((LEN(SUBSTITUTE(SUBSTITUTE(SUBSTITUTE(E82," ",""),"0",""),"-","")) +LEN(SUBSTITUTE(SUBSTITUTE(SUBSTITUTE(F82," ",""),"0",""),"-","")) )&gt;(LEN(SUBSTITUTE(SUBSTITUTE(SUBSTITUTE(B82," ",""),"0",""),"-","")) +LEN(SUBSTITUTE(SUBSTITUTE(SUBSTITUTE(C82," ",""),"0",""),"-","")) ),1,0))+IF(UPPER(D83)="X",0,IF((LEN(SUBSTITUTE(SUBSTITUTE(SUBSTITUTE(E83," ",""),"0",""),"-","")) +LEN(SUBSTITUTE(SUBSTITUTE(SUBSTITUTE(F83," ",""),"0",""),"-","")) )&gt;(LEN(SUBSTITUTE(SUBSTITUTE(SUBSTITUTE(B83," ",""),"0",""),"-","")) +LEN(SUBSTITUTE(SUBSTITUTE(SUBSTITUTE(C83," ",""),"0",""),"-","")) ),1,0))+IF(UPPER(D84)="X",0,IF((LEN(SUBSTITUTE(SUBSTITUTE(SUBSTITUTE(E84," ",""),"0",""),"-","")) +LEN(SUBSTITUTE(SUBSTITUTE(SUBSTITUTE(F84," ",""),"0",""),"-","")) )&gt;(LEN(SUBSTITUTE(SUBSTITUTE(SUBSTITUTE(B84," ",""),"0",""),"-","")) +LEN(SUBSTITUTE(SUBSTITUTE(SUBSTITUTE(C84," ",""),"0",""),"-","")) ),1,0))</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IF(UPPER(D88)="X",0,IF((LEN(SUBSTITUTE(SUBSTITUTE(SUBSTITUTE(B88," ",""),"0",""),"-","")) +LEN(SUBSTITUTE(SUBSTITUTE(SUBSTITUTE(C88," ",""),"0",""),"-","")) )&gt;(LEN(SUBSTITUTE(SUBSTITUTE(SUBSTITUTE(E88," ",""),"0",""),"-","")) +LEN(SUBSTITUTE(SUBSTITUTE(SUBSTITUTE(F88," ",""),"0",""),"-","")) ),1,0))+IF(UPPER(D89)="X",0,IF((LEN(SUBSTITUTE(SUBSTITUTE(SUBSTITUTE(B89," ",""),"0",""),"-","")) +LEN(SUBSTITUTE(SUBSTITUTE(SUBSTITUTE(C89," ",""),"0",""),"-","")) )&gt;(LEN(SUBSTITUTE(SUBSTITUTE(SUBSTITUTE(E89," ",""),"0",""),"-","")) +LEN(SUBSTITUTE(SUBSTITUTE(SUBSTITUTE(F89," ",""),"0",""),"-","")) ),1,0))+IF(UPPER(D90)="X",0,IF((LEN(SUBSTITUTE(SUBSTITUTE(SUBSTITUTE(B90," ",""),"0",""),"-","")) +LEN(SUBSTITUTE(SUBSTITUTE(SUBSTITUTE(C90," ",""),"0",""),"-","")) )&gt;(LEN(SUBSTITUTE(SUBSTITUTE(SUBSTITUTE(E90," ",""),"0",""),"-","")) +LEN(SUBSTITUTE(SUBSTITUTE(SUBSTITUTE(F90," ",""),"0",""),"-","")) ),1,0))+IF(UPPER(D91)="X",0,IF((LEN(SUBSTITUTE(SUBSTITUTE(SUBSTITUTE(B91," ",""),"0",""),"-","")) +LEN(SUBSTITUTE(SUBSTITUTE(SUBSTITUTE(C91," ",""),"0",""),"-","")) )&gt;(LEN(SUBSTITUTE(SUBSTITUTE(SUBSTITUTE(E91," ",""),"0",""),"-","")) +LEN(SUBSTITUTE(SUBSTITUTE(SUBSTITUTE(F91," ",""),"0",""),"-","")) ),1,0))+IF(UPPER(D92)="X",0,IF((LEN(SUBSTITUTE(SUBSTITUTE(SUBSTITUTE(B92," ",""),"0",""),"-","")) +LEN(SUBSTITUTE(SUBSTITUTE(SUBSTITUTE(C92," ",""),"0",""),"-","")) )&gt;(LEN(SUBSTITUTE(SUBSTITUTE(SUBSTITUTE(E92," ",""),"0",""),"-","")) +LEN(SUBSTITUTE(SUBSTITUTE(SUBSTITUTE(F92," ",""),"0",""),"-","")) ),1,0))</f>
      </c>
      <c r="C87" s="14" t="str">
        <f>LEN(SUBSTITUTE(SUBSTITUTE(SUBSTITUTE(B88," ",""),"0",""),"-","")) +LEN(SUBSTITUTE(SUBSTITUTE(SUBSTITUTE(C88," ",""),"0",""),"-","")) +LEN(SUBSTITUTE(SUBSTITUTE(SUBSTITUTE(B89," ",""),"0",""),"-","")) +LEN(SUBSTITUTE(SUBSTITUTE(SUBSTITUTE(C89," ",""),"0",""),"-","")) +LEN(SUBSTITUTE(SUBSTITUTE(SUBSTITUTE(B90," ",""),"0",""),"-","")) +LEN(SUBSTITUTE(SUBSTITUTE(SUBSTITUTE(C90," ",""),"0",""),"-","")) +LEN(SUBSTITUTE(SUBSTITUTE(SUBSTITUTE(B91," ",""),"0",""),"-","")) +LEN(SUBSTITUTE(SUBSTITUTE(SUBSTITUTE(C91," ",""),"0",""),"-","")) +LEN(SUBSTITUTE(SUBSTITUTE(SUBSTITUTE(B92," ",""),"0",""),"-","")) +LEN(SUBSTITUTE(SUBSTITUTE(SUBSTITUTE(C92," ",""),"0",""),"-","")) </f>
      </c>
      <c r="D87" s="18"/>
      <c r="E87" s="14" t="str">
        <f>LEN(SUBSTITUTE(SUBSTITUTE(SUBSTITUTE(E88," ",""),"0",""),"-","")) +LEN(SUBSTITUTE(SUBSTITUTE(SUBSTITUTE(F88," ",""),"0",""),"-","")) +LEN(SUBSTITUTE(SUBSTITUTE(SUBSTITUTE(E89," ",""),"0",""),"-","")) +LEN(SUBSTITUTE(SUBSTITUTE(SUBSTITUTE(F89," ",""),"0",""),"-","")) +LEN(SUBSTITUTE(SUBSTITUTE(SUBSTITUTE(E90," ",""),"0",""),"-","")) +LEN(SUBSTITUTE(SUBSTITUTE(SUBSTITUTE(F90," ",""),"0",""),"-","")) +LEN(SUBSTITUTE(SUBSTITUTE(SUBSTITUTE(E91," ",""),"0",""),"-","")) +LEN(SUBSTITUTE(SUBSTITUTE(SUBSTITUTE(F91," ",""),"0",""),"-","")) +LEN(SUBSTITUTE(SUBSTITUTE(SUBSTITUTE(E92," ",""),"0",""),"-","")) +LEN(SUBSTITUTE(SUBSTITUTE(SUBSTITUTE(F92," ",""),"0",""),"-","")) </f>
      </c>
      <c r="F87" s="14" t="str">
        <f>IF(UPPER(D88)="X",0,IF((LEN(SUBSTITUTE(SUBSTITUTE(SUBSTITUTE(E88," ",""),"0",""),"-","")) +LEN(SUBSTITUTE(SUBSTITUTE(SUBSTITUTE(F88," ",""),"0",""),"-","")) )&gt;(LEN(SUBSTITUTE(SUBSTITUTE(SUBSTITUTE(B88," ",""),"0",""),"-","")) +LEN(SUBSTITUTE(SUBSTITUTE(SUBSTITUTE(C88," ",""),"0",""),"-","")) ),1,0))+IF(UPPER(D89)="X",0,IF((LEN(SUBSTITUTE(SUBSTITUTE(SUBSTITUTE(E89," ",""),"0",""),"-","")) +LEN(SUBSTITUTE(SUBSTITUTE(SUBSTITUTE(F89," ",""),"0",""),"-","")) )&gt;(LEN(SUBSTITUTE(SUBSTITUTE(SUBSTITUTE(B89," ",""),"0",""),"-","")) +LEN(SUBSTITUTE(SUBSTITUTE(SUBSTITUTE(C89," ",""),"0",""),"-","")) ),1,0))+IF(UPPER(D90)="X",0,IF((LEN(SUBSTITUTE(SUBSTITUTE(SUBSTITUTE(E90," ",""),"0",""),"-","")) +LEN(SUBSTITUTE(SUBSTITUTE(SUBSTITUTE(F90," ",""),"0",""),"-","")) )&gt;(LEN(SUBSTITUTE(SUBSTITUTE(SUBSTITUTE(B90," ",""),"0",""),"-","")) +LEN(SUBSTITUTE(SUBSTITUTE(SUBSTITUTE(C90," ",""),"0",""),"-","")) ),1,0))+IF(UPPER(D91)="X",0,IF((LEN(SUBSTITUTE(SUBSTITUTE(SUBSTITUTE(E91," ",""),"0",""),"-","")) +LEN(SUBSTITUTE(SUBSTITUTE(SUBSTITUTE(F91," ",""),"0",""),"-","")) )&gt;(LEN(SUBSTITUTE(SUBSTITUTE(SUBSTITUTE(B91," ",""),"0",""),"-","")) +LEN(SUBSTITUTE(SUBSTITUTE(SUBSTITUTE(C91," ",""),"0",""),"-","")) ),1,0))+IF(UPPER(D92)="X",0,IF((LEN(SUBSTITUTE(SUBSTITUTE(SUBSTITUTE(E92," ",""),"0",""),"-","")) +LEN(SUBSTITUTE(SUBSTITUTE(SUBSTITUTE(F92," ",""),"0",""),"-","")) )&gt;(LEN(SUBSTITUTE(SUBSTITUTE(SUBSTITUTE(B92," ",""),"0",""),"-","")) +LEN(SUBSTITUTE(SUBSTITUTE(SUBSTITUTE(C92," ",""),"0",""),"-","")) ),1,0))</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B-2nd ",'Pool Matches'!G108)</f>
      </c>
      <c r="B4" s="14"/>
      <c r="C4" s="14"/>
      <c r="D4" s="18"/>
      <c r="E4" s="14"/>
      <c r="F4" s="14"/>
      <c r="G4" s="14" t="str">
        <f>CONCATENATE("Pool C-1st ",'Pool Matches'!O64)</f>
      </c>
      <c r="I4" s="14" t="str">
        <f>CONCATENATE("Pool C-2nd ",'Pool Matches'!O65)</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Matches'!G108)</f>
      </c>
      <c r="B11" s="14" t="s">
        <v>43</v>
      </c>
      <c r="C11" s="14" t="s">
        <v>46</v>
      </c>
      <c r="D11" s="14"/>
      <c r="E11" s="14" t="s">
        <v>46</v>
      </c>
      <c r="F11" s="14" t="s">
        <v>43</v>
      </c>
      <c r="G11" s="14" t="str">
        <f>CONCATENATE("Pool C-1st ",'Pool Matches'!O64)</f>
      </c>
      <c r="I11" s="14" t="str">
        <f>CONCATENATE("Pool C-2nd ",'Pool Matches'!O65)</f>
      </c>
      <c r="J11" s="14" t="s">
        <v>43</v>
      </c>
      <c r="K11" s="14" t="s">
        <v>46</v>
      </c>
      <c r="L11" s="14"/>
      <c r="M11" s="14" t="s">
        <v>46</v>
      </c>
      <c r="N11" s="14" t="s">
        <v>43</v>
      </c>
      <c r="O11" s="14" t="str">
        <f>CONCATENATE("Pool A-2nd ",'Pool Matches'!G67)</f>
      </c>
    </row>
    <row r="12">
      <c r="A12" s="14" t="s">
        <v>64</v>
      </c>
      <c r="B12"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),1,0))+IF(UPPER(D8)="X",0,IF((LEN(SUBSTITUTE(SUBSTITUTE(SUBSTITUTE(B8," ",""),"0",""),"-","")) +LEN(SUBSTITUTE(SUBSTITUTE(SUBSTITUTE(C8," ",""),"0",""),"-","")) )&gt;(LEN(SUBSTITUTE(SUBSTITUTE(SUBSTITUTE(E8," ",""),"0",""),"-","")) +LEN(SUBSTITUTE(SUBSTITUTE(SUBSTITUTE(F8," ",""),"0",""),"-","")) ),1,0))+IF(UPPER(D9)="X",0,IF((LEN(SUBSTITUTE(SUBSTITUTE(SUBSTITUTE(B9," ",""),"0",""),"-","")) +LEN(SUBSTITUTE(SUBSTITUTE(SUBSTITUTE(C9," ",""),"0",""),"-","")) )&gt;(LEN(SUBSTITUTE(SUBSTITUTE(SUBSTITUTE(E9," ",""),"0",""),"-","")) +LEN(SUBSTITUTE(SUBSTITUTE(SUBSTITUTE(F9," ",""),"0",""),"-","")) ),1,0))</f>
      </c>
      <c r="C12" s="14" t="str">
        <f>LEN(SUBSTITUTE(SUBSTITUTE(SUBSTITUTE(B5," ",""),"0",""),"-","")) +LEN(SUBSTITUTE(SUBSTITUTE(SUBSTITUTE(C5," ",""),"0",""),"-","")) +LEN(SUBSTITUTE(SUBSTITUTE(SUBSTITUTE(B6," ",""),"0",""),"-","")) +LEN(SUBSTITUTE(SUBSTITUTE(SUBSTITUTE(C6," ",""),"0",""),"-","")) +LEN(SUBSTITUTE(SUBSTITUTE(SUBSTITUTE(B7," ",""),"0",""),"-","")) +LEN(SUBSTITUTE(SUBSTITUTE(SUBSTITUTE(C7," ",""),"0",""),"-","")) +LEN(SUBSTITUTE(SUBSTITUTE(SUBSTITUTE(B8," ",""),"0",""),"-","")) +LEN(SUBSTITUTE(SUBSTITUTE(SUBSTITUTE(C8," ",""),"0",""),"-","")) +LEN(SUBSTITUTE(SUBSTITUTE(SUBSTITUTE(B9," ",""),"0",""),"-","")) +LEN(SUBSTITUTE(SUBSTITUTE(SUBSTITUTE(C9," ",""),"0",""),"-","")) </f>
      </c>
      <c r="D12" s="14"/>
      <c r="E12" s="14" t="str">
        <f>LEN(SUBSTITUTE(SUBSTITUTE(SUBSTITUTE(E5," ",""),"0",""),"-","")) +LEN(SUBSTITUTE(SUBSTITUTE(SUBSTITUTE(F5," ",""),"0",""),"-","")) +LEN(SUBSTITUTE(SUBSTITUTE(SUBSTITUTE(E6," ",""),"0",""),"-","")) +LEN(SUBSTITUTE(SUBSTITUTE(SUBSTITUTE(F6," ",""),"0",""),"-","")) +LEN(SUBSTITUTE(SUBSTITUTE(SUBSTITUTE(E7," ",""),"0",""),"-","")) +LEN(SUBSTITUTE(SUBSTITUTE(SUBSTITUTE(F7," ",""),"0",""),"-","")) +LEN(SUBSTITUTE(SUBSTITUTE(SUBSTITUTE(E8," ",""),"0",""),"-","")) +LEN(SUBSTITUTE(SUBSTITUTE(SUBSTITUTE(F8," ",""),"0",""),"-","")) +LEN(SUBSTITUTE(SUBSTITUTE(SUBSTITUTE(E9," ",""),"0",""),"-","")) +LEN(SUBSTITUTE(SUBSTITUTE(SUBSTITUTE(F9," ",""),"0",""),"-","")) </f>
      </c>
      <c r="F12"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),1,0))+IF(UPPER(D8)="X",0,IF((LEN(SUBSTITUTE(SUBSTITUTE(SUBSTITUTE(E8," ",""),"0",""),"-","")) +LEN(SUBSTITUTE(SUBSTITUTE(SUBSTITUTE(F8," ",""),"0",""),"-","")) )&gt;(LEN(SUBSTITUTE(SUBSTITUTE(SUBSTITUTE(B8," ",""),"0",""),"-","")) +LEN(SUBSTITUTE(SUBSTITUTE(SUBSTITUTE(C8," ",""),"0",""),"-","")) ),1,0))+IF(UPPER(D9)="X",0,IF((LEN(SUBSTITUTE(SUBSTITUTE(SUBSTITUTE(E9," ",""),"0",""),"-","")) +LEN(SUBSTITUTE(SUBSTITUTE(SUBSTITUTE(F9," ",""),"0",""),"-","")) )&gt;(LEN(SUBSTITUTE(SUBSTITUTE(SUBSTITUTE(B9," ",""),"0",""),"-","")) +LEN(SUBSTITUTE(SUBSTITUTE(SUBSTITUTE(C9," ",""),"0",""),"-","")) ),1,0))</f>
      </c>
      <c r="G12" s="14" t="s">
        <v>64</v>
      </c>
      <c r="I12" s="14" t="s">
        <v>64</v>
      </c>
      <c r="J12" s="14" t="str">
        <f>IF(UPPER(L5)="X",0,IF((LEN(SUBSTITUTE(SUBSTITUTE(SUBSTITUTE(J5," ",""),"0",""),"-","")) +LEN(SUBSTITUTE(SUBSTITUTE(SUBSTITUTE(K5," ",""),"0",""),"-","")) )&gt;(LEN(SUBSTITUTE(SUBSTITUTE(SUBSTITUTE(M5," ",""),"0",""),"-","")) +LEN(SUBSTITUTE(SUBSTITUTE(SUBSTITUTE(N5," ",""),"0",""),"-","")) ),1,0))+IF(UPPER(L6)="X",0,IF((LEN(SUBSTITUTE(SUBSTITUTE(SUBSTITUTE(J6," ",""),"0",""),"-","")) +LEN(SUBSTITUTE(SUBSTITUTE(SUBSTITUTE(K6," ",""),"0",""),"-","")) )&gt;(LEN(SUBSTITUTE(SUBSTITUTE(SUBSTITUTE(M6," ",""),"0",""),"-","")) +LEN(SUBSTITUTE(SUBSTITUTE(SUBSTITUTE(N6," ",""),"0",""),"-","")) ),1,0))+IF(UPPER(L7)="X",0,IF((LEN(SUBSTITUTE(SUBSTITUTE(SUBSTITUTE(J7," ",""),"0",""),"-","")) +LEN(SUBSTITUTE(SUBSTITUTE(SUBSTITUTE(K7," ",""),"0",""),"-","")) )&gt;(LEN(SUBSTITUTE(SUBSTITUTE(SUBSTITUTE(M7," ",""),"0",""),"-","")) +LEN(SUBSTITUTE(SUBSTITUTE(SUBSTITUTE(N7," ",""),"0",""),"-","")) ),1,0))+IF(UPPER(L8)="X",0,IF((LEN(SUBSTITUTE(SUBSTITUTE(SUBSTITUTE(J8," ",""),"0",""),"-","")) +LEN(SUBSTITUTE(SUBSTITUTE(SUBSTITUTE(K8," ",""),"0",""),"-","")) )&gt;(LEN(SUBSTITUTE(SUBSTITUTE(SUBSTITUTE(M8," ",""),"0",""),"-","")) +LEN(SUBSTITUTE(SUBSTITUTE(SUBSTITUTE(N8," ",""),"0",""),"-","")) ),1,0))+IF(UPPER(L9)="X",0,IF((LEN(SUBSTITUTE(SUBSTITUTE(SUBSTITUTE(J9," ",""),"0",""),"-","")) +LEN(SUBSTITUTE(SUBSTITUTE(SUBSTITUTE(K9," ",""),"0",""),"-","")) )&gt;(LEN(SUBSTITUTE(SUBSTITUTE(SUBSTITUTE(M9," ",""),"0",""),"-","")) +LEN(SUBSTITUTE(SUBSTITUTE(SUBSTITUTE(N9," ",""),"0",""),"-","")) ),1,0))</f>
      </c>
      <c r="K12" s="14" t="str">
        <f>LEN(SUBSTITUTE(SUBSTITUTE(SUBSTITUTE(J5," ",""),"0",""),"-","")) +LEN(SUBSTITUTE(SUBSTITUTE(SUBSTITUTE(K5," ",""),"0",""),"-","")) +LEN(SUBSTITUTE(SUBSTITUTE(SUBSTITUTE(J6," ",""),"0",""),"-","")) +LEN(SUBSTITUTE(SUBSTITUTE(SUBSTITUTE(K6," ",""),"0",""),"-","")) +LEN(SUBSTITUTE(SUBSTITUTE(SUBSTITUTE(J7," ",""),"0",""),"-","")) +LEN(SUBSTITUTE(SUBSTITUTE(SUBSTITUTE(K7," ",""),"0",""),"-","")) +LEN(SUBSTITUTE(SUBSTITUTE(SUBSTITUTE(J8," ",""),"0",""),"-","")) +LEN(SUBSTITUTE(SUBSTITUTE(SUBSTITUTE(K8," ",""),"0",""),"-","")) +LEN(SUBSTITUTE(SUBSTITUTE(SUBSTITUTE(J9," ",""),"0",""),"-","")) +LEN(SUBSTITUTE(SUBSTITUTE(SUBSTITUTE(K9," ",""),"0",""),"-","")) </f>
      </c>
      <c r="L12" s="14"/>
      <c r="M12" s="14" t="str">
        <f>LEN(SUBSTITUTE(SUBSTITUTE(SUBSTITUTE(M5," ",""),"0",""),"-","")) +LEN(SUBSTITUTE(SUBSTITUTE(SUBSTITUTE(N5," ",""),"0",""),"-","")) +LEN(SUBSTITUTE(SUBSTITUTE(SUBSTITUTE(M6," ",""),"0",""),"-","")) +LEN(SUBSTITUTE(SUBSTITUTE(SUBSTITUTE(N6," ",""),"0",""),"-","")) +LEN(SUBSTITUTE(SUBSTITUTE(SUBSTITUTE(M7," ",""),"0",""),"-","")) +LEN(SUBSTITUTE(SUBSTITUTE(SUBSTITUTE(N7," ",""),"0",""),"-","")) +LEN(SUBSTITUTE(SUBSTITUTE(SUBSTITUTE(M8," ",""),"0",""),"-","")) +LEN(SUBSTITUTE(SUBSTITUTE(SUBSTITUTE(N8," ",""),"0",""),"-","")) +LEN(SUBSTITUTE(SUBSTITUTE(SUBSTITUTE(M9," ",""),"0",""),"-","")) +LEN(SUBSTITUTE(SUBSTITUTE(SUBSTITUTE(N9," ",""),"0",""),"-","")) </f>
      </c>
      <c r="N12" s="14" t="str">
        <f>IF(UPPER(L5)="X",0,IF((LEN(SUBSTITUTE(SUBSTITUTE(SUBSTITUTE(M5," ",""),"0",""),"-","")) +LEN(SUBSTITUTE(SUBSTITUTE(SUBSTITUTE(N5," ",""),"0",""),"-","")) )&gt;(LEN(SUBSTITUTE(SUBSTITUTE(SUBSTITUTE(J5," ",""),"0",""),"-","")) +LEN(SUBSTITUTE(SUBSTITUTE(SUBSTITUTE(K5," ",""),"0",""),"-","")) ),1,0))+IF(UPPER(L6)="X",0,IF((LEN(SUBSTITUTE(SUBSTITUTE(SUBSTITUTE(M6," ",""),"0",""),"-","")) +LEN(SUBSTITUTE(SUBSTITUTE(SUBSTITUTE(N6," ",""),"0",""),"-","")) )&gt;(LEN(SUBSTITUTE(SUBSTITUTE(SUBSTITUTE(J6," ",""),"0",""),"-","")) +LEN(SUBSTITUTE(SUBSTITUTE(SUBSTITUTE(K6," ",""),"0",""),"-","")) ),1,0))+IF(UPPER(L7)="X",0,IF((LEN(SUBSTITUTE(SUBSTITUTE(SUBSTITUTE(M7," ",""),"0",""),"-","")) +LEN(SUBSTITUTE(SUBSTITUTE(SUBSTITUTE(N7," ",""),"0",""),"-","")) )&gt;(LEN(SUBSTITUTE(SUBSTITUTE(SUBSTITUTE(J7," ",""),"0",""),"-","")) +LEN(SUBSTITUTE(SUBSTITUTE(SUBSTITUTE(K7," ",""),"0",""),"-","")) ),1,0))+IF(UPPER(L8)="X",0,IF((LEN(SUBSTITUTE(SUBSTITUTE(SUBSTITUTE(M8," ",""),"0",""),"-","")) +LEN(SUBSTITUTE(SUBSTITUTE(SUBSTITUTE(N8," ",""),"0",""),"-","")) )&gt;(LEN(SUBSTITUTE(SUBSTITUTE(SUBSTITUTE(J8," ",""),"0",""),"-","")) +LEN(SUBSTITUTE(SUBSTITUTE(SUBSTITUTE(K8," ",""),"0",""),"-","")) ),1,0))+IF(UPPER(L9)="X",0,IF((LEN(SUBSTITUTE(SUBSTITUTE(SUBSTITUTE(M9," ",""),"0",""),"-","")) +LEN(SUBSTITUTE(SUBSTITUTE(SUBSTITUTE(N9," ",""),"0",""),"-","")) )&gt;(LEN(SUBSTITUTE(SUBSTITUTE(SUBSTITUTE(J9," ",""),"0",""),"-","")) +LEN(SUBSTITUTE(SUBSTITUTE(SUBSTITUTE(K9," ",""),"0",""),"-","")) ),1,0))</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B-1st ",'Pool Matches'!G107)</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B-1st ",'Pool Matches'!G107)</f>
      </c>
    </row>
    <row r="33">
      <c r="A33" s="14" t="s">
        <v>64</v>
      </c>
      <c r="B33" s="14" t="str">
        <f>IF(UPPER(D26)="X",0,IF((LEN(SUBSTITUTE(SUBSTITUTE(SUBSTITUTE(B26," ",""),"0",""),"-","")) +LEN(SUBSTITUTE(SUBSTITUTE(SUBSTITUTE(C26," ",""),"0",""),"-","")) )&gt;(LEN(SUBSTITUTE(SUBSTITUTE(SUBSTITUTE(E26," ",""),"0",""),"-","")) +LEN(SUBSTITUTE(SUBSTITUTE(SUBSTITUTE(F26," ",""),"0",""),"-","")) ),1,0))+IF(UPPER(D27)="X",0,IF((LEN(SUBSTITUTE(SUBSTITUTE(SUBSTITUTE(B27," ",""),"0",""),"-","")) +LEN(SUBSTITUTE(SUBSTITUTE(SUBSTITUTE(C27," ",""),"0",""),"-","")) )&gt;(LEN(SUBSTITUTE(SUBSTITUTE(SUBSTITUTE(E27," ",""),"0",""),"-","")) +LEN(SUBSTITUTE(SUBSTITUTE(SUBSTITUTE(F27," ",""),"0",""),"-","")) ),1,0))+IF(UPPER(D28)="X",0,IF((LEN(SUBSTITUTE(SUBSTITUTE(SUBSTITUTE(B28," ",""),"0",""),"-","")) +LEN(SUBSTITUTE(SUBSTITUTE(SUBSTITUTE(C28," ",""),"0",""),"-","")) )&gt;(LEN(SUBSTITUTE(SUBSTITUTE(SUBSTITUTE(E28," ",""),"0",""),"-","")) +LEN(SUBSTITUTE(SUBSTITUTE(SUBSTITUTE(F28," ",""),"0",""),"-","")) ),1,0))+IF(UPPER(D29)="X",0,IF((LEN(SUBSTITUTE(SUBSTITUTE(SUBSTITUTE(B29," ",""),"0",""),"-","")) +LEN(SUBSTITUTE(SUBSTITUTE(SUBSTITUTE(C29," ",""),"0",""),"-","")) )&gt;(LEN(SUBSTITUTE(SUBSTITUTE(SUBSTITUTE(E29," ",""),"0",""),"-","")) +LEN(SUBSTITUTE(SUBSTITUTE(SUBSTITUTE(F29," ",""),"0",""),"-","")) ),1,0))+IF(UPPER(D30)="X",0,IF((LEN(SUBSTITUTE(SUBSTITUTE(SUBSTITUTE(B30," ",""),"0",""),"-","")) +LEN(SUBSTITUTE(SUBSTITUTE(SUBSTITUTE(C30," ",""),"0",""),"-","")) )&gt;(LEN(SUBSTITUTE(SUBSTITUTE(SUBSTITUTE(E30," ",""),"0",""),"-","")) +LEN(SUBSTITUTE(SUBSTITUTE(SUBSTITUTE(F30," ",""),"0",""),"-","")) ),1,0))</f>
      </c>
      <c r="C33" s="14" t="str">
        <f>LEN(SUBSTITUTE(SUBSTITUTE(SUBSTITUTE(B26," ",""),"0",""),"-","")) +LEN(SUBSTITUTE(SUBSTITUTE(SUBSTITUTE(C26," ",""),"0",""),"-","")) +LEN(SUBSTITUTE(SUBSTITUTE(SUBSTITUTE(B27," ",""),"0",""),"-","")) +LEN(SUBSTITUTE(SUBSTITUTE(SUBSTITUTE(C27," ",""),"0",""),"-","")) +LEN(SUBSTITUTE(SUBSTITUTE(SUBSTITUTE(B28," ",""),"0",""),"-","")) +LEN(SUBSTITUTE(SUBSTITUTE(SUBSTITUTE(C28," ",""),"0",""),"-","")) +LEN(SUBSTITUTE(SUBSTITUTE(SUBSTITUTE(B29," ",""),"0",""),"-","")) +LEN(SUBSTITUTE(SUBSTITUTE(SUBSTITUTE(C29," ",""),"0",""),"-","")) +LEN(SUBSTITUTE(SUBSTITUTE(SUBSTITUTE(B30," ",""),"0",""),"-","")) +LEN(SUBSTITUTE(SUBSTITUTE(SUBSTITUTE(C30," ",""),"0",""),"-","")) </f>
      </c>
      <c r="D33" s="14"/>
      <c r="E33" s="14" t="str">
        <f>LEN(SUBSTITUTE(SUBSTITUTE(SUBSTITUTE(E26," ",""),"0",""),"-","")) +LEN(SUBSTITUTE(SUBSTITUTE(SUBSTITUTE(F26," ",""),"0",""),"-","")) +LEN(SUBSTITUTE(SUBSTITUTE(SUBSTITUTE(E27," ",""),"0",""),"-","")) +LEN(SUBSTITUTE(SUBSTITUTE(SUBSTITUTE(F27," ",""),"0",""),"-","")) +LEN(SUBSTITUTE(SUBSTITUTE(SUBSTITUTE(E28," ",""),"0",""),"-","")) +LEN(SUBSTITUTE(SUBSTITUTE(SUBSTITUTE(F28," ",""),"0",""),"-","")) +LEN(SUBSTITUTE(SUBSTITUTE(SUBSTITUTE(E29," ",""),"0",""),"-","")) +LEN(SUBSTITUTE(SUBSTITUTE(SUBSTITUTE(F29," ",""),"0",""),"-","")) +LEN(SUBSTITUTE(SUBSTITUTE(SUBSTITUTE(E30," ",""),"0",""),"-","")) +LEN(SUBSTITUTE(SUBSTITUTE(SUBSTITUTE(F30," ",""),"0",""),"-","")) </f>
      </c>
      <c r="F33" s="14" t="str">
        <f>IF(UPPER(D26)="X",0,IF((LEN(SUBSTITUTE(SUBSTITUTE(SUBSTITUTE(E26," ",""),"0",""),"-","")) +LEN(SUBSTITUTE(SUBSTITUTE(SUBSTITUTE(F26," ",""),"0",""),"-","")) )&gt;(LEN(SUBSTITUTE(SUBSTITUTE(SUBSTITUTE(B26," ",""),"0",""),"-","")) +LEN(SUBSTITUTE(SUBSTITUTE(SUBSTITUTE(C26," ",""),"0",""),"-","")) ),1,0))+IF(UPPER(D27)="X",0,IF((LEN(SUBSTITUTE(SUBSTITUTE(SUBSTITUTE(E27," ",""),"0",""),"-","")) +LEN(SUBSTITUTE(SUBSTITUTE(SUBSTITUTE(F27," ",""),"0",""),"-","")) )&gt;(LEN(SUBSTITUTE(SUBSTITUTE(SUBSTITUTE(B27," ",""),"0",""),"-","")) +LEN(SUBSTITUTE(SUBSTITUTE(SUBSTITUTE(C27," ",""),"0",""),"-","")) ),1,0))+IF(UPPER(D28)="X",0,IF((LEN(SUBSTITUTE(SUBSTITUTE(SUBSTITUTE(E28," ",""),"0",""),"-","")) +LEN(SUBSTITUTE(SUBSTITUTE(SUBSTITUTE(F28," ",""),"0",""),"-","")) )&gt;(LEN(SUBSTITUTE(SUBSTITUTE(SUBSTITUTE(B28," ",""),"0",""),"-","")) +LEN(SUBSTITUTE(SUBSTITUTE(SUBSTITUTE(C28," ",""),"0",""),"-","")) ),1,0))+IF(UPPER(D29)="X",0,IF((LEN(SUBSTITUTE(SUBSTITUTE(SUBSTITUTE(E29," ",""),"0",""),"-","")) +LEN(SUBSTITUTE(SUBSTITUTE(SUBSTITUTE(F29," ",""),"0",""),"-","")) )&gt;(LEN(SUBSTITUTE(SUBSTITUTE(SUBSTITUTE(B29," ",""),"0",""),"-","")) +LEN(SUBSTITUTE(SUBSTITUTE(SUBSTITUTE(C29," ",""),"0",""),"-","")) ),1,0))+IF(UPPER(D30)="X",0,IF((LEN(SUBSTITUTE(SUBSTITUTE(SUBSTITUTE(E30," ",""),"0",""),"-","")) +LEN(SUBSTITUTE(SUBSTITUTE(SUBSTITUTE(F30," ",""),"0",""),"-","")) )&gt;(LEN(SUBSTITUTE(SUBSTITUTE(SUBSTITUTE(B30," ",""),"0",""),"-","")) +LEN(SUBSTITUTE(SUBSTITUTE(SUBSTITUTE(C30," ",""),"0",""),"-","")) ),1,0))</f>
      </c>
      <c r="G33" s="14" t="s">
        <v>64</v>
      </c>
      <c r="I33" s="14" t="s">
        <v>64</v>
      </c>
      <c r="J33" s="14" t="str">
        <f>IF(UPPER(L26)="X",0,IF((LEN(SUBSTITUTE(SUBSTITUTE(SUBSTITUTE(J26," ",""),"0",""),"-","")) +LEN(SUBSTITUTE(SUBSTITUTE(SUBSTITUTE(K26," ",""),"0",""),"-","")) )&gt;(LEN(SUBSTITUTE(SUBSTITUTE(SUBSTITUTE(M26," ",""),"0",""),"-","")) +LEN(SUBSTITUTE(SUBSTITUTE(SUBSTITUTE(N26," ",""),"0",""),"-","")) ),1,0))+IF(UPPER(L27)="X",0,IF((LEN(SUBSTITUTE(SUBSTITUTE(SUBSTITUTE(J27," ",""),"0",""),"-","")) +LEN(SUBSTITUTE(SUBSTITUTE(SUBSTITUTE(K27," ",""),"0",""),"-","")) )&gt;(LEN(SUBSTITUTE(SUBSTITUTE(SUBSTITUTE(M27," ",""),"0",""),"-","")) +LEN(SUBSTITUTE(SUBSTITUTE(SUBSTITUTE(N27," ",""),"0",""),"-","")) ),1,0))+IF(UPPER(L28)="X",0,IF((LEN(SUBSTITUTE(SUBSTITUTE(SUBSTITUTE(J28," ",""),"0",""),"-","")) +LEN(SUBSTITUTE(SUBSTITUTE(SUBSTITUTE(K28," ",""),"0",""),"-","")) )&gt;(LEN(SUBSTITUTE(SUBSTITUTE(SUBSTITUTE(M28," ",""),"0",""),"-","")) +LEN(SUBSTITUTE(SUBSTITUTE(SUBSTITUTE(N28," ",""),"0",""),"-","")) ),1,0))+IF(UPPER(L29)="X",0,IF((LEN(SUBSTITUTE(SUBSTITUTE(SUBSTITUTE(J29," ",""),"0",""),"-","")) +LEN(SUBSTITUTE(SUBSTITUTE(SUBSTITUTE(K29," ",""),"0",""),"-","")) )&gt;(LEN(SUBSTITUTE(SUBSTITUTE(SUBSTITUTE(M29," ",""),"0",""),"-","")) +LEN(SUBSTITUTE(SUBSTITUTE(SUBSTITUTE(N29," ",""),"0",""),"-","")) ),1,0))+IF(UPPER(L30)="X",0,IF((LEN(SUBSTITUTE(SUBSTITUTE(SUBSTITUTE(J30," ",""),"0",""),"-","")) +LEN(SUBSTITUTE(SUBSTITUTE(SUBSTITUTE(K30," ",""),"0",""),"-","")) )&gt;(LEN(SUBSTITUTE(SUBSTITUTE(SUBSTITUTE(M30," ",""),"0",""),"-","")) +LEN(SUBSTITUTE(SUBSTITUTE(SUBSTITUTE(N30," ",""),"0",""),"-","")) ),1,0))</f>
      </c>
      <c r="K33" s="14" t="str">
        <f>LEN(SUBSTITUTE(SUBSTITUTE(SUBSTITUTE(J26," ",""),"0",""),"-","")) +LEN(SUBSTITUTE(SUBSTITUTE(SUBSTITUTE(K26," ",""),"0",""),"-","")) +LEN(SUBSTITUTE(SUBSTITUTE(SUBSTITUTE(J27," ",""),"0",""),"-","")) +LEN(SUBSTITUTE(SUBSTITUTE(SUBSTITUTE(K27," ",""),"0",""),"-","")) +LEN(SUBSTITUTE(SUBSTITUTE(SUBSTITUTE(J28," ",""),"0",""),"-","")) +LEN(SUBSTITUTE(SUBSTITUTE(SUBSTITUTE(K28," ",""),"0",""),"-","")) +LEN(SUBSTITUTE(SUBSTITUTE(SUBSTITUTE(J29," ",""),"0",""),"-","")) +LEN(SUBSTITUTE(SUBSTITUTE(SUBSTITUTE(K29," ",""),"0",""),"-","")) +LEN(SUBSTITUTE(SUBSTITUTE(SUBSTITUTE(J30," ",""),"0",""),"-","")) +LEN(SUBSTITUTE(SUBSTITUTE(SUBSTITUTE(K30," ",""),"0",""),"-","")) </f>
      </c>
      <c r="L33" s="14"/>
      <c r="M33" s="14" t="str">
        <f>LEN(SUBSTITUTE(SUBSTITUTE(SUBSTITUTE(M26," ",""),"0",""),"-","")) +LEN(SUBSTITUTE(SUBSTITUTE(SUBSTITUTE(N26," ",""),"0",""),"-","")) +LEN(SUBSTITUTE(SUBSTITUTE(SUBSTITUTE(M27," ",""),"0",""),"-","")) +LEN(SUBSTITUTE(SUBSTITUTE(SUBSTITUTE(N27," ",""),"0",""),"-","")) +LEN(SUBSTITUTE(SUBSTITUTE(SUBSTITUTE(M28," ",""),"0",""),"-","")) +LEN(SUBSTITUTE(SUBSTITUTE(SUBSTITUTE(N28," ",""),"0",""),"-","")) +LEN(SUBSTITUTE(SUBSTITUTE(SUBSTITUTE(M29," ",""),"0",""),"-","")) +LEN(SUBSTITUTE(SUBSTITUTE(SUBSTITUTE(N29," ",""),"0",""),"-","")) +LEN(SUBSTITUTE(SUBSTITUTE(SUBSTITUTE(M30," ",""),"0",""),"-","")) +LEN(SUBSTITUTE(SUBSTITUTE(SUBSTITUTE(N30," ",""),"0",""),"-","")) </f>
      </c>
      <c r="N33" s="14" t="str">
        <f>IF(UPPER(L26)="X",0,IF((LEN(SUBSTITUTE(SUBSTITUTE(SUBSTITUTE(M26," ",""),"0",""),"-","")) +LEN(SUBSTITUTE(SUBSTITUTE(SUBSTITUTE(N26," ",""),"0",""),"-","")) )&gt;(LEN(SUBSTITUTE(SUBSTITUTE(SUBSTITUTE(J26," ",""),"0",""),"-","")) +LEN(SUBSTITUTE(SUBSTITUTE(SUBSTITUTE(K26," ",""),"0",""),"-","")) ),1,0))+IF(UPPER(L27)="X",0,IF((LEN(SUBSTITUTE(SUBSTITUTE(SUBSTITUTE(M27," ",""),"0",""),"-","")) +LEN(SUBSTITUTE(SUBSTITUTE(SUBSTITUTE(N27," ",""),"0",""),"-","")) )&gt;(LEN(SUBSTITUTE(SUBSTITUTE(SUBSTITUTE(J27," ",""),"0",""),"-","")) +LEN(SUBSTITUTE(SUBSTITUTE(SUBSTITUTE(K27," ",""),"0",""),"-","")) ),1,0))+IF(UPPER(L28)="X",0,IF((LEN(SUBSTITUTE(SUBSTITUTE(SUBSTITUTE(M28," ",""),"0",""),"-","")) +LEN(SUBSTITUTE(SUBSTITUTE(SUBSTITUTE(N28," ",""),"0",""),"-","")) )&gt;(LEN(SUBSTITUTE(SUBSTITUTE(SUBSTITUTE(J28," ",""),"0",""),"-","")) +LEN(SUBSTITUTE(SUBSTITUTE(SUBSTITUTE(K28," ",""),"0",""),"-","")) ),1,0))+IF(UPPER(L29)="X",0,IF((LEN(SUBSTITUTE(SUBSTITUTE(SUBSTITUTE(M29," ",""),"0",""),"-","")) +LEN(SUBSTITUTE(SUBSTITUTE(SUBSTITUTE(N29," ",""),"0",""),"-","")) )&gt;(LEN(SUBSTITUTE(SUBSTITUTE(SUBSTITUTE(J29," ",""),"0",""),"-","")) +LEN(SUBSTITUTE(SUBSTITUTE(SUBSTITUTE(K29," ",""),"0",""),"-","")) ),1,0))+IF(UPPER(L30)="X",0,IF((LEN(SUBSTITUTE(SUBSTITUTE(SUBSTITUTE(M30," ",""),"0",""),"-","")) +LEN(SUBSTITUTE(SUBSTITUTE(SUBSTITUTE(N30," ",""),"0",""),"-","")) )&gt;(LEN(SUBSTITUTE(SUBSTITUTE(SUBSTITUTE(J30," ",""),"0",""),"-","")) +LEN(SUBSTITUTE(SUBSTITUTE(SUBSTITUTE(K30," ",""),"0",""),"-","")) ),1,0))</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IF(UPPER(D47)="X",0,IF((LEN(SUBSTITUTE(SUBSTITUTE(SUBSTITUTE(B47," ",""),"0",""),"-","")) +LEN(SUBSTITUTE(SUBSTITUTE(SUBSTITUTE(C47," ",""),"0",""),"-","")) )&gt;(LEN(SUBSTITUTE(SUBSTITUTE(SUBSTITUTE(E47," ",""),"0",""),"-","")) +LEN(SUBSTITUTE(SUBSTITUTE(SUBSTITUTE(F47," ",""),"0",""),"-","")) ),1,0))+IF(UPPER(D48)="X",0,IF((LEN(SUBSTITUTE(SUBSTITUTE(SUBSTITUTE(B48," ",""),"0",""),"-","")) +LEN(SUBSTITUTE(SUBSTITUTE(SUBSTITUTE(C48," ",""),"0",""),"-","")) )&gt;(LEN(SUBSTITUTE(SUBSTITUTE(SUBSTITUTE(E48," ",""),"0",""),"-","")) +LEN(SUBSTITUTE(SUBSTITUTE(SUBSTITUTE(F48," ",""),"0",""),"-","")) ),1,0))+IF(UPPER(D49)="X",0,IF((LEN(SUBSTITUTE(SUBSTITUTE(SUBSTITUTE(B49," ",""),"0",""),"-","")) +LEN(SUBSTITUTE(SUBSTITUTE(SUBSTITUTE(C49," ",""),"0",""),"-","")) )&gt;(LEN(SUBSTITUTE(SUBSTITUTE(SUBSTITUTE(E49," ",""),"0",""),"-","")) +LEN(SUBSTITUTE(SUBSTITUTE(SUBSTITUTE(F49," ",""),"0",""),"-","")) ),1,0))+IF(UPPER(D50)="X",0,IF((LEN(SUBSTITUTE(SUBSTITUTE(SUBSTITUTE(B50," ",""),"0",""),"-","")) +LEN(SUBSTITUTE(SUBSTITUTE(SUBSTITUTE(C50," ",""),"0",""),"-","")) )&gt;(LEN(SUBSTITUTE(SUBSTITUTE(SUBSTITUTE(E50," ",""),"0",""),"-","")) +LEN(SUBSTITUTE(SUBSTITUTE(SUBSTITUTE(F50," ",""),"0",""),"-","")) ),1,0))+IF(UPPER(D51)="X",0,IF((LEN(SUBSTITUTE(SUBSTITUTE(SUBSTITUTE(B51," ",""),"0",""),"-","")) +LEN(SUBSTITUTE(SUBSTITUTE(SUBSTITUTE(C51," ",""),"0",""),"-","")) )&gt;(LEN(SUBSTITUTE(SUBSTITUTE(SUBSTITUTE(E51," ",""),"0",""),"-","")) +LEN(SUBSTITUTE(SUBSTITUTE(SUBSTITUTE(F51," ",""),"0",""),"-","")) ),1,0))</f>
      </c>
      <c r="C54" s="14" t="str">
        <f>LEN(SUBSTITUTE(SUBSTITUTE(SUBSTITUTE(B47," ",""),"0",""),"-","")) +LEN(SUBSTITUTE(SUBSTITUTE(SUBSTITUTE(C47," ",""),"0",""),"-","")) +LEN(SUBSTITUTE(SUBSTITUTE(SUBSTITUTE(B48," ",""),"0",""),"-","")) +LEN(SUBSTITUTE(SUBSTITUTE(SUBSTITUTE(C48," ",""),"0",""),"-","")) +LEN(SUBSTITUTE(SUBSTITUTE(SUBSTITUTE(B49," ",""),"0",""),"-","")) +LEN(SUBSTITUTE(SUBSTITUTE(SUBSTITUTE(C49," ",""),"0",""),"-","")) +LEN(SUBSTITUTE(SUBSTITUTE(SUBSTITUTE(B50," ",""),"0",""),"-","")) +LEN(SUBSTITUTE(SUBSTITUTE(SUBSTITUTE(C50," ",""),"0",""),"-","")) +LEN(SUBSTITUTE(SUBSTITUTE(SUBSTITUTE(B51," ",""),"0",""),"-","")) +LEN(SUBSTITUTE(SUBSTITUTE(SUBSTITUTE(C51," ",""),"0",""),"-","")) </f>
      </c>
      <c r="D54" s="14"/>
      <c r="E54" s="14" t="str">
        <f>LEN(SUBSTITUTE(SUBSTITUTE(SUBSTITUTE(E47," ",""),"0",""),"-","")) +LEN(SUBSTITUTE(SUBSTITUTE(SUBSTITUTE(F47," ",""),"0",""),"-","")) +LEN(SUBSTITUTE(SUBSTITUTE(SUBSTITUTE(E48," ",""),"0",""),"-","")) +LEN(SUBSTITUTE(SUBSTITUTE(SUBSTITUTE(F48," ",""),"0",""),"-","")) +LEN(SUBSTITUTE(SUBSTITUTE(SUBSTITUTE(E49," ",""),"0",""),"-","")) +LEN(SUBSTITUTE(SUBSTITUTE(SUBSTITUTE(F49," ",""),"0",""),"-","")) +LEN(SUBSTITUTE(SUBSTITUTE(SUBSTITUTE(E50," ",""),"0",""),"-","")) +LEN(SUBSTITUTE(SUBSTITUTE(SUBSTITUTE(F50," ",""),"0",""),"-","")) +LEN(SUBSTITUTE(SUBSTITUTE(SUBSTITUTE(E51," ",""),"0",""),"-","")) +LEN(SUBSTITUTE(SUBSTITUTE(SUBSTITUTE(F51," ",""),"0",""),"-","")) </f>
      </c>
      <c r="F54" s="14" t="str">
        <f>IF(UPPER(D47)="X",0,IF((LEN(SUBSTITUTE(SUBSTITUTE(SUBSTITUTE(E47," ",""),"0",""),"-","")) +LEN(SUBSTITUTE(SUBSTITUTE(SUBSTITUTE(F47," ",""),"0",""),"-","")) )&gt;(LEN(SUBSTITUTE(SUBSTITUTE(SUBSTITUTE(B47," ",""),"0",""),"-","")) +LEN(SUBSTITUTE(SUBSTITUTE(SUBSTITUTE(C47," ",""),"0",""),"-","")) ),1,0))+IF(UPPER(D48)="X",0,IF((LEN(SUBSTITUTE(SUBSTITUTE(SUBSTITUTE(E48," ",""),"0",""),"-","")) +LEN(SUBSTITUTE(SUBSTITUTE(SUBSTITUTE(F48," ",""),"0",""),"-","")) )&gt;(LEN(SUBSTITUTE(SUBSTITUTE(SUBSTITUTE(B48," ",""),"0",""),"-","")) +LEN(SUBSTITUTE(SUBSTITUTE(SUBSTITUTE(C48," ",""),"0",""),"-","")) ),1,0))+IF(UPPER(D49)="X",0,IF((LEN(SUBSTITUTE(SUBSTITUTE(SUBSTITUTE(E49," ",""),"0",""),"-","")) +LEN(SUBSTITUTE(SUBSTITUTE(SUBSTITUTE(F49," ",""),"0",""),"-","")) )&gt;(LEN(SUBSTITUTE(SUBSTITUTE(SUBSTITUTE(B49," ",""),"0",""),"-","")) +LEN(SUBSTITUTE(SUBSTITUTE(SUBSTITUTE(C49," ",""),"0",""),"-","")) ),1,0))+IF(UPPER(D50)="X",0,IF((LEN(SUBSTITUTE(SUBSTITUTE(SUBSTITUTE(E50," ",""),"0",""),"-","")) +LEN(SUBSTITUTE(SUBSTITUTE(SUBSTITUTE(F50," ",""),"0",""),"-","")) )&gt;(LEN(SUBSTITUTE(SUBSTITUTE(SUBSTITUTE(B50," ",""),"0",""),"-","")) +LEN(SUBSTITUTE(SUBSTITUTE(SUBSTITUTE(C50," ",""),"0",""),"-","")) ),1,0))+IF(UPPER(D51)="X",0,IF((LEN(SUBSTITUTE(SUBSTITUTE(SUBSTITUTE(E51," ",""),"0",""),"-","")) +LEN(SUBSTITUTE(SUBSTITUTE(SUBSTITUTE(F51," ",""),"0",""),"-","")) )&gt;(LEN(SUBSTITUTE(SUBSTITUTE(SUBSTITUTE(B51," ",""),"0",""),"-","")) +LEN(SUBSTITUTE(SUBSTITUTE(SUBSTITUTE(C51," ",""),"0",""),"-","")) ),1,0))</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Matches'!G66)</f>
      </c>
    </row>
    <row r="7">
      <c r="A7" s="26" t="str">
        <f>"3. " &amp; data!$B$5</f>
      </c>
      <c r="F7" s="22"/>
      <c r="G7" s="20"/>
    </row>
    <row r="8">
      <c r="A8" s="27" t="str">
        <f>"4. " &amp; data!$B$6</f>
      </c>
      <c r="G8" s="21">
        <v>3</v>
      </c>
    </row>
    <row r="9">
      <c r="A9" s="22"/>
      <c r="C9" s="23" t="str">
        <f>CONCATENATE("Pool C-1st ",'Pool Matches'!O64)</f>
      </c>
      <c r="G9" s="20"/>
    </row>
    <row r="10">
      <c r="A10" s="24" t="str">
        <f>'data'!$A$9</f>
      </c>
      <c r="D10" s="22"/>
      <c r="E10" s="21">
        <v>1</v>
      </c>
      <c r="F10" s="15"/>
      <c r="G10" s="20"/>
    </row>
    <row r="11">
      <c r="A11" s="25" t="str">
        <f>"1. " &amp; data!$B$7</f>
      </c>
      <c r="C11" s="23" t="str">
        <f>CONCATENATE("Pool B-2nd ",'Pool Matches'!G108)</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'data'!$A$12</f>
      </c>
    </row>
    <row r="5">
      <c r="A5" s="25" t="str">
        <f>"1. " &amp; data!$B$10</f>
      </c>
    </row>
    <row r="6">
      <c r="A6" s="26" t="str">
        <f>"2. " &amp; data!$B$11</f>
      </c>
      <c r="E6" s="23" t="str">
        <f>CONCATENATE("Pool B-1st ",'Pool Matches'!G107)</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C-2nd ",'Pool Matches'!O65)</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53</v>
      </c>
    </row>
    <row r="2" ht="390" customHeight="true">
      <c r="A2" s="30" t="s">
        <v>53</v>
      </c>
    </row>
    <row r="3" ht="390" customHeight="true">
      <c r="A3" s="30" t="s">
        <v>54</v>
      </c>
    </row>
    <row r="4" ht="390" customHeight="true">
      <c r="A4" s="30" t="s">
        <v>54</v>
      </c>
    </row>
    <row r="5" ht="390" customHeight="true">
      <c r="A5" s="30" t="s">
        <v>55</v>
      </c>
    </row>
    <row r="6" ht="390" customHeight="true">
      <c r="A6" s="30" t="s">
        <v>55</v>
      </c>
    </row>
    <row r="7" ht="390" customHeight="true">
      <c r="A7" s="30" t="s">
        <v>56</v>
      </c>
    </row>
    <row r="8" ht="390" customHeight="true">
      <c r="A8" s="30" t="s">
        <v>56</v>
      </c>
    </row>
    <row r="9" ht="390" customHeight="true">
      <c r="A9" s="30" t="s">
        <v>57</v>
      </c>
    </row>
    <row r="10" ht="390" customHeight="true">
      <c r="A10" s="30" t="s">
        <v>57</v>
      </c>
    </row>
    <row r="11" ht="390" customHeight="true">
      <c r="A11" s="30" t="s">
        <v>58</v>
      </c>
    </row>
    <row r="12" ht="390" customHeight="true">
      <c r="A12" s="30" t="s">
        <v>58</v>
      </c>
    </row>
    <row r="13" ht="390" customHeight="true">
      <c r="A13" s="30" t="s">
        <v>59</v>
      </c>
    </row>
    <row r="14" ht="390" customHeight="true">
      <c r="A14" s="30" t="s">
        <v>59</v>
      </c>
    </row>
    <row r="15" ht="390" customHeight="true">
      <c r="A15" s="30" t="s">
        <v>60</v>
      </c>
    </row>
    <row r="16" ht="390" customHeight="true">
      <c r="A16" s="30" t="s">
        <v>60</v>
      </c>
    </row>
    <row r="17" ht="390" customHeight="true">
      <c r="A17" s="30" t="s">
        <v>61</v>
      </c>
    </row>
    <row r="18" ht="390" customHeight="true">
      <c r="A18" s="30" t="s">
        <v>61</v>
      </c>
    </row>
    <row r="19" ht="390" customHeight="true">
      <c r="A19" s="30" t="s">
        <v>62</v>
      </c>
    </row>
    <row r="20" ht="390"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