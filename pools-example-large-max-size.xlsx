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8"/>
  <workbookPr/>
  <mc:AlternateContent xmlns:mc="http://schemas.openxmlformats.org/markup-compatibility/2006">
    <mc:Choice Requires="x15">
      <x15ac:absPath xmlns:x15ac="http://schemas.microsoft.com/office/spreadsheetml/2010/11/ac" url="/Users/ricardo/repos/bracket-creator/"/>
    </mc:Choice>
  </mc:AlternateContent>
  <bookViews>
    <workbookView xWindow="0" yWindow="760" windowWidth="26060" windowHeight="21580" activeTab="10"/>
  </bookViews>
  <sheets>
    <sheet name="data" sheetId="1" r:id="rId1"/>
    <sheet name="Time Estimator" sheetId="9" r:id="rId2"/>
    <sheet name="Pool Draw" sheetId="2" r:id="rId3"/>
    <sheet name="Pool Matches" sheetId="6" r:id="rId4"/>
    <sheet name="Elimination Matches" sheetId="7" r:id="rId5"/>
    <sheet name="Names to Print" sheetId="8" r:id="rId6"/>
    <sheet name="Tree 1" sheetId="10" r:id="rId13"/>
    <sheet name="Tree 2" sheetId="11" r:id="rId14"/>
    <sheet name="Tree 3" sheetId="12" r:id="rId15"/>
    <sheet name="Tree 4" sheetId="13" r:id="rId16"/>
    <sheet name="Tags" sheetId="14" r:id="rId17"/>
  </sheets>
  <definedNames>
    <definedName localSheetId="2" name="_xlnm.Print_Area">'Pool Draw'!$B$2:$F$69</definedName>
    <definedName localSheetId="3" name="_xlnm.Print_Area">'Pool Matches'!$A$1:$O$176</definedName>
    <definedName localSheetId="5" name="_xlnm.Print_Area">'Names to Print'!$A$1:$B$182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1">
      <go:sheetsCustomData xmlns:go="http://customooxmlschemas.google.com/" r:id="rId8" roundtripDataSignature="AMtx7mjixO/si/hM6WjHMz2VA5FyVvvfTA=="/>
    </ext>
  </extLst>
</workbook>
</file>

<file path=xl/calcChain.xml><?xml version="1.0" encoding="utf-8"?>
<calcChain xmlns="http://schemas.openxmlformats.org/spreadsheetml/2006/main">
  <c r="E3" i="9" l="true"/>
  <c r="H3" i="9" s="true"/>
  <c r="E8" i="9"/>
  <c r="H8" i="9" s="true"/>
  <c r="E2" i="9"/>
  <c r="H2" i="9" s="true"/>
</calcChain>
</file>

<file path=xl/sharedStrings.xml><?xml version="1.0" encoding="utf-8"?>
<sst xmlns="http://schemas.openxmlformats.org/spreadsheetml/2006/main" count="403" uniqueCount="403">
  <si>
    <t>Elimination Round 1</t>
  </si>
  <si>
    <t>Tournament Pools</t>
  </si>
  <si>
    <t>Number of pools</t>
  </si>
  <si>
    <t>Team size</t>
  </si>
  <si>
    <t>Matches per pool</t>
  </si>
  <si>
    <t>Time per match</t>
  </si>
  <si>
    <t>Total time for matches</t>
  </si>
  <si>
    <t>Padding time for rotation</t>
  </si>
  <si>
    <t>Time for breaks</t>
  </si>
  <si>
    <t>Total Time</t>
  </si>
  <si>
    <t>Number of Elimination Matches</t>
  </si>
  <si>
    <t>Title prefix:</t>
  </si>
  <si>
    <t>Pool</t>
  </si>
  <si>
    <t>Player Name</t>
  </si>
  <si>
    <t>Player Dojo</t>
  </si>
  <si>
    <t>Display Name</t>
  </si>
  <si>
    <t>Metadata</t>
  </si>
  <si>
    <t>Pool A</t>
  </si>
  <si>
    <t>Kevin Clark</t>
  </si>
  <si>
    <t>Team Alpha</t>
  </si>
  <si>
    <t>CLARK</t>
  </si>
  <si>
    <t>Parker Lewis</t>
  </si>
  <si>
    <t>Team Zeta</t>
  </si>
  <si>
    <t>LEWIS</t>
  </si>
  <si>
    <t>Virginia Woolf</t>
  </si>
  <si>
    <t>Team Chi</t>
  </si>
  <si>
    <t>WOOLF</t>
  </si>
  <si>
    <t>Pool B</t>
  </si>
  <si>
    <t>Michael Lewis</t>
  </si>
  <si>
    <t>Team Gamma</t>
  </si>
  <si>
    <t>Ryan Hall</t>
  </si>
  <si>
    <t>Team Theta</t>
  </si>
  <si>
    <t>HALL</t>
  </si>
  <si>
    <t>Xavier Herbert</t>
  </si>
  <si>
    <t>Team Omega</t>
  </si>
  <si>
    <t>HERBERT</t>
  </si>
  <si>
    <t>Pool C</t>
  </si>
  <si>
    <t>Oliver Walker</t>
  </si>
  <si>
    <t>Team Epsilon</t>
  </si>
  <si>
    <t>WALKER</t>
  </si>
  <si>
    <t>Tristan Young</t>
  </si>
  <si>
    <t>Team Kappa</t>
  </si>
  <si>
    <t>YOUNG</t>
  </si>
  <si>
    <t>Albus Dumbledore</t>
  </si>
  <si>
    <t>DUMBLEDORE</t>
  </si>
  <si>
    <t>Pool D</t>
  </si>
  <si>
    <t>Quentin Allen</t>
  </si>
  <si>
    <t>Team Beta</t>
  </si>
  <si>
    <t>ALLEN</t>
  </si>
  <si>
    <t>Ulysses Hernandez</t>
  </si>
  <si>
    <t>HERNANDEZ</t>
  </si>
  <si>
    <t>Cersei Lannister</t>
  </si>
  <si>
    <t>LANNISTER</t>
  </si>
  <si>
    <t>Pool E</t>
  </si>
  <si>
    <t>Steven Hernandez</t>
  </si>
  <si>
    <t>Team Delta</t>
  </si>
  <si>
    <t>William Wright</t>
  </si>
  <si>
    <t>WRIGHT</t>
  </si>
  <si>
    <t>Eddard Stark</t>
  </si>
  <si>
    <t>STARK</t>
  </si>
  <si>
    <t>Pool F</t>
  </si>
  <si>
    <t>Uriel Wright</t>
  </si>
  <si>
    <t>Yosef Hill</t>
  </si>
  <si>
    <t>HILL</t>
  </si>
  <si>
    <t>Gandalf The Grey</t>
  </si>
  <si>
    <t>Team Eta</t>
  </si>
  <si>
    <t>GANDALF</t>
  </si>
  <si>
    <t>Pool G</t>
  </si>
  <si>
    <t>William Hill</t>
  </si>
  <si>
    <t>Bram Stoker</t>
  </si>
  <si>
    <t>STOKER</t>
  </si>
  <si>
    <t>Inigo Montoya</t>
  </si>
  <si>
    <t>Team Iota</t>
  </si>
  <si>
    <t>MONTOYA</t>
  </si>
  <si>
    <t>Pool H</t>
  </si>
  <si>
    <t>Yosef Green</t>
  </si>
  <si>
    <t>GREEN</t>
  </si>
  <si>
    <t>Daniel Defoe</t>
  </si>
  <si>
    <t>DEFOE</t>
  </si>
  <si>
    <t>Katniss Everdeen</t>
  </si>
  <si>
    <t>Team Lambda</t>
  </si>
  <si>
    <t>EVERDEEN</t>
  </si>
  <si>
    <t>Pool I</t>
  </si>
  <si>
    <t>Aaron Thompson</t>
  </si>
  <si>
    <t>THOMPSON</t>
  </si>
  <si>
    <t>George Orwell</t>
  </si>
  <si>
    <t>ORWELL</t>
  </si>
  <si>
    <t>Legolas Greenleaf</t>
  </si>
  <si>
    <t>Team Mu</t>
  </si>
  <si>
    <t>GREENLEAF</t>
  </si>
  <si>
    <t>Pool J</t>
  </si>
  <si>
    <t>Caleb Wilson</t>
  </si>
  <si>
    <t>WILSON</t>
  </si>
  <si>
    <t>Isaac Asimov</t>
  </si>
  <si>
    <t>ASIMOV</t>
  </si>
  <si>
    <t>Neville Longbottom</t>
  </si>
  <si>
    <t>Team Xi</t>
  </si>
  <si>
    <t>LONGBOTTOM</t>
  </si>
  <si>
    <t>Pool K</t>
  </si>
  <si>
    <t>Elijah Taylor</t>
  </si>
  <si>
    <t>TAYLOR</t>
  </si>
  <si>
    <t>Kurt Vonnegut</t>
  </si>
  <si>
    <t>VONNEGUT</t>
  </si>
  <si>
    <t>Petyr Baelish</t>
  </si>
  <si>
    <t>Team Pi</t>
  </si>
  <si>
    <t>BAELISH</t>
  </si>
  <si>
    <t>Pool L</t>
  </si>
  <si>
    <t>Gabriel Thomas</t>
  </si>
  <si>
    <t>THOMAS</t>
  </si>
  <si>
    <t>Mary Shelley</t>
  </si>
  <si>
    <t>Team Nu</t>
  </si>
  <si>
    <t>SHELLEY</t>
  </si>
  <si>
    <t>Ron Weasley</t>
  </si>
  <si>
    <t>Team Sigma</t>
  </si>
  <si>
    <t>WEASLEY</t>
  </si>
  <si>
    <t>Pool M</t>
  </si>
  <si>
    <t>Isaac White</t>
  </si>
  <si>
    <t>WHITE</t>
  </si>
  <si>
    <t>Oscar Wilde</t>
  </si>
  <si>
    <t>Team Omicron</t>
  </si>
  <si>
    <t>WILDE</t>
  </si>
  <si>
    <t>Tyrion Lannister</t>
  </si>
  <si>
    <t>Team Upsilon</t>
  </si>
  <si>
    <t>Pool N</t>
  </si>
  <si>
    <t>Kaden Martin</t>
  </si>
  <si>
    <t>MARTIN</t>
  </si>
  <si>
    <t>Quentin Blake</t>
  </si>
  <si>
    <t>Team Rho</t>
  </si>
  <si>
    <t>BLAKE</t>
  </si>
  <si>
    <t>Voldemort</t>
  </si>
  <si>
    <t>VOLDEMORT</t>
  </si>
  <si>
    <t>Pool O</t>
  </si>
  <si>
    <t>Mason Martinez</t>
  </si>
  <si>
    <t>MARTINEZ</t>
  </si>
  <si>
    <t>Sylvia Plath</t>
  </si>
  <si>
    <t>Team Tau</t>
  </si>
  <si>
    <t>PLATH</t>
  </si>
  <si>
    <t>Xaro Xhoan Daxos</t>
  </si>
  <si>
    <t>DAXOS</t>
  </si>
  <si>
    <t>Pool P</t>
  </si>
  <si>
    <t>Owen Rodriguez</t>
  </si>
  <si>
    <t>RODRIGUEZ</t>
  </si>
  <si>
    <t>Ursula K Le Guin</t>
  </si>
  <si>
    <t>Team Phi</t>
  </si>
  <si>
    <t>LE GUIN</t>
  </si>
  <si>
    <t>Pool Q</t>
  </si>
  <si>
    <t>Luke Rodriguez</t>
  </si>
  <si>
    <t>Quinn Walker</t>
  </si>
  <si>
    <t>William Shakespeare</t>
  </si>
  <si>
    <t>Team Psi</t>
  </si>
  <si>
    <t>SHAKESPEARE</t>
  </si>
  <si>
    <t>Pool R</t>
  </si>
  <si>
    <t>Nathan Lee</t>
  </si>
  <si>
    <t>LEE</t>
  </si>
  <si>
    <t>Sebastian Allen</t>
  </si>
  <si>
    <t>Yann Martel</t>
  </si>
  <si>
    <t>MARTEL</t>
  </si>
  <si>
    <t>Pool S</t>
  </si>
  <si>
    <t>Paul Hall</t>
  </si>
  <si>
    <t>Bilbo Baggins</t>
  </si>
  <si>
    <t>BAGGINS</t>
  </si>
  <si>
    <t>Ygritte</t>
  </si>
  <si>
    <t>YGRITTE</t>
  </si>
  <si>
    <t>Pool T</t>
  </si>
  <si>
    <t>Robert Young</t>
  </si>
  <si>
    <t>Vincent King</t>
  </si>
  <si>
    <t>KING</t>
  </si>
  <si>
    <t>Daenerys Targaryen</t>
  </si>
  <si>
    <t>TARGARYEN</t>
  </si>
  <si>
    <t>Pool U</t>
  </si>
  <si>
    <t>Thomas King</t>
  </si>
  <si>
    <t>Xavier Lopez</t>
  </si>
  <si>
    <t>LOPEZ</t>
  </si>
  <si>
    <t>Frodo Baggins</t>
  </si>
  <si>
    <t>Pool V</t>
  </si>
  <si>
    <t>Victor Lopez</t>
  </si>
  <si>
    <t>Arthur Conan</t>
  </si>
  <si>
    <t>CONAN</t>
  </si>
  <si>
    <t>Hermione Granger</t>
  </si>
  <si>
    <t>GRANGER</t>
  </si>
  <si>
    <t>Pool W</t>
  </si>
  <si>
    <t>Xavier Scott</t>
  </si>
  <si>
    <t>SCOTT</t>
  </si>
  <si>
    <t>Charles Dickens</t>
  </si>
  <si>
    <t>DICKENS</t>
  </si>
  <si>
    <t>Jon Snow</t>
  </si>
  <si>
    <t>SNOW</t>
  </si>
  <si>
    <t>Pool X</t>
  </si>
  <si>
    <t>Zachary Adams</t>
  </si>
  <si>
    <t>ADAMS</t>
  </si>
  <si>
    <t>Emily Bronte</t>
  </si>
  <si>
    <t>BRONTE</t>
  </si>
  <si>
    <t>Fyodor Dostoevsky</t>
  </si>
  <si>
    <t>DOSTOEVSKY</t>
  </si>
  <si>
    <t>Pool Y</t>
  </si>
  <si>
    <t>Benjamin Evans</t>
  </si>
  <si>
    <t>EVANS</t>
  </si>
  <si>
    <t>Herman Melville</t>
  </si>
  <si>
    <t>MELVILLE</t>
  </si>
  <si>
    <t>Moby Dick</t>
  </si>
  <si>
    <t>DICK</t>
  </si>
  <si>
    <t>Pool Z</t>
  </si>
  <si>
    <t>Dylan Moore</t>
  </si>
  <si>
    <t>MOORE</t>
  </si>
  <si>
    <t>Jane Austen</t>
  </si>
  <si>
    <t>AUSTEN</t>
  </si>
  <si>
    <t>Othello</t>
  </si>
  <si>
    <t>OTHELLO</t>
  </si>
  <si>
    <t>Pool AA</t>
  </si>
  <si>
    <t>Finn Anderson</t>
  </si>
  <si>
    <t>ANDERSON</t>
  </si>
  <si>
    <t>Lewis Carroll</t>
  </si>
  <si>
    <t>CARROLL</t>
  </si>
  <si>
    <t>Quirinus Quirrell</t>
  </si>
  <si>
    <t>QUIRRELL</t>
  </si>
  <si>
    <t>Pool BB</t>
  </si>
  <si>
    <t>Hudson Jackson</t>
  </si>
  <si>
    <t>JACKSON</t>
  </si>
  <si>
    <t>Nathaniel Hawthorne</t>
  </si>
  <si>
    <t>HAWTHORNE</t>
  </si>
  <si>
    <t>Samwise Gamgee</t>
  </si>
  <si>
    <t>GAMGEE</t>
  </si>
  <si>
    <t>Pool CC</t>
  </si>
  <si>
    <t>Jackson Harris</t>
  </si>
  <si>
    <t>HARRIS</t>
  </si>
  <si>
    <t>Philip K Dick</t>
  </si>
  <si>
    <t>Ulysses</t>
  </si>
  <si>
    <t>ULYSSES</t>
  </si>
  <si>
    <t>Pool DD</t>
  </si>
  <si>
    <t>Liam Thompson</t>
  </si>
  <si>
    <t>Ray Bradbury</t>
  </si>
  <si>
    <t>BRADBURY</t>
  </si>
  <si>
    <t>Willy Wonka</t>
  </si>
  <si>
    <t>WONKA</t>
  </si>
  <si>
    <t>Pool EE</t>
  </si>
  <si>
    <t>Nolan Clark</t>
  </si>
  <si>
    <t>Thomas Hardy</t>
  </si>
  <si>
    <t>HARDY</t>
  </si>
  <si>
    <t>Shiaijo A</t>
  </si>
  <si>
    <t>Shiaijo B</t>
  </si>
  <si>
    <t>Red</t>
  </si>
  <si>
    <t>vs</t>
  </si>
  <si>
    <t>White</t>
  </si>
  <si>
    <t xml:space="preserve">1. </t>
  </si>
  <si>
    <t xml:space="preserve">2. </t>
  </si>
  <si>
    <t xml:space="preserve">3. </t>
  </si>
  <si>
    <t>A1</t>
  </si>
  <si>
    <t>A2</t>
  </si>
  <si>
    <t>A3</t>
  </si>
  <si>
    <t>B1</t>
  </si>
  <si>
    <t>B2</t>
  </si>
  <si>
    <t>B3</t>
  </si>
  <si>
    <t>C1</t>
  </si>
  <si>
    <t>C2</t>
  </si>
  <si>
    <t>C3</t>
  </si>
  <si>
    <t>D1</t>
  </si>
  <si>
    <t>D2</t>
  </si>
  <si>
    <t>D3</t>
  </si>
  <si>
    <t>E1</t>
  </si>
  <si>
    <t>E2</t>
  </si>
  <si>
    <t>E3</t>
  </si>
  <si>
    <t>F1</t>
  </si>
  <si>
    <t>F2</t>
  </si>
  <si>
    <t>F3</t>
  </si>
  <si>
    <t>G1</t>
  </si>
  <si>
    <t>G2</t>
  </si>
  <si>
    <t>G3</t>
  </si>
  <si>
    <t>H1</t>
  </si>
  <si>
    <t>H2</t>
  </si>
  <si>
    <t>H3</t>
  </si>
  <si>
    <t>I1</t>
  </si>
  <si>
    <t>I2</t>
  </si>
  <si>
    <t>I3</t>
  </si>
  <si>
    <t>J1</t>
  </si>
  <si>
    <t>J2</t>
  </si>
  <si>
    <t>J3</t>
  </si>
  <si>
    <t>K1</t>
  </si>
  <si>
    <t>K2</t>
  </si>
  <si>
    <t>K3</t>
  </si>
  <si>
    <t>L1</t>
  </si>
  <si>
    <t>L2</t>
  </si>
  <si>
    <t>L3</t>
  </si>
  <si>
    <t>M1</t>
  </si>
  <si>
    <t>M2</t>
  </si>
  <si>
    <t>M3</t>
  </si>
  <si>
    <t>N1</t>
  </si>
  <si>
    <t>N2</t>
  </si>
  <si>
    <t>N3</t>
  </si>
  <si>
    <t>O1</t>
  </si>
  <si>
    <t>O2</t>
  </si>
  <si>
    <t>O3</t>
  </si>
  <si>
    <t>P1</t>
  </si>
  <si>
    <t>P2</t>
  </si>
  <si>
    <t>Q1</t>
  </si>
  <si>
    <t>Q2</t>
  </si>
  <si>
    <t>Q3</t>
  </si>
  <si>
    <t>R1</t>
  </si>
  <si>
    <t>R2</t>
  </si>
  <si>
    <t>R3</t>
  </si>
  <si>
    <t>S1</t>
  </si>
  <si>
    <t>S2</t>
  </si>
  <si>
    <t>S3</t>
  </si>
  <si>
    <t>T1</t>
  </si>
  <si>
    <t>T2</t>
  </si>
  <si>
    <t>T3</t>
  </si>
  <si>
    <t>U1</t>
  </si>
  <si>
    <t>U2</t>
  </si>
  <si>
    <t>U3</t>
  </si>
  <si>
    <t>V1</t>
  </si>
  <si>
    <t>V2</t>
  </si>
  <si>
    <t>V3</t>
  </si>
  <si>
    <t>W1</t>
  </si>
  <si>
    <t>W2</t>
  </si>
  <si>
    <t>W3</t>
  </si>
  <si>
    <t>X1</t>
  </si>
  <si>
    <t>X2</t>
  </si>
  <si>
    <t>X3</t>
  </si>
  <si>
    <t>Y1</t>
  </si>
  <si>
    <t>Y2</t>
  </si>
  <si>
    <t>Y3</t>
  </si>
  <si>
    <t>Z1</t>
  </si>
  <si>
    <t>Z2</t>
  </si>
  <si>
    <t>Z3</t>
  </si>
  <si>
    <t>AA1</t>
  </si>
  <si>
    <t>AA2</t>
  </si>
  <si>
    <t>AA3</t>
  </si>
  <si>
    <t>BB1</t>
  </si>
  <si>
    <t>BB2</t>
  </si>
  <si>
    <t>BB3</t>
  </si>
  <si>
    <t>CC1</t>
  </si>
  <si>
    <t>CC2</t>
  </si>
  <si>
    <t>CC3</t>
  </si>
  <si>
    <t>DD1</t>
  </si>
  <si>
    <t>DD2</t>
  </si>
  <si>
    <t>DD3</t>
  </si>
  <si>
    <t>EE1</t>
  </si>
  <si>
    <t>EE2</t>
  </si>
  <si>
    <t>Match 1</t>
  </si>
  <si>
    <t>1.</t>
  </si>
  <si>
    <t>2.</t>
  </si>
  <si>
    <t>Match 2</t>
  </si>
  <si>
    <t>Match 3</t>
  </si>
  <si>
    <t>Match 4</t>
  </si>
  <si>
    <t>Match 5</t>
  </si>
  <si>
    <t>Match 6</t>
  </si>
  <si>
    <t>Match 7</t>
  </si>
  <si>
    <t>Match 8</t>
  </si>
  <si>
    <t>Match 9</t>
  </si>
  <si>
    <t>Match 10</t>
  </si>
  <si>
    <t>Match 11</t>
  </si>
  <si>
    <t>Match 12</t>
  </si>
  <si>
    <t>Match 13</t>
  </si>
  <si>
    <t>Match 14</t>
  </si>
  <si>
    <t>Match 15</t>
  </si>
  <si>
    <t>Match 16</t>
  </si>
  <si>
    <t>Match 17</t>
  </si>
  <si>
    <t>Match 18</t>
  </si>
  <si>
    <t>Match 19</t>
  </si>
  <si>
    <t>Match 20</t>
  </si>
  <si>
    <t>Match 21</t>
  </si>
  <si>
    <t>Match 22</t>
  </si>
  <si>
    <t>Match 23</t>
  </si>
  <si>
    <t>Match 24</t>
  </si>
  <si>
    <t>Match 25</t>
  </si>
  <si>
    <t>Match 26</t>
  </si>
  <si>
    <t>Match 27</t>
  </si>
  <si>
    <t>Match 28</t>
  </si>
  <si>
    <t>Match 29</t>
  </si>
  <si>
    <t>Match 30</t>
  </si>
  <si>
    <t>Elimination Round 2</t>
  </si>
  <si>
    <t>Match 31</t>
  </si>
  <si>
    <t>Match 32</t>
  </si>
  <si>
    <t>Match 33</t>
  </si>
  <si>
    <t>Match 34</t>
  </si>
  <si>
    <t>Match 35</t>
  </si>
  <si>
    <t>Match 36</t>
  </si>
  <si>
    <t>Match 37</t>
  </si>
  <si>
    <t>Match 38</t>
  </si>
  <si>
    <t>Match 39</t>
  </si>
  <si>
    <t>Match 40</t>
  </si>
  <si>
    <t>Match 41</t>
  </si>
  <si>
    <t>Match 42</t>
  </si>
  <si>
    <t>Match 43</t>
  </si>
  <si>
    <t>Match 44</t>
  </si>
  <si>
    <t>Match 45</t>
  </si>
  <si>
    <t>Match 46</t>
  </si>
  <si>
    <t>Elimination Round 3</t>
  </si>
  <si>
    <t>Match 47</t>
  </si>
  <si>
    <t>Match 48</t>
  </si>
  <si>
    <t>Match 49</t>
  </si>
  <si>
    <t>Match 50</t>
  </si>
  <si>
    <t>Match 51</t>
  </si>
  <si>
    <t>Match 52</t>
  </si>
  <si>
    <t>Match 53</t>
  </si>
  <si>
    <t>Match 54</t>
  </si>
  <si>
    <t>Elimination Round 4</t>
  </si>
  <si>
    <t>Match 55</t>
  </si>
  <si>
    <t>Match 56</t>
  </si>
  <si>
    <t>Match 57</t>
  </si>
  <si>
    <t>Match 58</t>
  </si>
  <si>
    <t>Elimination Round 5</t>
  </si>
  <si>
    <t>Match 0</t>
  </si>
  <si>
    <t>Elimination Round 6</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</si>
</sst>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1">
    <numFmt numFmtId="164" formatCode="[$-F400]h:mm:ss\ AM/PM"/>
  </numFmts>
  <fonts count="17">
    <font>
      <name val="Arial"/>
      <color rgb="FF000000"/>
      <sz val="10"/>
      <scheme val="minor"/>
    </font>
    <font>
      <name val="Arial"/>
      <family val="2"/>
      <color theme="1"/>
      <sz val="10"/>
      <scheme val="minor"/>
    </font>
    <font>
      <name val="Arial"/>
      <family val="2"/>
      <b val="1"/>
      <color theme="1"/>
      <sz val="16"/>
      <u/>
    </font>
    <font>
      <name val="Arial"/>
      <family val="2"/>
      <b val="1"/>
      <color theme="1"/>
      <sz val="12"/>
      <u/>
    </font>
    <font>
      <name val="Arial"/>
      <family val="2"/>
      <color theme="1"/>
      <sz val="12"/>
    </font>
    <font>
      <name val="Calibri"/>
      <family val="2"/>
      <color theme="1"/>
      <sz val="12"/>
    </font>
    <font>
      <name val="Arial"/>
      <family val="2"/>
      <b val="1"/>
      <i val="1"/>
      <color theme="1"/>
      <sz val="12"/>
    </font>
    <font>
      <name val="Arial"/>
      <family val="2"/>
      <color rgb="FF000000"/>
      <sz val="12"/>
      <scheme val="minor"/>
    </font>
    <font>
      <name val="Arial"/>
      <family val="2"/>
      <b val="1"/>
      <color rgb="FF000000"/>
      <sz val="12"/>
      <scheme val="minor"/>
    </font>
    <font>
      <name val="Arial"/>
      <family val="2"/>
      <b val="1"/>
      <color rgb="FF000000"/>
      <sz val="72"/>
      <scheme val="minor"/>
    </font>
    <font>
      <name val="Arial"/>
      <family val="2"/>
      <b val="1"/>
      <color rgb="FF000000"/>
      <sz val="28"/>
      <scheme val="minor"/>
    </font>
    <font>
      <family val="2"/>
      <b val="1"/>
      <color rgb="FF000000"/>
      <sz val="12"/>
    </font>
    <font>
      <family val="2"/>
      <color rgb="FF000000"/>
      <sz val="12"/>
    </font>
    <font>
      <family val="2"/>
      <b val="1"/>
      <color rgb="FFFFFFFF"/>
      <sz val="12"/>
    </font>
    <font>
      <family val="2"/>
      <color rgb="FF000000"/>
      <sz val="28"/>
    </font>
    <font>
      <family val="2"/>
      <color rgb="FF000000"/>
      <sz val="110"/>
    </font>
    <font>
      <family val="2"/>
      <b val="1"/>
      <color/>
      <sz val="150"/>
    </font>
  </fonts>
  <fills count="5">
    <fill>
      <patternFill patternType="none"/>
    </fill>
    <fill>
      <patternFill patternType="gray125"/>
    </fill>
    <fill>
      <patternFill patternType="solid">
        <fgColor rgb="FFC0C0C0"/>
        <bgColor rgb="FFC0C0C0"/>
      </patternFill>
    </fill>
    <fill>
      <patternFill patternType="solid">
        <fgColor rgb="FFFF0000"/>
      </patternFill>
    </fill>
    <fill>
      <patternFill patternType="solid">
        <fgColor rgb="FFFFFFFF"/>
      </patternFill>
    </fill>
  </fills>
  <borders count="14">
    <border>
      <left/>
      <right/>
      <top/>
      <bottom/>
      <diagonal/>
    </border>
    <border>
      <left style="medium">
        <color rgb="FF000000"/>
      </left>
      <right style="medium">
        <color rgb="FF000000"/>
      </right>
      <top style="medium">
        <color rgb="FF000000"/>
      </top>
      <bottom style="medium">
        <color rgb="FF000000"/>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000000"/>
      </left>
      <right style="medium">
        <color rgb="FF000000"/>
      </right>
      <top style="medium">
        <color rgb="FF000000"/>
      </top>
      <bottom style="medium">
        <color rgb="FF000000"/>
      </bottom>
    </border>
    <border>
      <left style="thin">
        <color rgb="FF000000"/>
      </left>
      <right style="thin">
        <color rgb="FF000000"/>
      </right>
      <top style="thin">
        <color rgb="FF000000"/>
      </top>
      <bottom style="thin">
        <color rgb="FF000000"/>
      </bottom>
    </border>
    <border>
      <bottom style="medium">
        <color rgb="FF000000"/>
      </bottom>
    </border>
    <border>
      <left style="medium">
        <color rgb="FF000000"/>
      </left>
    </border>
    <border>
      <left style="medium">
        <color rgb="FF000000"/>
      </left>
      <bottom style="medium">
        <color rgb="FF000000"/>
      </bottom>
    </border>
    <border>
      <top style="medium">
        <color rgb="FF000000"/>
      </top>
    </border>
    <border>
      <left style="medium">
        <color rgb="FF000000"/>
      </left>
      <right style="medium">
        <color rgb="FF000000"/>
      </right>
      <top style="medium">
        <color rgb="FF000000"/>
      </top>
    </border>
    <border>
      <left style="medium">
        <color rgb="FF000000"/>
      </left>
      <right style="medium">
        <color rgb="FF000000"/>
      </right>
    </border>
    <border>
      <left style="medium">
        <color rgb="FF000000"/>
      </left>
      <right style="medium">
        <color rgb="FF000000"/>
      </right>
      <bottom style="medium">
        <color rgb="FF000000"/>
      </bottom>
    </border>
  </borders>
  <cellStyleXfs count="1">
    <xf numFmtId="0" fontId="0" fillId="0" borderId="0"/>
  </cellStyleXfs>
  <cellXfs count="36">
    <xf numFmtId="0" fontId="0" fillId="0" borderId="0" xfId="0"/>
    <xf numFmtId="0" fontId="1" fillId="0" borderId="0" xfId="0" applyFont="true"/>
    <xf numFmtId="0" fontId="2" fillId="0" borderId="0" xfId="0" applyFont="true"/>
    <xf numFmtId="0" fontId="3" fillId="0" borderId="0" xfId="0" applyFont="true" applyAlignment="true">
      <alignment horizontal="center"/>
    </xf>
    <xf numFmtId="0" fontId="4" fillId="0" borderId="0" xfId="0" applyFont="true"/>
    <xf numFmtId="0" fontId="5" fillId="0" borderId="1" xfId="0" applyFont="true" applyBorder="true"/>
    <xf numFmtId="0" fontId="6" fillId="2" borderId="1" xfId="0" applyFont="true" applyFill="true" applyBorder="true" applyAlignment="true">
      <alignment horizontal="right"/>
    </xf>
    <xf numFmtId="0" fontId="7" fillId="0" borderId="0" xfId="0" applyFont="true"/>
    <xf numFmtId="0" fontId="0" fillId="0" borderId="0" xfId="0" applyAlignment="true">
      <alignment horizontal="center" shrinkToFit="true" vertical="center"/>
    </xf>
    <xf numFmtId="0" fontId="9" fillId="0" borderId="0" xfId="0" applyFont="true" applyAlignment="true">
      <alignment horizontal="center" shrinkToFit="true" vertical="center"/>
    </xf>
    <xf numFmtId="0" fontId="10" fillId="0" borderId="0" xfId="0" applyFont="true" applyAlignment="true">
      <alignment horizontal="center" shrinkToFit="true" vertical="center"/>
    </xf>
    <xf numFmtId="0" fontId="7" fillId="0" borderId="0" xfId="0" applyFont="true" applyAlignment="true">
      <alignment vertical="center" wrapText="true"/>
    </xf>
    <xf numFmtId="164" fontId="7" fillId="0" borderId="0" xfId="0" applyNumberFormat="true" applyFont="true" applyAlignment="true">
      <alignment vertical="center" wrapText="true"/>
    </xf>
    <xf numFmtId="0" fontId="8" fillId="0" borderId="0" xfId="0" applyFont="true" applyAlignment="true">
      <alignment horizontal="center" vertical="center" wrapText="true"/>
    </xf>
    <xf numFmtId="0" fontId="7" fillId="0" borderId="0" xfId="0" applyFont="true" applyAlignment="true">
      <alignment horizontal="center" vertical="center" wrapText="true"/>
    </xf>
    <xf numFmtId="0" fontId="2" fillId="0" borderId="0" xfId="0" applyFont="true" applyAlignment="true">
      <alignment horizontal="center"/>
    </xf>
    <xf numFmtId="0" fontId="0" fillId="0" borderId="0" xfId="0"/>
    <xf numFmtId="0" fontId="8" fillId="0" borderId="2" xfId="0" applyFont="true" applyBorder="true" applyAlignment="true">
      <alignment horizontal="center"/>
    </xf>
    <xf numFmtId="0" fontId="8" fillId="0" borderId="3" xfId="0" applyFont="true" applyBorder="true" applyAlignment="true">
      <alignment horizontal="center"/>
    </xf>
    <xf numFmtId="0" fontId="8" fillId="0" borderId="4" xfId="0" applyFont="true" applyBorder="true" applyAlignment="true">
      <alignment horizontal="center"/>
    </xf>
    <xf numFmtId="0" fontId="11" fillId="0" borderId="5" xfId="0" applyFont="true" applyBorder="true" applyAlignment="true">
      <alignment horizontal="center" vertical="center"/>
    </xf>
    <xf numFmtId="0" fontId="12" fillId="0" borderId="6" xfId="0" applyFont="true" applyBorder="true" applyAlignment="true">
      <alignment horizontal="center"/>
    </xf>
    <xf numFmtId="0" fontId="0" fillId="0" borderId="7" xfId="0" applyBorder="true" applyAlignment="false">
      <alignment/>
    </xf>
    <xf numFmtId="0" fontId="13" fillId="3" borderId="6" xfId="0" applyFont="true" applyFill="true" applyBorder="true" applyAlignment="true">
      <alignment horizontal="center"/>
    </xf>
    <xf numFmtId="0" fontId="11" fillId="4" borderId="6" xfId="0" applyFont="true" applyFill="true" applyBorder="true" applyAlignment="true">
      <alignment horizontal="center"/>
    </xf>
    <xf numFmtId="0" fontId="0" fillId="0" borderId="8" xfId="0" applyBorder="true" applyAlignment="false">
      <alignment/>
    </xf>
    <xf numFmtId="0" fontId="12" fillId="0" borderId="9" xfId="0" applyFont="true" applyBorder="true" applyAlignment="true">
      <alignment horizontal="left"/>
    </xf>
    <xf numFmtId="0" fontId="0" fillId="0" borderId="10" xfId="0" applyBorder="true" applyAlignment="false">
      <alignment/>
    </xf>
    <xf numFmtId="0" fontId="11" fillId="0" borderId="7" xfId="0" applyFont="true" applyBorder="true" applyAlignment="true">
      <alignment horizontal="right" vertical="center"/>
    </xf>
    <xf numFmtId="0" fontId="11" fillId="0" borderId="0" xfId="0" applyFont="true" applyAlignment="false">
      <alignment/>
    </xf>
    <xf numFmtId="0" fontId="12" fillId="0" borderId="11" xfId="0" applyFont="true" applyBorder="true" applyAlignment="false">
      <alignment/>
    </xf>
    <xf numFmtId="0" fontId="12" fillId="0" borderId="12" xfId="0" applyFont="true" applyBorder="true" applyAlignment="false">
      <alignment/>
    </xf>
    <xf numFmtId="0" fontId="12" fillId="0" borderId="13" xfId="0" applyFont="true" applyBorder="true" applyAlignment="false">
      <alignment/>
    </xf>
    <xf numFmtId="0" fontId="14" fillId="0" borderId="5" xfId="0" applyFont="true" applyBorder="true" applyAlignment="true">
      <alignment horizontal="center" vertical="center"/>
    </xf>
    <xf numFmtId="0" fontId="15" fillId="0" borderId="5" xfId="0" applyFont="true" applyBorder="true" applyAlignment="true">
      <alignment horizontal="center" vertical="center"/>
    </xf>
    <xf numFmtId="0" fontId="16" fillId="0" borderId="0" xfId="0" applyFont="true" applyAlignment="true">
      <alignment horizontal="center" vertical="center"/>
    </xf>
  </cellXfs>
  <cellStyles count="1">
    <cellStyle name="Normal" xfId="0" builtinId="0"/>
  </cellStyles>
  <dxfs count="0"/>
  <tableStyles count="0" defaultPivotStyle="PivotStyleLight16" defaultTableStyle="TableStyleMedium2"/>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Relationships xmlns="http://schemas.openxmlformats.org/package/2006/relationships"><Relationship Id="rId8" Target="metadata" Type="http://customschemas.google.com/relationships/workbookmetadata"></Relationship><Relationship Id="rId3" Target="worksheets/sheet3.xml" Type="http://schemas.openxmlformats.org/officeDocument/2006/relationships/worksheet"></Relationship><Relationship Id="rId12" Target="calcChain.xml" Type="http://schemas.openxmlformats.org/officeDocument/2006/relationships/calcChain"></Relationship><Relationship Id="rId2" Target="worksheets/sheet2.xml" Type="http://schemas.openxmlformats.org/officeDocument/2006/relationships/worksheet"></Relationship><Relationship Id="rId1" Target="worksheets/sheet1.xml" Type="http://schemas.openxmlformats.org/officeDocument/2006/relationships/worksheet"></Relationship><Relationship Id="rId6" Target="worksheets/sheet6.xml" Type="http://schemas.openxmlformats.org/officeDocument/2006/relationships/worksheet"></Relationship><Relationship Id="rId11" Target="/xl/sharedStrings.xml" Type="http://schemas.openxmlformats.org/officeDocument/2006/relationships/sharedStrings"></Relationship><Relationship Id="rId5" Target="worksheets/sheet5.xml" Type="http://schemas.openxmlformats.org/officeDocument/2006/relationships/worksheet"></Relationship><Relationship Id="rId10" Target="styles.xml" Type="http://schemas.openxmlformats.org/officeDocument/2006/relationships/styles"></Relationship><Relationship Id="rId4" Target="worksheets/sheet4.xml" Type="http://schemas.openxmlformats.org/officeDocument/2006/relationships/worksheet"></Relationship><Relationship Id="rId9" Target="theme/theme1.xml" Type="http://schemas.openxmlformats.org/officeDocument/2006/relationships/theme"></Relationship><Relationship Id="rId13" Target="worksheets/sheet10.xml" Type="http://schemas.openxmlformats.org/officeDocument/2006/relationships/worksheet"></Relationship><Relationship Id="rId14" Target="worksheets/sheet11.xml" Type="http://schemas.openxmlformats.org/officeDocument/2006/relationships/worksheet"></Relationship><Relationship Id="rId15" Target="worksheets/sheet12.xml" Type="http://schemas.openxmlformats.org/officeDocument/2006/relationships/worksheet"></Relationship><Relationship Id="rId16" Target="worksheets/sheet13.xml" Type="http://schemas.openxmlformats.org/officeDocument/2006/relationships/worksheet"></Relationship><Relationship Id="rId17" Target="worksheets/sheet14.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000"/>
  <sheetViews>
    <sheetView workbookViewId="0">
      <selection activeCell="D57" sqref="D57"/>
    </sheetView>
  </sheetViews>
  <sheetFormatPr baseColWidth="10" defaultColWidth="12.6640625" defaultRowHeight="15" customHeight="true"/>
  <cols>
    <col customWidth="true" max="1" min="1" width="15"/>
    <col customWidth="true" max="26" min="2" width="30"/>
  </cols>
  <sheetData>
    <row r="1" spans="1:2" ht="12.75" customHeight="true">
      <c r="A1" s="1" t="s">
        <v>11</v>
      </c>
      <c r="B1" s="1"/>
    </row>
    <row r="2" spans="1:2" ht="12.75" customHeight="true">
      <c r="A2" s="1" t="s">
        <v>12</v>
      </c>
      <c r="B2" s="1" t="s">
        <v>13</v>
      </c>
      <c r="C2" t="s">
        <v>14</v>
      </c>
      <c r="D2" t="s">
        <v>15</v>
      </c>
      <c r="E2" t="s">
        <v>16</v>
      </c>
    </row>
    <row r="3" spans="1:2" ht="12.75" customHeight="true">
      <c r="A3" s="1" t="s">
        <v>17</v>
      </c>
      <c r="B3" s="1" t="s">
        <v>18</v>
      </c>
      <c r="C3" t="s">
        <v>19</v>
      </c>
      <c r="D3" t="s">
        <v>20</v>
      </c>
    </row>
    <row r="4" spans="1:2" ht="12.75" customHeight="true">
      <c r="A4" s="1" t="s">
        <v>17</v>
      </c>
      <c r="B4" s="1" t="s">
        <v>21</v>
      </c>
      <c r="C4" t="s">
        <v>22</v>
      </c>
      <c r="D4" t="s">
        <v>23</v>
      </c>
    </row>
    <row r="5" spans="1:2" ht="12.75" customHeight="true">
      <c r="A5" t="s">
        <v>17</v>
      </c>
      <c r="B5" t="s">
        <v>24</v>
      </c>
      <c r="C5" t="s">
        <v>25</v>
      </c>
      <c r="D5" t="s">
        <v>26</v>
      </c>
    </row>
    <row r="6" spans="1:2" ht="12.75" customHeight="true">
      <c r="A6" s="1" t="s">
        <v>27</v>
      </c>
      <c r="B6" s="1" t="s">
        <v>28</v>
      </c>
      <c r="C6" t="s">
        <v>29</v>
      </c>
      <c r="D6" t="s">
        <v>23</v>
      </c>
    </row>
    <row r="7" spans="1:2" ht="12.75" customHeight="true">
      <c r="A7" s="1" t="s">
        <v>27</v>
      </c>
      <c r="B7" s="1" t="s">
        <v>30</v>
      </c>
      <c r="C7" t="s">
        <v>31</v>
      </c>
      <c r="D7" t="s">
        <v>32</v>
      </c>
    </row>
    <row r="8" spans="1:2" ht="12.75" customHeight="true">
      <c r="A8" s="1" t="s">
        <v>27</v>
      </c>
      <c r="B8" s="1" t="s">
        <v>33</v>
      </c>
      <c r="C8" t="s">
        <v>34</v>
      </c>
      <c r="D8" t="s">
        <v>35</v>
      </c>
    </row>
    <row r="9" spans="1:2" ht="12.75" customHeight="true">
      <c r="A9" t="s">
        <v>36</v>
      </c>
      <c r="B9" t="s">
        <v>37</v>
      </c>
      <c r="C9" t="s">
        <v>38</v>
      </c>
      <c r="D9" t="s">
        <v>39</v>
      </c>
    </row>
    <row r="10" spans="1:2" ht="12.75" customHeight="true">
      <c r="A10" s="1" t="s">
        <v>36</v>
      </c>
      <c r="B10" s="1" t="s">
        <v>40</v>
      </c>
      <c r="C10" t="s">
        <v>41</v>
      </c>
      <c r="D10" t="s">
        <v>42</v>
      </c>
    </row>
    <row r="11" spans="1:2" ht="12.75" customHeight="true">
      <c r="A11" s="1" t="s">
        <v>36</v>
      </c>
      <c r="B11" s="1" t="s">
        <v>43</v>
      </c>
      <c r="C11" t="s">
        <v>19</v>
      </c>
      <c r="D11" t="s">
        <v>44</v>
      </c>
    </row>
    <row r="12" spans="1:2" ht="12.75" customHeight="true">
      <c r="A12" s="1" t="s">
        <v>45</v>
      </c>
      <c r="B12" s="1" t="s">
        <v>46</v>
      </c>
      <c r="C12" t="s">
        <v>47</v>
      </c>
      <c r="D12" t="s">
        <v>48</v>
      </c>
    </row>
    <row r="13" spans="1:2" ht="12.75" customHeight="true">
      <c r="A13" t="s">
        <v>45</v>
      </c>
      <c r="B13" t="s">
        <v>49</v>
      </c>
      <c r="C13" t="s">
        <v>19</v>
      </c>
      <c r="D13" t="s">
        <v>50</v>
      </c>
    </row>
    <row r="14" spans="1:2" ht="12.75" customHeight="true">
      <c r="A14" s="1" t="s">
        <v>45</v>
      </c>
      <c r="B14" s="1" t="s">
        <v>51</v>
      </c>
      <c r="C14" t="s">
        <v>29</v>
      </c>
      <c r="D14" t="s">
        <v>52</v>
      </c>
    </row>
    <row r="15" spans="1:2" ht="12.75" customHeight="true">
      <c r="A15" s="1" t="s">
        <v>53</v>
      </c>
      <c r="B15" s="1" t="s">
        <v>54</v>
      </c>
      <c r="C15" t="s">
        <v>55</v>
      </c>
      <c r="D15" t="s">
        <v>50</v>
      </c>
    </row>
    <row r="16" spans="1:2" ht="12.75" customHeight="true">
      <c r="A16" s="1" t="s">
        <v>53</v>
      </c>
      <c r="B16" s="1" t="s">
        <v>56</v>
      </c>
      <c r="C16" t="s">
        <v>29</v>
      </c>
      <c r="D16" t="s">
        <v>57</v>
      </c>
    </row>
    <row r="17" spans="1:2" ht="12.75" customHeight="true">
      <c r="A17" t="s">
        <v>53</v>
      </c>
      <c r="B17" t="s">
        <v>58</v>
      </c>
      <c r="C17" t="s">
        <v>38</v>
      </c>
      <c r="D17" t="s">
        <v>59</v>
      </c>
    </row>
    <row r="18" spans="1:2" ht="12.75" customHeight="true">
      <c r="A18" s="1" t="s">
        <v>60</v>
      </c>
      <c r="B18" s="1" t="s">
        <v>61</v>
      </c>
      <c r="C18" t="s">
        <v>19</v>
      </c>
      <c r="D18" t="s">
        <v>57</v>
      </c>
    </row>
    <row r="19" spans="1:2" ht="12.75" customHeight="true">
      <c r="A19" s="1" t="s">
        <v>60</v>
      </c>
      <c r="B19" s="1" t="s">
        <v>62</v>
      </c>
      <c r="C19" t="s">
        <v>38</v>
      </c>
      <c r="D19" t="s">
        <v>63</v>
      </c>
    </row>
    <row r="20" spans="1:2" ht="12.75" customHeight="true">
      <c r="A20" s="1" t="s">
        <v>60</v>
      </c>
      <c r="B20" s="1" t="s">
        <v>64</v>
      </c>
      <c r="C20" t="s">
        <v>65</v>
      </c>
      <c r="D20" t="s">
        <v>66</v>
      </c>
    </row>
    <row r="21" spans="1:2" ht="12.75" customHeight="true">
      <c r="A21" t="s">
        <v>67</v>
      </c>
      <c r="B21" t="s">
        <v>68</v>
      </c>
      <c r="C21" t="s">
        <v>29</v>
      </c>
      <c r="D21" t="s">
        <v>63</v>
      </c>
    </row>
    <row r="22" spans="1:2" ht="12.75" customHeight="true">
      <c r="A22" s="1" t="s">
        <v>67</v>
      </c>
      <c r="B22" s="1" t="s">
        <v>69</v>
      </c>
      <c r="C22" t="s">
        <v>47</v>
      </c>
      <c r="D22" t="s">
        <v>70</v>
      </c>
    </row>
    <row r="23" spans="1:2" ht="12.75" customHeight="true">
      <c r="A23" s="1" t="s">
        <v>67</v>
      </c>
      <c r="B23" s="1" t="s">
        <v>71</v>
      </c>
      <c r="C23" t="s">
        <v>72</v>
      </c>
      <c r="D23" t="s">
        <v>73</v>
      </c>
    </row>
    <row r="24" spans="1:2" ht="12.75" customHeight="true">
      <c r="A24" s="1" t="s">
        <v>74</v>
      </c>
      <c r="B24" s="1" t="s">
        <v>75</v>
      </c>
      <c r="C24" t="s">
        <v>38</v>
      </c>
      <c r="D24" t="s">
        <v>76</v>
      </c>
    </row>
    <row r="25" spans="1:2" ht="12.75" customHeight="true">
      <c r="A25" t="s">
        <v>74</v>
      </c>
      <c r="B25" t="s">
        <v>77</v>
      </c>
      <c r="C25" t="s">
        <v>55</v>
      </c>
      <c r="D25" t="s">
        <v>78</v>
      </c>
    </row>
    <row r="26" spans="1:2" ht="12.75" customHeight="true">
      <c r="A26" s="1" t="s">
        <v>74</v>
      </c>
      <c r="B26" s="1" t="s">
        <v>79</v>
      </c>
      <c r="C26" t="s">
        <v>80</v>
      </c>
      <c r="D26" t="s">
        <v>81</v>
      </c>
    </row>
    <row r="27" spans="1:2" ht="12.75" customHeight="true">
      <c r="A27" s="1" t="s">
        <v>82</v>
      </c>
      <c r="B27" s="1" t="s">
        <v>83</v>
      </c>
      <c r="C27" t="s">
        <v>19</v>
      </c>
      <c r="D27" t="s">
        <v>84</v>
      </c>
    </row>
    <row r="28" spans="1:2" ht="12.75" customHeight="true">
      <c r="A28" s="1" t="s">
        <v>82</v>
      </c>
      <c r="B28" s="1" t="s">
        <v>85</v>
      </c>
      <c r="C28" t="s">
        <v>65</v>
      </c>
      <c r="D28" t="s">
        <v>86</v>
      </c>
    </row>
    <row r="29" spans="1:2" ht="12.75" customHeight="true">
      <c r="A29" t="s">
        <v>82</v>
      </c>
      <c r="B29" t="s">
        <v>87</v>
      </c>
      <c r="C29" t="s">
        <v>88</v>
      </c>
      <c r="D29" t="s">
        <v>89</v>
      </c>
    </row>
    <row r="30" spans="1:2" ht="12.75" customHeight="true">
      <c r="A30" s="1" t="s">
        <v>90</v>
      </c>
      <c r="B30" s="1" t="s">
        <v>91</v>
      </c>
      <c r="C30" t="s">
        <v>29</v>
      </c>
      <c r="D30" t="s">
        <v>92</v>
      </c>
    </row>
    <row r="31" spans="1:2" ht="12.75" customHeight="true">
      <c r="A31" s="1" t="s">
        <v>90</v>
      </c>
      <c r="B31" s="1" t="s">
        <v>93</v>
      </c>
      <c r="C31" t="s">
        <v>72</v>
      </c>
      <c r="D31" t="s">
        <v>94</v>
      </c>
    </row>
    <row r="32" spans="1:2" ht="12.75" customHeight="true">
      <c r="A32" s="1" t="s">
        <v>90</v>
      </c>
      <c r="B32" s="1" t="s">
        <v>95</v>
      </c>
      <c r="C32" t="s">
        <v>96</v>
      </c>
      <c r="D32" t="s">
        <v>97</v>
      </c>
    </row>
    <row r="33" spans="1:2" ht="12.75" customHeight="true">
      <c r="A33" t="s">
        <v>98</v>
      </c>
      <c r="B33" t="s">
        <v>99</v>
      </c>
      <c r="C33" t="s">
        <v>38</v>
      </c>
      <c r="D33" t="s">
        <v>100</v>
      </c>
    </row>
    <row r="34" spans="1:2" ht="12.75" customHeight="true">
      <c r="A34" s="1" t="s">
        <v>98</v>
      </c>
      <c r="B34" s="1" t="s">
        <v>101</v>
      </c>
      <c r="C34" t="s">
        <v>80</v>
      </c>
      <c r="D34" t="s">
        <v>102</v>
      </c>
    </row>
    <row r="35" spans="1:2" ht="12.75" customHeight="true">
      <c r="A35" s="1" t="s">
        <v>98</v>
      </c>
      <c r="B35" s="1" t="s">
        <v>103</v>
      </c>
      <c r="C35" t="s">
        <v>104</v>
      </c>
      <c r="D35" t="s">
        <v>105</v>
      </c>
    </row>
    <row r="36" spans="1:2" ht="12.75" customHeight="true">
      <c r="A36" s="1" t="s">
        <v>106</v>
      </c>
      <c r="B36" s="1" t="s">
        <v>107</v>
      </c>
      <c r="C36" t="s">
        <v>65</v>
      </c>
      <c r="D36" t="s">
        <v>108</v>
      </c>
    </row>
    <row r="37" spans="1:2" ht="12.75" customHeight="true">
      <c r="A37" t="s">
        <v>106</v>
      </c>
      <c r="B37" t="s">
        <v>109</v>
      </c>
      <c r="C37" t="s">
        <v>110</v>
      </c>
      <c r="D37" t="s">
        <v>111</v>
      </c>
    </row>
    <row r="38" spans="1:2" ht="12.75" customHeight="true">
      <c r="A38" s="1" t="s">
        <v>106</v>
      </c>
      <c r="B38" s="1" t="s">
        <v>112</v>
      </c>
      <c r="C38" t="s">
        <v>113</v>
      </c>
      <c r="D38" t="s">
        <v>114</v>
      </c>
    </row>
    <row r="39" spans="1:2" ht="12.75" customHeight="true">
      <c r="A39" s="1" t="s">
        <v>115</v>
      </c>
      <c r="B39" s="1" t="s">
        <v>116</v>
      </c>
      <c r="C39" t="s">
        <v>72</v>
      </c>
      <c r="D39" t="s">
        <v>117</v>
      </c>
    </row>
    <row r="40" spans="1:2" ht="12.75" customHeight="true">
      <c r="A40" s="1" t="s">
        <v>115</v>
      </c>
      <c r="B40" s="1" t="s">
        <v>118</v>
      </c>
      <c r="C40" t="s">
        <v>119</v>
      </c>
      <c r="D40" t="s">
        <v>120</v>
      </c>
    </row>
    <row r="41" spans="1:2" ht="12.75" customHeight="true">
      <c r="A41" t="s">
        <v>115</v>
      </c>
      <c r="B41" t="s">
        <v>121</v>
      </c>
      <c r="C41" t="s">
        <v>122</v>
      </c>
      <c r="D41" t="s">
        <v>52</v>
      </c>
    </row>
    <row r="42" spans="1:2" ht="12.75" customHeight="true">
      <c r="A42" s="1" t="s">
        <v>123</v>
      </c>
      <c r="B42" s="1" t="s">
        <v>124</v>
      </c>
      <c r="C42" t="s">
        <v>19</v>
      </c>
      <c r="D42" t="s">
        <v>125</v>
      </c>
    </row>
    <row r="43" spans="1:2" ht="12.75" customHeight="true">
      <c r="A43" s="1" t="s">
        <v>123</v>
      </c>
      <c r="B43" s="1" t="s">
        <v>126</v>
      </c>
      <c r="C43" t="s">
        <v>127</v>
      </c>
      <c r="D43" t="s">
        <v>128</v>
      </c>
    </row>
    <row r="44" spans="1:2" ht="12.75" customHeight="true">
      <c r="A44" s="1" t="s">
        <v>123</v>
      </c>
      <c r="B44" s="1" t="s">
        <v>129</v>
      </c>
      <c r="C44" t="s">
        <v>25</v>
      </c>
      <c r="D44" t="s">
        <v>130</v>
      </c>
    </row>
    <row r="45" spans="1:2" ht="12.75" customHeight="true">
      <c r="A45" t="s">
        <v>131</v>
      </c>
      <c r="B45" t="s">
        <v>132</v>
      </c>
      <c r="C45" t="s">
        <v>29</v>
      </c>
      <c r="D45" t="s">
        <v>133</v>
      </c>
    </row>
    <row r="46" spans="1:2" ht="12.75" customHeight="true">
      <c r="A46" s="1" t="s">
        <v>131</v>
      </c>
      <c r="B46" s="1" t="s">
        <v>134</v>
      </c>
      <c r="C46" t="s">
        <v>135</v>
      </c>
      <c r="D46" t="s">
        <v>136</v>
      </c>
    </row>
    <row r="47" spans="1:2" ht="12.75" customHeight="true">
      <c r="A47" s="1" t="s">
        <v>131</v>
      </c>
      <c r="B47" s="1" t="s">
        <v>137</v>
      </c>
      <c r="C47" t="s">
        <v>34</v>
      </c>
      <c r="D47" t="s">
        <v>138</v>
      </c>
    </row>
    <row r="48" spans="1:2" ht="12.75" customHeight="true">
      <c r="A48" t="s">
        <v>139</v>
      </c>
      <c r="B48" t="s">
        <v>140</v>
      </c>
      <c r="C48" t="s">
        <v>38</v>
      </c>
      <c r="D48" t="s">
        <v>141</v>
      </c>
    </row>
    <row r="49" ht="12.75" customHeight="true">
      <c r="A49" t="s">
        <v>139</v>
      </c>
      <c r="B49" t="s">
        <v>142</v>
      </c>
      <c r="C49" t="s">
        <v>143</v>
      </c>
      <c r="D49" t="s">
        <v>144</v>
      </c>
    </row>
    <row r="50" ht="12.75" customHeight="true">
      <c r="A50" t="s">
        <v>145</v>
      </c>
      <c r="B50" t="s">
        <v>146</v>
      </c>
      <c r="C50" t="s">
        <v>47</v>
      </c>
      <c r="D50" t="s">
        <v>141</v>
      </c>
    </row>
    <row r="51" ht="12.75" customHeight="true">
      <c r="A51" t="s">
        <v>145</v>
      </c>
      <c r="B51" t="s">
        <v>147</v>
      </c>
      <c r="C51" t="s">
        <v>65</v>
      </c>
      <c r="D51" t="s">
        <v>39</v>
      </c>
    </row>
    <row r="52" ht="12.75" customHeight="true">
      <c r="A52" t="s">
        <v>145</v>
      </c>
      <c r="B52" t="s">
        <v>148</v>
      </c>
      <c r="C52" t="s">
        <v>149</v>
      </c>
      <c r="D52" t="s">
        <v>150</v>
      </c>
    </row>
    <row r="53" ht="12.75" customHeight="true">
      <c r="A53" t="s">
        <v>151</v>
      </c>
      <c r="B53" t="s">
        <v>152</v>
      </c>
      <c r="C53" t="s">
        <v>55</v>
      </c>
      <c r="D53" t="s">
        <v>153</v>
      </c>
    </row>
    <row r="54" ht="12.75" customHeight="true">
      <c r="A54" t="s">
        <v>151</v>
      </c>
      <c r="B54" t="s">
        <v>154</v>
      </c>
      <c r="C54" t="s">
        <v>72</v>
      </c>
      <c r="D54" t="s">
        <v>48</v>
      </c>
    </row>
    <row r="55" ht="12.75" customHeight="true">
      <c r="A55" t="s">
        <v>151</v>
      </c>
      <c r="B55" t="s">
        <v>155</v>
      </c>
      <c r="C55" t="s">
        <v>19</v>
      </c>
      <c r="D55" t="s">
        <v>156</v>
      </c>
    </row>
    <row r="56" ht="12.75" customHeight="true">
      <c r="A56" t="s">
        <v>157</v>
      </c>
      <c r="B56" t="s">
        <v>158</v>
      </c>
      <c r="C56" t="s">
        <v>19</v>
      </c>
      <c r="D56" t="s">
        <v>32</v>
      </c>
    </row>
    <row r="57" ht="12.75" customHeight="true">
      <c r="A57" t="s">
        <v>157</v>
      </c>
      <c r="B57" t="s">
        <v>159</v>
      </c>
      <c r="C57" t="s">
        <v>47</v>
      </c>
      <c r="D57" t="s">
        <v>160</v>
      </c>
    </row>
    <row r="58" ht="12.75" customHeight="true">
      <c r="A58" t="s">
        <v>157</v>
      </c>
      <c r="B58" t="s">
        <v>161</v>
      </c>
      <c r="C58" t="s">
        <v>19</v>
      </c>
      <c r="D58" t="s">
        <v>162</v>
      </c>
    </row>
    <row r="59" ht="12.75" customHeight="true">
      <c r="A59" t="s">
        <v>163</v>
      </c>
      <c r="B59" t="s">
        <v>164</v>
      </c>
      <c r="C59" t="s">
        <v>29</v>
      </c>
      <c r="D59" t="s">
        <v>42</v>
      </c>
    </row>
    <row r="60" ht="12.75" customHeight="true">
      <c r="A60" t="s">
        <v>163</v>
      </c>
      <c r="B60" t="s">
        <v>165</v>
      </c>
      <c r="C60" t="s">
        <v>47</v>
      </c>
      <c r="D60" t="s">
        <v>166</v>
      </c>
    </row>
    <row r="61" ht="12.75" customHeight="true">
      <c r="A61" t="s">
        <v>163</v>
      </c>
      <c r="B61" t="s">
        <v>167</v>
      </c>
      <c r="C61" t="s">
        <v>55</v>
      </c>
      <c r="D61" t="s">
        <v>168</v>
      </c>
    </row>
    <row r="62" ht="12.75" customHeight="true">
      <c r="A62" t="s">
        <v>169</v>
      </c>
      <c r="B62" t="s">
        <v>170</v>
      </c>
      <c r="C62" t="s">
        <v>38</v>
      </c>
      <c r="D62" t="s">
        <v>166</v>
      </c>
    </row>
    <row r="63" ht="12.75" customHeight="true">
      <c r="A63" t="s">
        <v>169</v>
      </c>
      <c r="B63" t="s">
        <v>171</v>
      </c>
      <c r="C63" t="s">
        <v>55</v>
      </c>
      <c r="D63" t="s">
        <v>172</v>
      </c>
    </row>
    <row r="64" ht="12.75" customHeight="true">
      <c r="A64" t="s">
        <v>169</v>
      </c>
      <c r="B64" t="s">
        <v>173</v>
      </c>
      <c r="C64" t="s">
        <v>22</v>
      </c>
      <c r="D64" t="s">
        <v>160</v>
      </c>
    </row>
    <row r="65" ht="12.75" customHeight="true">
      <c r="A65" t="s">
        <v>174</v>
      </c>
      <c r="B65" t="s">
        <v>175</v>
      </c>
      <c r="C65" t="s">
        <v>47</v>
      </c>
      <c r="D65" t="s">
        <v>172</v>
      </c>
    </row>
    <row r="66" ht="12.75" customHeight="true">
      <c r="A66" t="s">
        <v>174</v>
      </c>
      <c r="B66" t="s">
        <v>176</v>
      </c>
      <c r="C66" t="s">
        <v>19</v>
      </c>
      <c r="D66" t="s">
        <v>177</v>
      </c>
    </row>
    <row r="67" ht="12.75" customHeight="true">
      <c r="A67" t="s">
        <v>174</v>
      </c>
      <c r="B67" t="s">
        <v>178</v>
      </c>
      <c r="C67" t="s">
        <v>31</v>
      </c>
      <c r="D67" t="s">
        <v>179</v>
      </c>
    </row>
    <row r="68" ht="12.75" customHeight="true">
      <c r="A68" t="s">
        <v>180</v>
      </c>
      <c r="B68" t="s">
        <v>181</v>
      </c>
      <c r="C68" t="s">
        <v>55</v>
      </c>
      <c r="D68" t="s">
        <v>182</v>
      </c>
    </row>
    <row r="69" ht="12.75" customHeight="true">
      <c r="A69" t="s">
        <v>180</v>
      </c>
      <c r="B69" t="s">
        <v>183</v>
      </c>
      <c r="C69" t="s">
        <v>29</v>
      </c>
      <c r="D69" t="s">
        <v>184</v>
      </c>
    </row>
    <row r="70" ht="12.75" customHeight="true">
      <c r="A70" t="s">
        <v>180</v>
      </c>
      <c r="B70" t="s">
        <v>185</v>
      </c>
      <c r="C70" t="s">
        <v>41</v>
      </c>
      <c r="D70" t="s">
        <v>186</v>
      </c>
    </row>
    <row r="71" ht="12.75" customHeight="true">
      <c r="A71" t="s">
        <v>187</v>
      </c>
      <c r="B71" t="s">
        <v>188</v>
      </c>
      <c r="C71" t="s">
        <v>19</v>
      </c>
      <c r="D71" t="s">
        <v>189</v>
      </c>
    </row>
    <row r="72" ht="12.75" customHeight="true">
      <c r="A72" t="s">
        <v>187</v>
      </c>
      <c r="B72" t="s">
        <v>190</v>
      </c>
      <c r="C72" t="s">
        <v>38</v>
      </c>
      <c r="D72" t="s">
        <v>191</v>
      </c>
    </row>
    <row r="73" ht="12.75" customHeight="true">
      <c r="A73" t="s">
        <v>187</v>
      </c>
      <c r="B73" t="s">
        <v>192</v>
      </c>
      <c r="C73" t="s">
        <v>22</v>
      </c>
      <c r="D73" t="s">
        <v>193</v>
      </c>
    </row>
    <row r="74" ht="12.75" customHeight="true">
      <c r="A74" t="s">
        <v>194</v>
      </c>
      <c r="B74" t="s">
        <v>195</v>
      </c>
      <c r="C74" t="s">
        <v>47</v>
      </c>
      <c r="D74" t="s">
        <v>196</v>
      </c>
    </row>
    <row r="75" ht="12.75" customHeight="true">
      <c r="A75" t="s">
        <v>194</v>
      </c>
      <c r="B75" t="s">
        <v>197</v>
      </c>
      <c r="C75" t="s">
        <v>31</v>
      </c>
      <c r="D75" t="s">
        <v>198</v>
      </c>
    </row>
    <row r="76" ht="12.75" customHeight="true">
      <c r="A76" t="s">
        <v>194</v>
      </c>
      <c r="B76" t="s">
        <v>199</v>
      </c>
      <c r="C76" t="s">
        <v>110</v>
      </c>
      <c r="D76" t="s">
        <v>200</v>
      </c>
    </row>
    <row r="77" ht="12.75" customHeight="true">
      <c r="A77" t="s">
        <v>201</v>
      </c>
      <c r="B77" t="s">
        <v>202</v>
      </c>
      <c r="C77" t="s">
        <v>55</v>
      </c>
      <c r="D77" t="s">
        <v>203</v>
      </c>
    </row>
    <row r="78" ht="12.75" customHeight="true">
      <c r="A78" t="s">
        <v>201</v>
      </c>
      <c r="B78" t="s">
        <v>204</v>
      </c>
      <c r="C78" t="s">
        <v>41</v>
      </c>
      <c r="D78" t="s">
        <v>205</v>
      </c>
    </row>
    <row r="79" ht="12.75" customHeight="true">
      <c r="A79" t="s">
        <v>201</v>
      </c>
      <c r="B79" t="s">
        <v>206</v>
      </c>
      <c r="C79" t="s">
        <v>119</v>
      </c>
      <c r="D79" t="s">
        <v>207</v>
      </c>
    </row>
    <row r="80" ht="12.75" customHeight="true">
      <c r="A80" t="s">
        <v>208</v>
      </c>
      <c r="B80" t="s">
        <v>209</v>
      </c>
      <c r="C80" t="s">
        <v>22</v>
      </c>
      <c r="D80" t="s">
        <v>210</v>
      </c>
    </row>
    <row r="81" ht="12.75" customHeight="true">
      <c r="A81" t="s">
        <v>208</v>
      </c>
      <c r="B81" t="s">
        <v>211</v>
      </c>
      <c r="C81" t="s">
        <v>88</v>
      </c>
      <c r="D81" t="s">
        <v>212</v>
      </c>
    </row>
    <row r="82" ht="12.75" customHeight="true">
      <c r="A82" t="s">
        <v>208</v>
      </c>
      <c r="B82" t="s">
        <v>213</v>
      </c>
      <c r="C82" t="s">
        <v>127</v>
      </c>
      <c r="D82" t="s">
        <v>214</v>
      </c>
    </row>
    <row r="83" ht="12.75" customHeight="true">
      <c r="A83" t="s">
        <v>215</v>
      </c>
      <c r="B83" t="s">
        <v>216</v>
      </c>
      <c r="C83" t="s">
        <v>31</v>
      </c>
      <c r="D83" t="s">
        <v>217</v>
      </c>
    </row>
    <row r="84" ht="12.75" customHeight="true">
      <c r="A84" t="s">
        <v>215</v>
      </c>
      <c r="B84" t="s">
        <v>218</v>
      </c>
      <c r="C84" t="s">
        <v>96</v>
      </c>
      <c r="D84" t="s">
        <v>219</v>
      </c>
    </row>
    <row r="85" ht="12.75" customHeight="true">
      <c r="A85" t="s">
        <v>215</v>
      </c>
      <c r="B85" t="s">
        <v>220</v>
      </c>
      <c r="C85" t="s">
        <v>135</v>
      </c>
      <c r="D85" t="s">
        <v>221</v>
      </c>
    </row>
    <row r="86" ht="12.75" customHeight="true">
      <c r="A86" t="s">
        <v>222</v>
      </c>
      <c r="B86" t="s">
        <v>223</v>
      </c>
      <c r="C86" t="s">
        <v>41</v>
      </c>
      <c r="D86" t="s">
        <v>224</v>
      </c>
    </row>
    <row r="87" ht="12.75" customHeight="true">
      <c r="A87" t="s">
        <v>222</v>
      </c>
      <c r="B87" t="s">
        <v>225</v>
      </c>
      <c r="C87" t="s">
        <v>104</v>
      </c>
      <c r="D87" t="s">
        <v>200</v>
      </c>
    </row>
    <row r="88" ht="12.75" customHeight="true">
      <c r="A88" t="s">
        <v>222</v>
      </c>
      <c r="B88" t="s">
        <v>226</v>
      </c>
      <c r="C88" t="s">
        <v>143</v>
      </c>
      <c r="D88" t="s">
        <v>227</v>
      </c>
    </row>
    <row r="89" ht="12.75" customHeight="true">
      <c r="A89" t="s">
        <v>228</v>
      </c>
      <c r="B89" t="s">
        <v>229</v>
      </c>
      <c r="C89" t="s">
        <v>47</v>
      </c>
      <c r="D89" t="s">
        <v>84</v>
      </c>
    </row>
    <row r="90" ht="12.75" customHeight="true">
      <c r="A90" t="s">
        <v>228</v>
      </c>
      <c r="B90" t="s">
        <v>230</v>
      </c>
      <c r="C90" t="s">
        <v>113</v>
      </c>
      <c r="D90" t="s">
        <v>231</v>
      </c>
    </row>
    <row r="91" ht="12.75" customHeight="true">
      <c r="A91" t="s">
        <v>228</v>
      </c>
      <c r="B91" t="s">
        <v>232</v>
      </c>
      <c r="C91" t="s">
        <v>149</v>
      </c>
      <c r="D91" t="s">
        <v>233</v>
      </c>
    </row>
    <row r="92" ht="12.75" customHeight="true">
      <c r="A92" t="s">
        <v>234</v>
      </c>
      <c r="B92" t="s">
        <v>235</v>
      </c>
      <c r="C92" t="s">
        <v>55</v>
      </c>
      <c r="D92" t="s">
        <v>20</v>
      </c>
    </row>
    <row r="93" ht="12.75" customHeight="true">
      <c r="A93" t="s">
        <v>234</v>
      </c>
      <c r="B93" t="s">
        <v>236</v>
      </c>
      <c r="C93" t="s">
        <v>122</v>
      </c>
      <c r="D93" t="s">
        <v>237</v>
      </c>
    </row>
    <row r="94" ht="12.75" customHeight="true"/>
    <row r="95" ht="12.75" customHeight="true"/>
    <row r="96" ht="12.75" customHeight="true"/>
    <row r="97" ht="12.75" customHeight="true"/>
    <row r="98" ht="12.75" customHeight="true"/>
    <row r="99" ht="12.75" customHeight="true"/>
    <row r="100" ht="12.75" customHeight="true"/>
    <row r="101" ht="12.75" customHeight="true"/>
    <row r="102" ht="12.75" customHeight="true"/>
    <row r="103" ht="12.75" customHeight="true"/>
    <row r="104" ht="12.75" customHeight="true"/>
    <row r="105" ht="12.75" customHeight="true"/>
    <row r="106" ht="12.75" customHeight="true"/>
    <row r="107" ht="12.75" customHeight="true"/>
    <row r="108" ht="12.75" customHeight="true"/>
    <row r="109" ht="12.75" customHeight="true"/>
    <row r="110" ht="12.75" customHeight="true"/>
    <row r="111" ht="12.75" customHeight="true"/>
    <row r="112" ht="12.75" customHeight="true"/>
    <row r="113" ht="12.75" customHeight="true"/>
    <row r="114" ht="12.75" customHeight="true"/>
    <row r="115" ht="12.75" customHeight="true"/>
    <row r="116" ht="12.75" customHeight="true"/>
    <row r="117" ht="12.75" customHeight="true"/>
    <row r="118" ht="12.75" customHeight="true"/>
    <row r="119" ht="12.75" customHeight="true"/>
    <row r="120" ht="12.75" customHeight="true"/>
    <row r="121" ht="12.75" customHeight="true"/>
    <row r="122" ht="12.75" customHeight="true"/>
    <row r="123" ht="12.75" customHeight="true"/>
    <row r="124" ht="12.75" customHeight="true"/>
    <row r="125" ht="12.75" customHeight="true"/>
    <row r="126" ht="12.75" customHeight="true"/>
    <row r="127" ht="12.75" customHeight="true"/>
    <row r="128" ht="12.75" customHeight="true"/>
    <row r="129" ht="12.75" customHeight="true"/>
    <row r="130" ht="12.75" customHeight="true"/>
    <row r="131" ht="12.75" customHeight="true"/>
    <row r="132" ht="12.75" customHeight="true"/>
    <row r="133" ht="12.75" customHeight="true"/>
    <row r="134" ht="12.75" customHeight="true"/>
    <row r="135" ht="12.75" customHeight="true"/>
    <row r="136" ht="12.75" customHeight="true"/>
    <row r="137" ht="12.75" customHeight="true"/>
    <row r="138" ht="12.75" customHeight="true"/>
    <row r="139" ht="12.75" customHeight="true"/>
    <row r="140" ht="12.75" customHeight="true"/>
    <row r="141" ht="12.75" customHeight="true"/>
    <row r="142" ht="12.75" customHeight="true"/>
    <row r="143" ht="12.75" customHeight="true"/>
    <row r="144" ht="12.75" customHeight="true"/>
    <row r="145" ht="12.75" customHeight="true"/>
    <row r="146" ht="12.75" customHeight="true"/>
    <row r="147" ht="12.75" customHeight="true"/>
    <row r="148" ht="12.75" customHeight="true"/>
    <row r="149" ht="12.75" customHeight="true"/>
    <row r="150" ht="12.75" customHeight="true"/>
    <row r="151" ht="12.75" customHeight="true"/>
    <row r="152" ht="12.75" customHeight="true"/>
    <row r="153" ht="12.75" customHeight="true"/>
    <row r="154" ht="12.75" customHeight="true"/>
    <row r="155" ht="12.75" customHeight="true"/>
    <row r="156" ht="12.75" customHeight="true"/>
    <row r="157" ht="12.75" customHeight="true"/>
    <row r="158" ht="12.75" customHeight="true"/>
    <row r="159" ht="12.75" customHeight="true"/>
    <row r="160" ht="12.75" customHeight="true"/>
    <row r="161" ht="12.75" customHeight="true"/>
    <row r="162" ht="12.75" customHeight="true"/>
    <row r="163" ht="12.75" customHeight="true"/>
    <row r="164" ht="12.75" customHeight="true"/>
    <row r="165" ht="12.75" customHeight="true"/>
    <row r="166" ht="12.75" customHeight="true"/>
    <row r="167" ht="12.75" customHeight="true"/>
    <row r="168" ht="12.75" customHeight="true"/>
    <row r="169" ht="12.75" customHeight="true"/>
    <row r="170" ht="12.75" customHeight="true"/>
    <row r="171" ht="12.75" customHeight="true"/>
    <row r="172" ht="12.75" customHeight="true"/>
    <row r="173" ht="12.75" customHeight="true"/>
    <row r="174" ht="12.75" customHeight="true"/>
    <row r="175" ht="12.75" customHeight="true"/>
    <row r="176" ht="12.75" customHeight="true"/>
    <row r="177" ht="12.75" customHeight="true"/>
    <row r="178" ht="12.75" customHeight="true"/>
    <row r="179" ht="12.75" customHeight="true"/>
    <row r="180" ht="12.75" customHeight="true"/>
    <row r="181" ht="12.75" customHeight="true"/>
    <row r="182" ht="12.75" customHeight="true"/>
    <row r="183" ht="12.75" customHeight="true"/>
    <row r="184" ht="12.75" customHeight="true"/>
    <row r="185" ht="12.75" customHeight="true"/>
    <row r="186" ht="12.75" customHeight="true"/>
    <row r="187" ht="12.75" customHeight="true"/>
    <row r="188" ht="12.75" customHeight="true"/>
    <row r="189" ht="12.75" customHeight="true"/>
    <row r="190" ht="12.75" customHeight="true"/>
    <row r="191" ht="12.75" customHeight="true"/>
    <row r="192" ht="12.75" customHeight="true"/>
    <row r="193" ht="12.75" customHeight="true"/>
    <row r="194" ht="12.75" customHeight="true"/>
    <row r="195" ht="12.75" customHeight="true"/>
    <row r="196" ht="12.75" customHeight="true"/>
    <row r="197" ht="12.75" customHeight="true"/>
    <row r="198" ht="12.75" customHeight="true"/>
    <row r="199" ht="12.75" customHeight="true"/>
    <row r="200" ht="12.75" customHeight="true"/>
    <row r="201" ht="12.75" customHeight="true"/>
    <row r="202" ht="12.75" customHeight="true"/>
    <row r="203" ht="12.75" customHeight="true"/>
    <row r="204" ht="12.75" customHeight="true"/>
    <row r="205" ht="12.75" customHeight="true"/>
    <row r="206" ht="12.75" customHeight="true"/>
    <row r="207" ht="12.75" customHeight="true"/>
    <row r="208" ht="12.75" customHeight="true"/>
    <row r="209" ht="12.75" customHeight="true"/>
    <row r="210" ht="12.75" customHeight="true"/>
    <row r="211" ht="12.75" customHeight="true"/>
    <row r="212" ht="12.75" customHeight="true"/>
    <row r="213" ht="12.75" customHeight="true"/>
    <row r="214" ht="12.75" customHeight="true"/>
    <row r="215" ht="12.75" customHeight="true"/>
    <row r="216" ht="12.75" customHeight="true"/>
    <row r="217" ht="12.75" customHeight="true"/>
    <row r="218" ht="12.75" customHeight="true"/>
    <row r="219" ht="12.75" customHeight="true"/>
    <row r="220" ht="12.75" customHeight="true"/>
    <row r="221" ht="12.75" customHeight="true"/>
    <row r="222" ht="12.75" customHeight="true"/>
    <row r="223" ht="12.75" customHeight="true"/>
    <row r="224" ht="12.75" customHeight="true"/>
    <row r="225" ht="12.75" customHeight="true"/>
    <row r="226" ht="12.75" customHeight="true"/>
    <row r="227" ht="12.75" customHeight="true"/>
    <row r="228" ht="12.75" customHeight="true"/>
    <row r="229" ht="12.75" customHeight="true"/>
    <row r="230" ht="12.75" customHeight="true"/>
    <row r="231" ht="12.75" customHeight="true"/>
    <row r="232" ht="12.75" customHeight="true"/>
    <row r="233" ht="12.75" customHeight="true"/>
    <row r="234" ht="12.75" customHeight="true"/>
    <row r="235" ht="12.75" customHeight="true"/>
    <row r="236" ht="12.75" customHeight="true"/>
    <row r="237" ht="12.75" customHeight="true"/>
    <row r="238" ht="12.75" customHeight="true"/>
    <row r="239" ht="12.75" customHeight="true"/>
    <row r="240" ht="12.75" customHeight="true"/>
    <row r="241" ht="12.75" customHeight="true"/>
    <row r="242" ht="12.75" customHeight="true"/>
    <row r="243" ht="12.75" customHeight="true"/>
    <row r="244" ht="12.75" customHeight="true"/>
    <row r="245" ht="12.75" customHeight="true"/>
    <row r="246" ht="12.75" customHeight="true"/>
    <row r="247" ht="12.75" customHeight="true"/>
    <row r="248" ht="12.75" customHeight="true"/>
    <row r="249" ht="12.75" customHeight="true"/>
    <row r="250" ht="12.75" customHeight="true"/>
    <row r="251" ht="12.75" customHeight="true"/>
    <row r="252" ht="12.75" customHeight="true"/>
    <row r="253" ht="12.75" customHeight="true"/>
    <row r="254" ht="12.75" customHeight="true"/>
    <row r="255" ht="12.75" customHeight="true"/>
    <row r="256" ht="12.75" customHeight="true"/>
    <row r="257" ht="12.75" customHeight="true"/>
    <row r="258" ht="12.75" customHeight="true"/>
    <row r="259" ht="12.75" customHeight="true"/>
    <row r="260" ht="12.75" customHeight="true"/>
    <row r="261" ht="12.75" customHeight="true"/>
    <row r="262" ht="12.75" customHeight="true"/>
    <row r="263" ht="12.75" customHeight="true"/>
    <row r="264" ht="12.75" customHeight="true"/>
    <row r="265" ht="12.75" customHeight="true"/>
    <row r="266" ht="12.75" customHeight="true"/>
    <row r="267" ht="12.75" customHeight="true"/>
    <row r="268" ht="12.75" customHeight="true"/>
    <row r="269" ht="12.75" customHeight="true"/>
    <row r="270" ht="12.75" customHeight="true"/>
    <row r="271" ht="12.75" customHeight="true"/>
    <row r="272" ht="12.75" customHeight="true"/>
    <row r="273" ht="12.75" customHeight="true"/>
    <row r="274" ht="12.75" customHeight="true"/>
    <row r="275" ht="12.75" customHeight="true"/>
    <row r="276" ht="12.75" customHeight="true"/>
    <row r="277" ht="12.75" customHeight="true"/>
    <row r="278" ht="12.75" customHeight="true"/>
    <row r="279" ht="12.75" customHeight="true"/>
    <row r="280" ht="12.75" customHeight="true"/>
    <row r="281" ht="12.75" customHeight="true"/>
    <row r="282" ht="12.75" customHeight="true"/>
    <row r="283" ht="12.75" customHeight="true"/>
    <row r="284" ht="12.75" customHeight="true"/>
    <row r="285" ht="12.75" customHeight="true"/>
    <row r="286" ht="12.75" customHeight="true"/>
    <row r="287" ht="12.75" customHeight="true"/>
    <row r="288" ht="12.75" customHeight="true"/>
    <row r="289" ht="12.75" customHeight="true"/>
    <row r="290" ht="12.75" customHeight="true"/>
    <row r="291" ht="12.75" customHeight="true"/>
    <row r="292" ht="12.75" customHeight="true"/>
    <row r="293" ht="12.75" customHeight="true"/>
    <row r="294" ht="12.75" customHeight="true"/>
    <row r="295" ht="12.75" customHeight="true"/>
    <row r="296" ht="12.75" customHeight="true"/>
    <row r="297" ht="12.75" customHeight="true"/>
    <row r="298" ht="12.75" customHeight="true"/>
    <row r="299" ht="12.75" customHeight="true"/>
    <row r="300" ht="12.75" customHeight="true"/>
    <row r="301" ht="12.75" customHeight="true"/>
    <row r="302" ht="12.75" customHeight="true"/>
    <row r="303" ht="12.75" customHeight="true"/>
    <row r="304" ht="12.75" customHeight="true"/>
    <row r="305" ht="12.75" customHeight="true"/>
    <row r="306" ht="12.75" customHeight="true"/>
    <row r="307" ht="12.75" customHeight="true"/>
    <row r="308" ht="12.75" customHeight="true"/>
    <row r="309" ht="12.75" customHeight="true"/>
    <row r="310" ht="12.75" customHeight="true"/>
    <row r="311" ht="12.75" customHeight="true"/>
    <row r="312" ht="12.75" customHeight="true"/>
    <row r="313" ht="12.75" customHeight="true"/>
    <row r="314" ht="12.75" customHeight="true"/>
    <row r="315" ht="12.75" customHeight="true"/>
    <row r="316" ht="12.75" customHeight="true"/>
    <row r="317" ht="12.75" customHeight="true"/>
    <row r="318" ht="12.75" customHeight="true"/>
    <row r="319" ht="12.75" customHeight="true"/>
    <row r="320" ht="12.75" customHeight="true"/>
    <row r="321" ht="12.75" customHeight="true"/>
    <row r="322" ht="12.75" customHeight="true"/>
    <row r="323" ht="12.75" customHeight="true"/>
    <row r="324" ht="12.75" customHeight="true"/>
    <row r="325" ht="12.75" customHeight="true"/>
    <row r="326" ht="12.75" customHeight="true"/>
    <row r="327" ht="12.75" customHeight="true"/>
    <row r="328" ht="12.75" customHeight="true"/>
    <row r="329" ht="12.75" customHeight="true"/>
    <row r="330" ht="12.75" customHeight="true"/>
    <row r="331" ht="12.75" customHeight="true"/>
    <row r="332" ht="12.75" customHeight="true"/>
    <row r="333" ht="12.75" customHeight="true"/>
    <row r="334" ht="12.75" customHeight="true"/>
    <row r="335" ht="12.75" customHeight="true"/>
    <row r="336" ht="12.75" customHeight="true"/>
    <row r="337" ht="12.75" customHeight="true"/>
    <row r="338" ht="12.75" customHeight="true"/>
    <row r="339" ht="12.75" customHeight="true"/>
    <row r="340" ht="12.75" customHeight="true"/>
    <row r="341" ht="12.75" customHeight="true"/>
    <row r="342" ht="12.75" customHeight="true"/>
    <row r="343" ht="12.75" customHeight="true"/>
    <row r="344" ht="12.75" customHeight="true"/>
    <row r="345" ht="12.75" customHeight="true"/>
    <row r="346" ht="12.75" customHeight="true"/>
    <row r="347" ht="12.75" customHeight="true"/>
    <row r="348" ht="12.75" customHeight="true"/>
    <row r="349" ht="12.75" customHeight="true"/>
    <row r="350" ht="12.75" customHeight="true"/>
    <row r="351" ht="12.75" customHeight="true"/>
    <row r="352" ht="12.75" customHeight="true"/>
    <row r="353" ht="12.75" customHeight="true"/>
    <row r="354" ht="12.75" customHeight="true"/>
    <row r="355" ht="12.75" customHeight="true"/>
    <row r="356" ht="12.75" customHeight="true"/>
    <row r="357" ht="12.75" customHeight="true"/>
    <row r="358" ht="12.75" customHeight="true"/>
    <row r="359" ht="12.75" customHeight="true"/>
    <row r="360" ht="12.75" customHeight="true"/>
    <row r="361" ht="12.75" customHeight="true"/>
    <row r="362" ht="12.75" customHeight="true"/>
    <row r="363" ht="12.75" customHeight="true"/>
    <row r="364" ht="12.75" customHeight="true"/>
    <row r="365" ht="12.75" customHeight="true"/>
    <row r="366" ht="12.75" customHeight="true"/>
    <row r="367" ht="12.75" customHeight="true"/>
    <row r="368" ht="12.75" customHeight="true"/>
    <row r="369" ht="12.75" customHeight="true"/>
    <row r="370" ht="12.75" customHeight="true"/>
    <row r="371" ht="12.75" customHeight="true"/>
    <row r="372" ht="12.75" customHeight="true"/>
    <row r="373" ht="12.75" customHeight="true"/>
    <row r="374" ht="12.75" customHeight="true"/>
    <row r="375" ht="12.75" customHeight="true"/>
    <row r="376" ht="12.75" customHeight="true"/>
    <row r="377" ht="12.75" customHeight="true"/>
    <row r="378" ht="12.75" customHeight="true"/>
    <row r="379" ht="12.75" customHeight="true"/>
    <row r="380" ht="12.75" customHeight="true"/>
    <row r="381" ht="12.75" customHeight="true"/>
    <row r="382" ht="12.75" customHeight="true"/>
    <row r="383" ht="12.75" customHeight="true"/>
    <row r="384" ht="12.75" customHeight="true"/>
    <row r="385" ht="12.75" customHeight="true"/>
    <row r="386" ht="12.75" customHeight="true"/>
    <row r="387" ht="12.75" customHeight="true"/>
    <row r="388" ht="12.75" customHeight="true"/>
    <row r="389" ht="12.75" customHeight="true"/>
    <row r="390" ht="12.75" customHeight="true"/>
    <row r="391" ht="12.75" customHeight="true"/>
    <row r="392" ht="12.75" customHeight="true"/>
    <row r="393" ht="12.75" customHeight="true"/>
    <row r="394" ht="12.75" customHeight="true"/>
    <row r="395" ht="12.75" customHeight="true"/>
    <row r="396" ht="12.75" customHeight="true"/>
    <row r="397" ht="12.75" customHeight="true"/>
    <row r="398" ht="12.75" customHeight="true"/>
    <row r="399" ht="12.75" customHeight="true"/>
    <row r="400" ht="12.75" customHeight="true"/>
    <row r="401" ht="12.75" customHeight="true"/>
    <row r="402" ht="12.75" customHeight="true"/>
    <row r="403" ht="12.75" customHeight="true"/>
    <row r="404" ht="12.75" customHeight="true"/>
    <row r="405" ht="12.75" customHeight="true"/>
    <row r="406" ht="12.75" customHeight="true"/>
    <row r="407" ht="12.75" customHeight="true"/>
    <row r="408" ht="12.75" customHeight="true"/>
    <row r="409" ht="12.75" customHeight="true"/>
    <row r="410" ht="12.75" customHeight="true"/>
    <row r="411" ht="12.75" customHeight="true"/>
    <row r="412" ht="12.75" customHeight="true"/>
    <row r="413" ht="12.75" customHeight="true"/>
    <row r="414" ht="12.75" customHeight="true"/>
    <row r="415" ht="12.75" customHeight="true"/>
    <row r="416" ht="12.75" customHeight="true"/>
    <row r="417" ht="12.75" customHeight="true"/>
    <row r="418" ht="12.75" customHeight="true"/>
    <row r="419" ht="12.75" customHeight="true"/>
    <row r="420" ht="12.75" customHeight="true"/>
    <row r="421" ht="12.75" customHeight="true"/>
    <row r="422" ht="12.75" customHeight="true"/>
    <row r="423" ht="12.75" customHeight="true"/>
    <row r="424" ht="12.75" customHeight="true"/>
    <row r="425" ht="12.75" customHeight="true"/>
    <row r="426" ht="12.75" customHeight="true"/>
    <row r="427" ht="12.75" customHeight="true"/>
    <row r="428" ht="12.75" customHeight="true"/>
    <row r="429" ht="12.75" customHeight="true"/>
    <row r="430" ht="12.75" customHeight="true"/>
    <row r="431" ht="12.75" customHeight="true"/>
    <row r="432" ht="12.75" customHeight="true"/>
    <row r="433" ht="12.75" customHeight="true"/>
    <row r="434" ht="12.75" customHeight="true"/>
    <row r="435" ht="12.75" customHeight="true"/>
    <row r="436" ht="12.75" customHeight="true"/>
    <row r="437" ht="12.75" customHeight="true"/>
    <row r="438" ht="12.75" customHeight="true"/>
    <row r="439" ht="12.75" customHeight="true"/>
    <row r="440" ht="12.75" customHeight="true"/>
    <row r="441" ht="12.75" customHeight="true"/>
    <row r="442" ht="12.75" customHeight="true"/>
    <row r="443" ht="12.75" customHeight="true"/>
    <row r="444" ht="12.75" customHeight="true"/>
    <row r="445" ht="12.75" customHeight="true"/>
    <row r="446" ht="12.75" customHeight="true"/>
    <row r="447" ht="12.75" customHeight="true"/>
    <row r="448" ht="12.75" customHeight="true"/>
    <row r="449" ht="12.75" customHeight="true"/>
    <row r="450" ht="12.75" customHeight="true"/>
    <row r="451" ht="12.75" customHeight="true"/>
    <row r="452" ht="12.75" customHeight="true"/>
    <row r="453" ht="12.75" customHeight="true"/>
    <row r="454" ht="12.75" customHeight="true"/>
    <row r="455" ht="12.75" customHeight="true"/>
    <row r="456" ht="12.75" customHeight="true"/>
    <row r="457" ht="12.75" customHeight="true"/>
    <row r="458" ht="12.75" customHeight="true"/>
    <row r="459" ht="12.75" customHeight="true"/>
    <row r="460" ht="12.75" customHeight="true"/>
    <row r="461" ht="12.75" customHeight="true"/>
    <row r="462" ht="12.75" customHeight="true"/>
    <row r="463" ht="12.75" customHeight="true"/>
    <row r="464" ht="12.75" customHeight="true"/>
    <row r="465" ht="12.75" customHeight="true"/>
    <row r="466" ht="12.75" customHeight="true"/>
    <row r="467" ht="12.75" customHeight="true"/>
    <row r="468" ht="12.75" customHeight="true"/>
    <row r="469" ht="12.75" customHeight="true"/>
    <row r="470" ht="12.75" customHeight="true"/>
    <row r="471" ht="12.75" customHeight="true"/>
    <row r="472" ht="12.75" customHeight="true"/>
    <row r="473" ht="12.75" customHeight="true"/>
    <row r="474" ht="12.75" customHeight="true"/>
    <row r="475" ht="12.75" customHeight="true"/>
    <row r="476" ht="12.75" customHeight="true"/>
    <row r="477" ht="12.75" customHeight="true"/>
    <row r="478" ht="12.75" customHeight="true"/>
    <row r="479" ht="12.75" customHeight="true"/>
    <row r="480" ht="12.75" customHeight="true"/>
    <row r="481" ht="12.75" customHeight="true"/>
    <row r="482" ht="12.75" customHeight="true"/>
    <row r="483" ht="12.75" customHeight="true"/>
    <row r="484" ht="12.75" customHeight="true"/>
    <row r="485" ht="12.75" customHeight="true"/>
    <row r="486" ht="12.75" customHeight="true"/>
    <row r="487" ht="12.75" customHeight="true"/>
    <row r="488" ht="12.75" customHeight="true"/>
    <row r="489" ht="12.75" customHeight="true"/>
    <row r="490" ht="12.75" customHeight="true"/>
    <row r="491" ht="12.75" customHeight="true"/>
    <row r="492" ht="12.75" customHeight="true"/>
    <row r="493" ht="12.75" customHeight="true"/>
    <row r="494" ht="12.75" customHeight="true"/>
    <row r="495" ht="12.75" customHeight="true"/>
    <row r="496" ht="12.75" customHeight="true"/>
    <row r="497" ht="12.75" customHeight="true"/>
    <row r="498" ht="12.75" customHeight="true"/>
    <row r="499" ht="12.75" customHeight="true"/>
    <row r="500" ht="12.75" customHeight="true"/>
    <row r="501" ht="12.75" customHeight="true"/>
    <row r="502" ht="12.75" customHeight="true"/>
    <row r="503" ht="12.75" customHeight="true"/>
    <row r="504" ht="12.75" customHeight="true"/>
    <row r="505" ht="12.75" customHeight="true"/>
    <row r="506" ht="12.75" customHeight="true"/>
    <row r="507" ht="12.75" customHeight="true"/>
    <row r="508" ht="12.75" customHeight="true"/>
    <row r="509" ht="12.75" customHeight="true"/>
    <row r="510" ht="12.75" customHeight="true"/>
    <row r="511" ht="12.75" customHeight="true"/>
    <row r="512" ht="12.75" customHeight="true"/>
    <row r="513" ht="12.75" customHeight="true"/>
    <row r="514" ht="12.75" customHeight="true"/>
    <row r="515" ht="12.75" customHeight="true"/>
    <row r="516" ht="12.75" customHeight="true"/>
    <row r="517" ht="12.75" customHeight="true"/>
    <row r="518" ht="12.75" customHeight="true"/>
    <row r="519" ht="12.75" customHeight="true"/>
    <row r="520" ht="12.75" customHeight="true"/>
    <row r="521" ht="12.75" customHeight="true"/>
    <row r="522" ht="12.75" customHeight="true"/>
    <row r="523" ht="12.75" customHeight="true"/>
    <row r="524" ht="12.75" customHeight="true"/>
    <row r="525" ht="12.75" customHeight="true"/>
    <row r="526" ht="12.75" customHeight="true"/>
    <row r="527" ht="12.75" customHeight="true"/>
    <row r="528" ht="12.75" customHeight="true"/>
    <row r="529" ht="12.75" customHeight="true"/>
    <row r="530" ht="12.75" customHeight="true"/>
    <row r="531" ht="12.75" customHeight="true"/>
    <row r="532" ht="12.75" customHeight="true"/>
    <row r="533" ht="12.75" customHeight="true"/>
    <row r="534" ht="12.75" customHeight="true"/>
    <row r="535" ht="12.75" customHeight="true"/>
    <row r="536" ht="12.75" customHeight="true"/>
    <row r="537" ht="12.75" customHeight="true"/>
    <row r="538" ht="12.75" customHeight="true"/>
    <row r="539" ht="12.75" customHeight="true"/>
    <row r="540" ht="12.75" customHeight="true"/>
    <row r="541" ht="12.75" customHeight="true"/>
    <row r="542" ht="12.75" customHeight="true"/>
    <row r="543" ht="12.75" customHeight="true"/>
    <row r="544" ht="12.75" customHeight="true"/>
    <row r="545" ht="12.75" customHeight="true"/>
    <row r="546" ht="12.75" customHeight="true"/>
    <row r="547" ht="12.75" customHeight="true"/>
    <row r="548" ht="12.75" customHeight="true"/>
    <row r="549" ht="12.75" customHeight="true"/>
    <row r="550" ht="12.75" customHeight="true"/>
    <row r="551" ht="12.75" customHeight="true"/>
    <row r="552" ht="12.75" customHeight="true"/>
    <row r="553" ht="12.75" customHeight="true"/>
    <row r="554" ht="12.75" customHeight="true"/>
    <row r="555" ht="12.75" customHeight="true"/>
    <row r="556" ht="12.75" customHeight="true"/>
    <row r="557" ht="12.75" customHeight="true"/>
    <row r="558" ht="12.75" customHeight="true"/>
    <row r="559" ht="12.75" customHeight="true"/>
    <row r="560" ht="12.75" customHeight="true"/>
    <row r="561" ht="12.75" customHeight="true"/>
    <row r="562" ht="12.75" customHeight="true"/>
    <row r="563" ht="12.75" customHeight="true"/>
    <row r="564" ht="12.75" customHeight="true"/>
    <row r="565" ht="12.75" customHeight="true"/>
    <row r="566" ht="12.75" customHeight="true"/>
    <row r="567" ht="12.75" customHeight="true"/>
    <row r="568" ht="12.75" customHeight="true"/>
    <row r="569" ht="12.75" customHeight="true"/>
    <row r="570" ht="12.75" customHeight="true"/>
    <row r="571" ht="12.75" customHeight="true"/>
    <row r="572" ht="12.75" customHeight="true"/>
    <row r="573" ht="12.75" customHeight="true"/>
    <row r="574" ht="12.75" customHeight="true"/>
    <row r="575" ht="12.75" customHeight="true"/>
    <row r="576" ht="12.75" customHeight="true"/>
    <row r="577" ht="12.75" customHeight="true"/>
    <row r="578" ht="12.75" customHeight="true"/>
    <row r="579" ht="12.75" customHeight="true"/>
    <row r="580" ht="12.75" customHeight="true"/>
    <row r="581" ht="12.75" customHeight="true"/>
    <row r="582" ht="12.75" customHeight="true"/>
    <row r="583" ht="12.75" customHeight="true"/>
    <row r="584" ht="12.75" customHeight="true"/>
    <row r="585" ht="12.75" customHeight="true"/>
    <row r="586" ht="12.75" customHeight="true"/>
    <row r="587" ht="12.75" customHeight="true"/>
    <row r="588" ht="12.75" customHeight="true"/>
    <row r="589" ht="12.75" customHeight="true"/>
    <row r="590" ht="12.75" customHeight="true"/>
    <row r="591" ht="12.75" customHeight="true"/>
    <row r="592" ht="12.75" customHeight="true"/>
    <row r="593" ht="12.75" customHeight="true"/>
    <row r="594" ht="12.75" customHeight="true"/>
    <row r="595" ht="12.75" customHeight="true"/>
    <row r="596" ht="12.75" customHeight="true"/>
    <row r="597" ht="12.75" customHeight="true"/>
    <row r="598" ht="12.75" customHeight="true"/>
    <row r="599" ht="12.75" customHeight="true"/>
    <row r="600" ht="12.75" customHeight="true"/>
    <row r="601" ht="12.75" customHeight="true"/>
    <row r="602" ht="12.75" customHeight="true"/>
    <row r="603" ht="12.75" customHeight="true"/>
    <row r="604" ht="12.75" customHeight="true"/>
    <row r="605" ht="12.75" customHeight="true"/>
    <row r="606" ht="12.75" customHeight="true"/>
    <row r="607" ht="12.75" customHeight="true"/>
    <row r="608" ht="12.75" customHeight="true"/>
    <row r="609" ht="12.75" customHeight="true"/>
    <row r="610" ht="12.75" customHeight="true"/>
    <row r="611" ht="12.75" customHeight="true"/>
    <row r="612" ht="12.75" customHeight="true"/>
    <row r="613" ht="12.75" customHeight="true"/>
    <row r="614" ht="12.75" customHeight="true"/>
    <row r="615" ht="12.75" customHeight="true"/>
    <row r="616" ht="12.75" customHeight="true"/>
    <row r="617" ht="12.75" customHeight="true"/>
    <row r="618" ht="12.75" customHeight="true"/>
    <row r="619" ht="12.75" customHeight="true"/>
    <row r="620" ht="12.75" customHeight="true"/>
    <row r="621" ht="12.75" customHeight="true"/>
    <row r="622" ht="12.75" customHeight="true"/>
    <row r="623" ht="12.75" customHeight="true"/>
    <row r="624" ht="12.75" customHeight="true"/>
    <row r="625" ht="12.75" customHeight="true"/>
    <row r="626" ht="12.75" customHeight="true"/>
    <row r="627" ht="12.75" customHeight="true"/>
    <row r="628" ht="12.75" customHeight="true"/>
    <row r="629" ht="12.75" customHeight="true"/>
    <row r="630" ht="12.75" customHeight="true"/>
    <row r="631" ht="12.75" customHeight="true"/>
    <row r="632" ht="12.75" customHeight="true"/>
    <row r="633" ht="12.75" customHeight="true"/>
    <row r="634" ht="12.75" customHeight="true"/>
    <row r="635" ht="12.75" customHeight="true"/>
    <row r="636" ht="12.75" customHeight="true"/>
    <row r="637" ht="12.75" customHeight="true"/>
    <row r="638" ht="12.75" customHeight="true"/>
    <row r="639" ht="12.75" customHeight="true"/>
    <row r="640" ht="12.75" customHeight="true"/>
    <row r="641" ht="12.75" customHeight="true"/>
    <row r="642" ht="12.75" customHeight="true"/>
    <row r="643" ht="12.75" customHeight="true"/>
    <row r="644" ht="12.75" customHeight="true"/>
    <row r="645" ht="12.75" customHeight="true"/>
    <row r="646" ht="12.75" customHeight="true"/>
    <row r="647" ht="12.75" customHeight="true"/>
    <row r="648" ht="12.75" customHeight="true"/>
    <row r="649" ht="12.75" customHeight="true"/>
    <row r="650" ht="12.75" customHeight="true"/>
    <row r="651" ht="12.75" customHeight="true"/>
    <row r="652" ht="12.75" customHeight="true"/>
    <row r="653" ht="12.75" customHeight="true"/>
    <row r="654" ht="12.75" customHeight="true"/>
    <row r="655" ht="12.75" customHeight="true"/>
    <row r="656" ht="12.75" customHeight="true"/>
    <row r="657" ht="12.75" customHeight="true"/>
    <row r="658" ht="12.75" customHeight="true"/>
    <row r="659" ht="12.75" customHeight="true"/>
    <row r="660" ht="12.75" customHeight="true"/>
    <row r="661" ht="12.75" customHeight="true"/>
    <row r="662" ht="12.75" customHeight="true"/>
    <row r="663" ht="12.75" customHeight="true"/>
    <row r="664" ht="12.75" customHeight="true"/>
    <row r="665" ht="12.75" customHeight="true"/>
    <row r="666" ht="12.75" customHeight="true"/>
    <row r="667" ht="12.75" customHeight="true"/>
    <row r="668" ht="12.75" customHeight="true"/>
    <row r="669" ht="12.75" customHeight="true"/>
    <row r="670" ht="12.75" customHeight="true"/>
    <row r="671" ht="12.75" customHeight="true"/>
    <row r="672" ht="12.75" customHeight="true"/>
    <row r="673" ht="12.75" customHeight="true"/>
    <row r="674" ht="12.75" customHeight="true"/>
    <row r="675" ht="12.75" customHeight="true"/>
    <row r="676" ht="12.75" customHeight="true"/>
    <row r="677" ht="12.75" customHeight="true"/>
    <row r="678" ht="12.75" customHeight="true"/>
    <row r="679" ht="12.75" customHeight="true"/>
    <row r="680" ht="12.75" customHeight="true"/>
    <row r="681" ht="12.75" customHeight="true"/>
    <row r="682" ht="12.75" customHeight="true"/>
    <row r="683" ht="12.75" customHeight="true"/>
    <row r="684" ht="12.75" customHeight="true"/>
    <row r="685" ht="12.75" customHeight="true"/>
    <row r="686" ht="12.75" customHeight="true"/>
    <row r="687" ht="12.75" customHeight="true"/>
    <row r="688" ht="12.75" customHeight="true"/>
    <row r="689" ht="12.75" customHeight="true"/>
    <row r="690" ht="12.75" customHeight="true"/>
    <row r="691" ht="12.75" customHeight="true"/>
    <row r="692" ht="12.75" customHeight="true"/>
    <row r="693" ht="12.75" customHeight="true"/>
    <row r="694" ht="12.75" customHeight="true"/>
    <row r="695" ht="12.75" customHeight="true"/>
    <row r="696" ht="12.75" customHeight="true"/>
    <row r="697" ht="12.75" customHeight="true"/>
    <row r="698" ht="12.75" customHeight="true"/>
    <row r="699" ht="12.75" customHeight="true"/>
    <row r="700" ht="12.75" customHeight="true"/>
    <row r="701" ht="12.75" customHeight="true"/>
    <row r="702" ht="12.75" customHeight="true"/>
    <row r="703" ht="12.75" customHeight="true"/>
    <row r="704" ht="12.75" customHeight="true"/>
    <row r="705" ht="12.75" customHeight="true"/>
    <row r="706" ht="12.75" customHeight="true"/>
    <row r="707" ht="12.75" customHeight="true"/>
    <row r="708" ht="12.75" customHeight="true"/>
    <row r="709" ht="12.75" customHeight="true"/>
    <row r="710" ht="12.75" customHeight="true"/>
    <row r="711" ht="12.75" customHeight="true"/>
    <row r="712" ht="12.75" customHeight="true"/>
    <row r="713" ht="12.75" customHeight="true"/>
    <row r="714" ht="12.75" customHeight="true"/>
    <row r="715" ht="12.75" customHeight="true"/>
    <row r="716" ht="12.75" customHeight="true"/>
    <row r="717" ht="12.75" customHeight="true"/>
    <row r="718" ht="12.75" customHeight="true"/>
    <row r="719" ht="12.75" customHeight="true"/>
    <row r="720" ht="12.75" customHeight="true"/>
    <row r="721" ht="12.75" customHeight="true"/>
    <row r="722" ht="12.75" customHeight="true"/>
    <row r="723" ht="12.75" customHeight="true"/>
    <row r="724" ht="12.75" customHeight="true"/>
    <row r="725" ht="12.75" customHeight="true"/>
    <row r="726" ht="12.75" customHeight="true"/>
    <row r="727" ht="12.75" customHeight="true"/>
    <row r="728" ht="12.75" customHeight="true"/>
    <row r="729" ht="12.75" customHeight="true"/>
    <row r="730" ht="12.75" customHeight="true"/>
    <row r="731" ht="12.75" customHeight="true"/>
    <row r="732" ht="12.75" customHeight="true"/>
    <row r="733" ht="12.75" customHeight="true"/>
    <row r="734" ht="12.75" customHeight="true"/>
    <row r="735" ht="12.75" customHeight="true"/>
    <row r="736" ht="12.75" customHeight="true"/>
    <row r="737" ht="12.75" customHeight="true"/>
    <row r="738" ht="12.75" customHeight="true"/>
    <row r="739" ht="12.75" customHeight="true"/>
    <row r="740" ht="12.75" customHeight="true"/>
    <row r="741" ht="12.75" customHeight="true"/>
    <row r="742" ht="12.75" customHeight="true"/>
    <row r="743" ht="12.75" customHeight="true"/>
    <row r="744" ht="12.75" customHeight="true"/>
    <row r="745" ht="12.75" customHeight="true"/>
    <row r="746" ht="12.75" customHeight="true"/>
    <row r="747" ht="12.75" customHeight="true"/>
    <row r="748" ht="12.75" customHeight="true"/>
    <row r="749" ht="12.75" customHeight="true"/>
    <row r="750" ht="12.75" customHeight="true"/>
    <row r="751" ht="12.75" customHeight="true"/>
    <row r="752" ht="12.75" customHeight="true"/>
    <row r="753" ht="12.75" customHeight="true"/>
    <row r="754" ht="12.75" customHeight="true"/>
    <row r="755" ht="12.75" customHeight="true"/>
    <row r="756" ht="12.75" customHeight="true"/>
    <row r="757" ht="12.75" customHeight="true"/>
    <row r="758" ht="12.75" customHeight="true"/>
    <row r="759" ht="12.75" customHeight="true"/>
    <row r="760" ht="12.75" customHeight="true"/>
    <row r="761" ht="12.75" customHeight="true"/>
    <row r="762" ht="12.75" customHeight="true"/>
    <row r="763" ht="12.75" customHeight="true"/>
    <row r="764" ht="12.75" customHeight="true"/>
    <row r="765" ht="12.75" customHeight="true"/>
    <row r="766" ht="12.75" customHeight="true"/>
    <row r="767" ht="12.75" customHeight="true"/>
    <row r="768" ht="12.75" customHeight="true"/>
    <row r="769" ht="12.75" customHeight="true"/>
    <row r="770" ht="12.75" customHeight="true"/>
    <row r="771" ht="12.75" customHeight="true"/>
    <row r="772" ht="12.75" customHeight="true"/>
    <row r="773" ht="12.75" customHeight="true"/>
    <row r="774" ht="12.75" customHeight="true"/>
    <row r="775" ht="12.75" customHeight="true"/>
    <row r="776" ht="12.75" customHeight="true"/>
    <row r="777" ht="12.75" customHeight="true"/>
    <row r="778" ht="12.75" customHeight="true"/>
    <row r="779" ht="12.75" customHeight="true"/>
    <row r="780" ht="12.75" customHeight="true"/>
    <row r="781" ht="12.75" customHeight="true"/>
    <row r="782" ht="12.75" customHeight="true"/>
    <row r="783" ht="12.75" customHeight="true"/>
    <row r="784" ht="12.75" customHeight="true"/>
    <row r="785" ht="12.75" customHeight="true"/>
    <row r="786" ht="12.75" customHeight="true"/>
    <row r="787" ht="12.75" customHeight="true"/>
    <row r="788" ht="12.75" customHeight="true"/>
    <row r="789" ht="12.75" customHeight="true"/>
    <row r="790" ht="12.75" customHeight="true"/>
    <row r="791" ht="12.75" customHeight="true"/>
    <row r="792" ht="12.75" customHeight="true"/>
    <row r="793" ht="12.75" customHeight="true"/>
    <row r="794" ht="12.75" customHeight="true"/>
    <row r="795" ht="12.75" customHeight="true"/>
    <row r="796" ht="12.75" customHeight="true"/>
    <row r="797" ht="12.75" customHeight="true"/>
    <row r="798" ht="12.75" customHeight="true"/>
    <row r="799" ht="12.75" customHeight="true"/>
    <row r="800" ht="12.75" customHeight="true"/>
    <row r="801" ht="12.75" customHeight="true"/>
    <row r="802" ht="12.75" customHeight="true"/>
    <row r="803" ht="12.75" customHeight="true"/>
    <row r="804" ht="12.75" customHeight="true"/>
    <row r="805" ht="12.75" customHeight="true"/>
    <row r="806" ht="12.75" customHeight="true"/>
    <row r="807" ht="12.75" customHeight="true"/>
    <row r="808" ht="12.75" customHeight="true"/>
    <row r="809" ht="12.75" customHeight="true"/>
    <row r="810" ht="12.75" customHeight="true"/>
    <row r="811" ht="12.75" customHeight="true"/>
    <row r="812" ht="12.75" customHeight="true"/>
    <row r="813" ht="12.75" customHeight="true"/>
    <row r="814" ht="12.75" customHeight="true"/>
    <row r="815" ht="12.75" customHeight="true"/>
    <row r="816" ht="12.75" customHeight="true"/>
    <row r="817" ht="12.75" customHeight="true"/>
    <row r="818" ht="12.75" customHeight="true"/>
    <row r="819" ht="12.75" customHeight="true"/>
    <row r="820" ht="12.75" customHeight="true"/>
    <row r="821" ht="12.75" customHeight="true"/>
    <row r="822" ht="12.75" customHeight="true"/>
    <row r="823" ht="12.75" customHeight="true"/>
    <row r="824" ht="12.75" customHeight="true"/>
    <row r="825" ht="12.75" customHeight="true"/>
    <row r="826" ht="12.75" customHeight="true"/>
    <row r="827" ht="12.75" customHeight="true"/>
    <row r="828" ht="12.75" customHeight="true"/>
    <row r="829" ht="12.75" customHeight="true"/>
    <row r="830" ht="12.75" customHeight="true"/>
    <row r="831" ht="12.75" customHeight="true"/>
    <row r="832" ht="12.75" customHeight="true"/>
    <row r="833" ht="12.75" customHeight="true"/>
    <row r="834" ht="12.75" customHeight="true"/>
    <row r="835" ht="12.75" customHeight="true"/>
    <row r="836" ht="12.75" customHeight="true"/>
    <row r="837" ht="12.75" customHeight="true"/>
    <row r="838" ht="12.75" customHeight="true"/>
    <row r="839" ht="12.75" customHeight="true"/>
    <row r="840" ht="12.75" customHeight="true"/>
    <row r="841" ht="12.75" customHeight="true"/>
    <row r="842" ht="12.75" customHeight="true"/>
    <row r="843" ht="12.75" customHeight="true"/>
    <row r="844" ht="12.75" customHeight="true"/>
    <row r="845" ht="12.75" customHeight="true"/>
    <row r="846" ht="12.75" customHeight="true"/>
    <row r="847" ht="12.75" customHeight="true"/>
    <row r="848" ht="12.75" customHeight="true"/>
    <row r="849" ht="12.75" customHeight="true"/>
    <row r="850" ht="12.75" customHeight="true"/>
    <row r="851" ht="12.75" customHeight="true"/>
    <row r="852" ht="12.75" customHeight="true"/>
    <row r="853" ht="12.75" customHeight="true"/>
    <row r="854" ht="12.75" customHeight="true"/>
    <row r="855" ht="12.75" customHeight="true"/>
    <row r="856" ht="12.75" customHeight="true"/>
    <row r="857" ht="12.75" customHeight="true"/>
    <row r="858" ht="12.75" customHeight="true"/>
    <row r="859" ht="12.75" customHeight="true"/>
    <row r="860" ht="12.75" customHeight="true"/>
    <row r="861" ht="12.75" customHeight="true"/>
    <row r="862" ht="12.75" customHeight="true"/>
    <row r="863" ht="12.75" customHeight="true"/>
    <row r="864" ht="12.75" customHeight="true"/>
    <row r="865" ht="12.75" customHeight="true"/>
    <row r="866" ht="12.75" customHeight="true"/>
    <row r="867" ht="12.75" customHeight="true"/>
    <row r="868" ht="12.75" customHeight="true"/>
    <row r="869" ht="12.75" customHeight="true"/>
    <row r="870" ht="12.75" customHeight="true"/>
    <row r="871" ht="12.75" customHeight="true"/>
    <row r="872" ht="12.75" customHeight="true"/>
    <row r="873" ht="12.75" customHeight="true"/>
    <row r="874" ht="12.75" customHeight="true"/>
    <row r="875" ht="12.75" customHeight="true"/>
    <row r="876" ht="12.75" customHeight="true"/>
    <row r="877" ht="12.75" customHeight="true"/>
    <row r="878" ht="12.75" customHeight="true"/>
    <row r="879" ht="12.75" customHeight="true"/>
    <row r="880" ht="12.75" customHeight="true"/>
    <row r="881" ht="12.75" customHeight="true"/>
    <row r="882" ht="12.75" customHeight="true"/>
    <row r="883" ht="12.75" customHeight="true"/>
    <row r="884" ht="12.75" customHeight="true"/>
    <row r="885" ht="12.75" customHeight="true"/>
    <row r="886" ht="12.75" customHeight="true"/>
    <row r="887" ht="12.75" customHeight="true"/>
    <row r="888" ht="12.75" customHeight="true"/>
    <row r="889" ht="12.75" customHeight="true"/>
    <row r="890" ht="12.75" customHeight="true"/>
    <row r="891" ht="12.75" customHeight="true"/>
    <row r="892" ht="12.75" customHeight="true"/>
    <row r="893" ht="12.75" customHeight="true"/>
    <row r="894" ht="12.75" customHeight="true"/>
    <row r="895" ht="12.75" customHeight="true"/>
    <row r="896" ht="12.75" customHeight="true"/>
    <row r="897" ht="12.75" customHeight="true"/>
    <row r="898" ht="12.75" customHeight="true"/>
    <row r="899" ht="12.75" customHeight="true"/>
    <row r="900" ht="12.75" customHeight="true"/>
    <row r="901" ht="12.75" customHeight="true"/>
    <row r="902" ht="12.75" customHeight="true"/>
    <row r="903" ht="12.75" customHeight="true"/>
    <row r="904" ht="12.75" customHeight="true"/>
    <row r="905" ht="12.75" customHeight="true"/>
    <row r="906" ht="12.75" customHeight="true"/>
    <row r="907" ht="12.75" customHeight="true"/>
    <row r="908" ht="12.75" customHeight="true"/>
    <row r="909" ht="12.75" customHeight="true"/>
    <row r="910" ht="12.75" customHeight="true"/>
    <row r="911" ht="12.75" customHeight="true"/>
    <row r="912" ht="12.75" customHeight="true"/>
    <row r="913" ht="12.75" customHeight="true"/>
    <row r="914" ht="12.75" customHeight="true"/>
    <row r="915" ht="12.75" customHeight="true"/>
    <row r="916" ht="12.75" customHeight="true"/>
    <row r="917" ht="12.75" customHeight="true"/>
    <row r="918" ht="12.75" customHeight="true"/>
    <row r="919" ht="12.75" customHeight="true"/>
    <row r="920" ht="12.75" customHeight="true"/>
    <row r="921" ht="12.75" customHeight="true"/>
    <row r="922" ht="12.75" customHeight="true"/>
    <row r="923" ht="12.75" customHeight="true"/>
    <row r="924" ht="12.75" customHeight="true"/>
    <row r="925" ht="12.75" customHeight="true"/>
    <row r="926" ht="12.75" customHeight="true"/>
    <row r="927" ht="12.75" customHeight="true"/>
    <row r="928" ht="12.75" customHeight="true"/>
    <row r="929" ht="12.75" customHeight="true"/>
    <row r="930" ht="12.75" customHeight="true"/>
    <row r="931" ht="12.75" customHeight="true"/>
    <row r="932" ht="12.75" customHeight="true"/>
    <row r="933" ht="12.75" customHeight="true"/>
    <row r="934" ht="12.75" customHeight="true"/>
    <row r="935" ht="12.75" customHeight="true"/>
    <row r="936" ht="12.75" customHeight="true"/>
    <row r="937" ht="12.75" customHeight="true"/>
    <row r="938" ht="12.75" customHeight="true"/>
    <row r="939" ht="12.75" customHeight="true"/>
    <row r="940" ht="12.75" customHeight="true"/>
    <row r="941" ht="12.75" customHeight="true"/>
    <row r="942" ht="12.75" customHeight="true"/>
    <row r="943" ht="12.75" customHeight="true"/>
    <row r="944" ht="12.75" customHeight="true"/>
    <row r="945" ht="12.75" customHeight="true"/>
    <row r="946" ht="12.75" customHeight="true"/>
    <row r="947" ht="12.75" customHeight="true"/>
    <row r="948" ht="12.75" customHeight="true"/>
    <row r="949" ht="12.75" customHeight="true"/>
    <row r="950" ht="12.75" customHeight="true"/>
    <row r="951" ht="12.75" customHeight="true"/>
    <row r="952" ht="12.75" customHeight="true"/>
    <row r="953" ht="12.75" customHeight="true"/>
    <row r="954" ht="12.75" customHeight="true"/>
    <row r="955" ht="12.75" customHeight="true"/>
    <row r="956" ht="12.75" customHeight="true"/>
    <row r="957" ht="12.75" customHeight="true"/>
    <row r="958" ht="12.75" customHeight="true"/>
    <row r="959" ht="12.75" customHeight="true"/>
    <row r="960" ht="12.75" customHeight="true"/>
    <row r="961" ht="12.75" customHeight="true"/>
    <row r="962" ht="12.75" customHeight="true"/>
    <row r="963" ht="12.75" customHeight="true"/>
    <row r="964" ht="12.75" customHeight="true"/>
    <row r="965" ht="12.75" customHeight="true"/>
    <row r="966" ht="12.75" customHeight="true"/>
    <row r="967" ht="12.75" customHeight="true"/>
    <row r="968" ht="12.75" customHeight="true"/>
    <row r="969" ht="12.75" customHeight="true"/>
    <row r="970" ht="12.75" customHeight="true"/>
    <row r="971" ht="12.75" customHeight="true"/>
    <row r="972" ht="12.75" customHeight="true"/>
    <row r="973" ht="12.75" customHeight="true"/>
    <row r="974" ht="12.75" customHeight="true"/>
    <row r="975" ht="12.75" customHeight="true"/>
    <row r="976" ht="12.75" customHeight="true"/>
    <row r="977" ht="12.75" customHeight="true"/>
    <row r="978" ht="12.75" customHeight="true"/>
    <row r="979" ht="12.75" customHeight="true"/>
    <row r="980" ht="12.75" customHeight="true"/>
    <row r="981" ht="12.75" customHeight="true"/>
    <row r="982" ht="12.75" customHeight="true"/>
    <row r="983" ht="12.75" customHeight="true"/>
    <row r="984" ht="12.75" customHeight="true"/>
    <row r="985" ht="12.75" customHeight="true"/>
    <row r="986" ht="12.75" customHeight="true"/>
    <row r="987" ht="12.75" customHeight="true"/>
    <row r="988" ht="12.75" customHeight="true"/>
    <row r="989" ht="12.75" customHeight="true"/>
    <row r="990" ht="12.75" customHeight="true"/>
    <row r="991" ht="12.75" customHeight="true"/>
    <row r="992" ht="12.75" customHeight="true"/>
    <row r="993" ht="12.75" customHeight="true"/>
    <row r="994" ht="12.75" customHeight="true"/>
    <row r="995" ht="12.75" customHeight="true"/>
    <row r="996" ht="12.75" customHeight="true"/>
    <row r="997" ht="12.75" customHeight="true"/>
    <row r="998" ht="12.75" customHeight="true"/>
    <row r="999" ht="12.75" customHeight="true"/>
    <row r="1000" ht="12.75" customHeight="true"/>
  </sheetData>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6316AF-4790-BF4E-A6AB-8C7837CD465B}">
  <dimension ref="A1:H11"/>
  <sheetViews>
    <sheetView workbookViewId="0">
      <selection activeCell="B4" sqref="B4"/>
    </sheetView>
  </sheetViews>
  <sheetFormatPr baseColWidth="10" defaultRowHeight="13"/>
  <cols>
    <col customWidth="true" max="1" min="1" width="21.83203125"/>
    <col customWidth="true" max="4" min="4" width="14.6640625"/>
    <col customWidth="true" max="5" min="5" width="17"/>
    <col customWidth="true" max="7" min="6" width="13.1640625"/>
  </cols>
  <sheetData>
    <row r="1" spans="1:8" ht="51">
      <c r="A1" s="13" t="s">
        <v>2</v>
      </c>
      <c r="B1" s="13" t="s">
        <v>3</v>
      </c>
      <c r="C1" s="13" t="s">
        <v>4</v>
      </c>
      <c r="D1" s="13" t="s">
        <v>5</v>
      </c>
      <c r="E1" s="13" t="s">
        <v>6</v>
      </c>
      <c r="F1" s="13" t="s">
        <v>7</v>
      </c>
      <c r="G1" s="13" t="s">
        <v>8</v>
      </c>
      <c r="H1" s="13" t="s">
        <v>9</v>
      </c>
    </row>
    <row r="2" spans="1:8" s="11" customFormat="true" ht="16">
      <c r="A2" s="11">
        <v>31</v>
      </c>
      <c r="B2" s="11">
        <v>1</v>
      </c>
      <c r="C2" s="11">
        <v>3</v>
      </c>
      <c r="D2" s="12">
        <v>2.0833333333333333E-3</v>
      </c>
      <c r="E2" s="12">
        <f>(A2*B2*C2*D2)</f>
        <v>3.7499999999999999E-2</v>
      </c>
      <c r="F2" s="12">
        <v>3.4722222222222224E-4</v>
      </c>
      <c r="G2" s="12">
        <v>2.0833333333333332E-2</v>
      </c>
      <c r="H2" s="12">
        <f>E2+(A2*C2*F2)+G2</f>
        <v>6.041666666666666E-2</v>
      </c>
    </row>
    <row r="3" spans="1:8" ht="16">
      <c r="A3" s="11">
        <v>0</v>
      </c>
      <c r="B3" s="11">
        <v>0</v>
      </c>
      <c r="C3" s="11">
        <v>0</v>
      </c>
      <c r="D3" s="12">
        <v>2.0833333333333333E-3</v>
      </c>
      <c r="E3" s="12">
        <f>(A3*B3*C3*D3)</f>
        <v>0</v>
      </c>
      <c r="F3" s="12">
        <v>3.4722222222222224E-4</v>
      </c>
      <c r="G3" s="12">
        <v>2.0833333333333332E-2</v>
      </c>
      <c r="H3" s="12">
        <f>E3+(A3*C3*F3)+G3</f>
        <v>2.0833333333333332E-2</v>
      </c>
    </row>
    <row r="4" spans="1:8" ht="16">
      <c r="A4" s="14"/>
      <c r="B4" s="14"/>
      <c r="C4" s="14"/>
      <c r="D4" s="14"/>
      <c r="E4" s="14"/>
      <c r="F4" s="14"/>
      <c r="G4" s="14"/>
      <c r="H4" s="14"/>
    </row>
    <row r="5" spans="1:8" ht="16">
      <c r="A5" s="14"/>
      <c r="B5" s="14"/>
      <c r="C5" s="14"/>
      <c r="D5" s="14"/>
      <c r="E5" s="14"/>
      <c r="F5" s="14"/>
      <c r="G5" s="14"/>
      <c r="H5" s="14"/>
    </row>
    <row r="6" spans="1:8" ht="16">
      <c r="A6" s="14"/>
      <c r="B6" s="14"/>
      <c r="C6" s="14"/>
      <c r="D6" s="14"/>
      <c r="E6" s="14"/>
      <c r="F6" s="14"/>
      <c r="G6" s="14"/>
      <c r="H6" s="14"/>
    </row>
    <row r="7" spans="1:8" ht="51">
      <c r="A7" s="13" t="s">
        <v>10</v>
      </c>
      <c r="B7" s="13" t="s">
        <v>3</v>
      </c>
      <c r="C7" s="13"/>
      <c r="D7" s="13" t="s">
        <v>5</v>
      </c>
      <c r="E7" s="13" t="s">
        <v>6</v>
      </c>
      <c r="F7" s="13" t="s">
        <v>7</v>
      </c>
      <c r="G7" s="13" t="s">
        <v>8</v>
      </c>
      <c r="H7" s="13" t="s">
        <v>9</v>
      </c>
    </row>
    <row r="8" spans="1:8" s="11" customFormat="true" ht="16">
      <c r="A8" s="11">
        <v>61</v>
      </c>
      <c r="B8" s="11">
        <v>1</v>
      </c>
      <c r="D8" s="12">
        <v>2.7777777777777779E-3</v>
      </c>
      <c r="E8" s="12">
        <f>(A8*B8*D8)</f>
        <v>4.1666666666666671E-2</v>
      </c>
      <c r="F8" s="12">
        <v>3.4722222222222224E-4</v>
      </c>
      <c r="G8" s="12">
        <v>2.0833333333333332E-2</v>
      </c>
      <c r="H8" s="12">
        <f>E8+(A8*F8)+G8</f>
        <v>6.4236111111111119E-2</v>
      </c>
    </row>
    <row r="9" spans="1:8" ht="16">
      <c r="A9" s="14"/>
      <c r="B9" s="14"/>
      <c r="C9" s="14"/>
      <c r="D9" s="14"/>
      <c r="E9" s="14"/>
      <c r="F9" s="14"/>
      <c r="G9" s="14"/>
      <c r="H9" s="14"/>
    </row>
    <row r="10" spans="1:8" ht="16">
      <c r="A10" s="14"/>
      <c r="B10" s="14"/>
      <c r="C10" s="14"/>
      <c r="D10" s="14"/>
      <c r="E10" s="14"/>
      <c r="F10" s="14"/>
      <c r="G10" s="14"/>
      <c r="H10" s="14"/>
    </row>
    <row r="11" spans="1:8" ht="16">
      <c r="A11" s="14"/>
      <c r="B11" s="14"/>
      <c r="C11" s="14"/>
      <c r="D11" s="14"/>
      <c r="E11" s="14"/>
      <c r="F11" s="14"/>
      <c r="G11" s="14"/>
      <c r="H11" s="14"/>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true"/>
  </sheetPr>
  <dimension ref="A2:H8"/>
  <sheetViews>
    <sheetView workbookViewId="0">
      <selection activeCell="B14" sqref="B14"/>
    </sheetView>
  </sheetViews>
  <sheetFormatPr baseColWidth="10" defaultColWidth="12.6640625" defaultRowHeight="17" customHeight="true"/>
  <cols>
    <col customWidth="true" max="1" min="1" width="8.83203125"/>
    <col customWidth="true" max="2" min="2" width="30"/>
    <col customWidth="true" max="3" min="3" width="8.83203125"/>
    <col customWidth="true" max="4" min="4" width="30"/>
    <col customWidth="true" max="5" min="5" width="8.83203125"/>
    <col customWidth="true" max="6" min="6" width="30"/>
    <col customWidth="true" max="7" min="7" width="8.83203125"/>
    <col customWidth="true" max="8" min="8" width="33"/>
    <col customWidth="true" max="9" min="9" width="8.83203125"/>
    <col customWidth="true" max="10" min="10" width="33"/>
    <col customWidth="true" max="26" min="11" width="8.83203125"/>
  </cols>
  <sheetData>
    <row r="2" spans="1:8" ht="20">
      <c r="A2" s="2"/>
      <c r="B2" s="15" t="str">
        <f>IF(data!$B$1="","Tournament Pools",data!$B$1&amp;" - Tournament Pools")</f>
        <v>1</v>
      </c>
      <c r="C2" s="16"/>
      <c r="D2" s="16"/>
      <c r="E2" s="16"/>
      <c r="F2" s="16"/>
      <c r="G2" s="2"/>
      <c r="H2" s="2"/>
    </row>
    <row r="3" spans="1:8" ht="17" customHeight="true">
      <c r="A3" s="3"/>
      <c r="B3" s="3"/>
      <c r="C3" s="3"/>
      <c r="D3" s="3"/>
      <c r="E3" s="3"/>
      <c r="F3" s="3"/>
      <c r="G3" s="3"/>
      <c r="H3" s="3"/>
    </row>
    <row r="4" spans="1:8" ht="17" customHeight="true" thickBot="true">
      <c r="A4" s="4"/>
      <c r="B4" s="4"/>
      <c r="C4" s="4"/>
      <c r="G4" s="4"/>
      <c r="H4" s="4"/>
    </row>
    <row r="5" spans="1:8" ht="17" customHeight="true" thickBot="true">
      <c r="B5" s="6" t="str">
        <f>data!$A$5</f>
      </c>
      <c r="C5" s="4"/>
      <c r="D5" s="6" t="str">
        <f>data!$A$38</f>
      </c>
      <c r="F5" s="6" t="str">
        <f>data!$A$70</f>
      </c>
    </row>
    <row r="6" spans="1:8" ht="17" customHeight="true" thickBot="true">
      <c r="B6" s="5" t="str">
        <f>"1. " &amp; data!$B$3</f>
      </c>
      <c r="C6" s="4"/>
      <c r="D6" s="5" t="str">
        <f>"1. " &amp; data!$B$36</f>
      </c>
      <c r="F6" s="5" t="str">
        <f>"1. " &amp; data!$B$68</f>
      </c>
    </row>
    <row r="7" spans="1:8" ht="17" customHeight="true" thickBot="true">
      <c r="B7" s="5" t="str">
        <f>"2. " &amp; data!$B$4</f>
      </c>
      <c r="C7" s="4"/>
      <c r="D7" s="5" t="str">
        <f>"2. " &amp; data!$B$37</f>
      </c>
      <c r="F7" s="5" t="str">
        <f>"2. " &amp; data!$B$69</f>
      </c>
    </row>
    <row r="8" spans="1:8" ht="17" customHeight="true" thickBot="true">
      <c r="B8" s="5" t="str">
        <f>"3. " &amp; data!$B$5</f>
      </c>
      <c r="C8" s="4"/>
      <c r="D8" s="5" t="str">
        <f>"3. " &amp; data!$B$38</f>
      </c>
      <c r="F8" s="5" t="str">
        <f>"3. " &amp; data!$B$70</f>
      </c>
    </row>
    <row r="9" ht="17" customHeight="true"/>
    <row r="10" ht="17" customHeight="true"/>
    <row r="11" ht="17" customHeight="true">
      <c r="B11" s="6" t="str">
        <f>data!$A$8</f>
      </c>
      <c r="D11" s="6" t="str">
        <f>data!$A$41</f>
      </c>
      <c r="F11" s="6" t="str">
        <f>data!$A$73</f>
      </c>
    </row>
    <row r="12" ht="17" customHeight="true">
      <c r="B12" s="5" t="str">
        <f>"1. " &amp; data!$B$6</f>
      </c>
      <c r="D12" s="5" t="str">
        <f>"1. " &amp; data!$B$39</f>
      </c>
      <c r="F12" s="5" t="str">
        <f>"1. " &amp; data!$B$71</f>
      </c>
    </row>
    <row r="13" ht="17" customHeight="true">
      <c r="B13" s="5" t="str">
        <f>"2. " &amp; data!$B$7</f>
      </c>
      <c r="D13" s="5" t="str">
        <f>"2. " &amp; data!$B$40</f>
      </c>
      <c r="F13" s="5" t="str">
        <f>"2. " &amp; data!$B$72</f>
      </c>
    </row>
    <row r="14" ht="17" customHeight="true">
      <c r="B14" s="5" t="str">
        <f>"3. " &amp; data!$B$8</f>
      </c>
      <c r="D14" s="5" t="str">
        <f>"3. " &amp; data!$B$41</f>
      </c>
      <c r="F14" s="5" t="str">
        <f>"3. " &amp; data!$B$73</f>
      </c>
    </row>
    <row r="15" ht="17" customHeight="true"/>
    <row r="16" ht="17" customHeight="true"/>
    <row r="17" ht="17" customHeight="true">
      <c r="B17" s="6" t="str">
        <f>data!$A$11</f>
      </c>
      <c r="D17" s="6" t="str">
        <f>data!$A$44</f>
      </c>
      <c r="F17" s="6" t="str">
        <f>data!$A$76</f>
      </c>
    </row>
    <row r="18" ht="17" customHeight="true">
      <c r="B18" s="5" t="str">
        <f>"1. " &amp; data!$B$9</f>
      </c>
      <c r="D18" s="5" t="str">
        <f>"1. " &amp; data!$B$42</f>
      </c>
      <c r="F18" s="5" t="str">
        <f>"1. " &amp; data!$B$74</f>
      </c>
    </row>
    <row r="19" ht="17" customHeight="true">
      <c r="B19" s="5" t="str">
        <f>"2. " &amp; data!$B$10</f>
      </c>
      <c r="D19" s="5" t="str">
        <f>"2. " &amp; data!$B$43</f>
      </c>
      <c r="F19" s="5" t="str">
        <f>"2. " &amp; data!$B$75</f>
      </c>
    </row>
    <row r="20" ht="17" customHeight="true">
      <c r="B20" s="5" t="str">
        <f>"3. " &amp; data!$B$11</f>
      </c>
      <c r="D20" s="5" t="str">
        <f>"3. " &amp; data!$B$44</f>
      </c>
      <c r="F20" s="5" t="str">
        <f>"3. " &amp; data!$B$76</f>
      </c>
    </row>
    <row r="21" ht="17" customHeight="true"/>
    <row r="22" ht="17" customHeight="true"/>
    <row r="23" ht="17" customHeight="true">
      <c r="B23" s="6" t="str">
        <f>data!$A$14</f>
      </c>
      <c r="D23" s="6" t="str">
        <f>data!$A$47</f>
      </c>
      <c r="F23" s="6" t="str">
        <f>data!$A$79</f>
      </c>
    </row>
    <row r="24" ht="17" customHeight="true">
      <c r="B24" s="5" t="str">
        <f>"1. " &amp; data!$B$12</f>
      </c>
      <c r="D24" s="5" t="str">
        <f>"1. " &amp; data!$B$45</f>
      </c>
      <c r="F24" s="5" t="str">
        <f>"1. " &amp; data!$B$77</f>
      </c>
    </row>
    <row r="25" ht="17" customHeight="true">
      <c r="B25" s="5" t="str">
        <f>"2. " &amp; data!$B$13</f>
      </c>
      <c r="D25" s="5" t="str">
        <f>"2. " &amp; data!$B$46</f>
      </c>
      <c r="F25" s="5" t="str">
        <f>"2. " &amp; data!$B$78</f>
      </c>
    </row>
    <row r="26" ht="17" customHeight="true">
      <c r="B26" s="5" t="str">
        <f>"3. " &amp; data!$B$14</f>
      </c>
      <c r="D26" s="5" t="str">
        <f>"3. " &amp; data!$B$47</f>
      </c>
      <c r="F26" s="5" t="str">
        <f>"3. " &amp; data!$B$79</f>
      </c>
    </row>
    <row r="27" ht="17" customHeight="true"/>
    <row r="28" ht="17" customHeight="true"/>
    <row r="29" ht="17" customHeight="true">
      <c r="B29" s="6" t="str">
        <f>data!$A$17</f>
      </c>
      <c r="D29" s="6" t="str">
        <f>data!$A$49</f>
      </c>
      <c r="F29" s="6" t="str">
        <f>data!$A$82</f>
      </c>
    </row>
    <row r="30" ht="17" customHeight="true">
      <c r="B30" s="5" t="str">
        <f>"1. " &amp; data!$B$15</f>
      </c>
      <c r="D30" s="5" t="str">
        <f>"1. " &amp; data!$B$48</f>
      </c>
      <c r="F30" s="5" t="str">
        <f>"1. " &amp; data!$B$80</f>
      </c>
    </row>
    <row r="31" ht="17" customHeight="true">
      <c r="B31" s="5" t="str">
        <f>"2. " &amp; data!$B$16</f>
      </c>
      <c r="D31" s="5" t="str">
        <f>"2. " &amp; data!$B$49</f>
      </c>
      <c r="F31" s="5" t="str">
        <f>"2. " &amp; data!$B$81</f>
      </c>
    </row>
    <row r="32" ht="17" customHeight="true">
      <c r="B32" s="5" t="str">
        <f>"3. " &amp; data!$B$17</f>
      </c>
      <c r="F32" s="5" t="str">
        <f>"3. " &amp; data!$B$82</f>
      </c>
    </row>
    <row r="33" ht="17" customHeight="true"/>
    <row r="34" ht="17" customHeight="true">
      <c r="D34" s="6" t="str">
        <f>data!$A$52</f>
      </c>
    </row>
    <row r="35" ht="17" customHeight="true">
      <c r="B35" s="6" t="str">
        <f>data!$A$20</f>
      </c>
      <c r="D35" s="5" t="str">
        <f>"1. " &amp; data!$B$50</f>
      </c>
      <c r="F35" s="6" t="str">
        <f>data!$A$85</f>
      </c>
    </row>
    <row r="36" ht="17" customHeight="true">
      <c r="B36" s="5" t="str">
        <f>"1. " &amp; data!$B$18</f>
      </c>
      <c r="D36" s="5" t="str">
        <f>"2. " &amp; data!$B$51</f>
      </c>
      <c r="F36" s="5" t="str">
        <f>"1. " &amp; data!$B$83</f>
      </c>
    </row>
    <row r="37" ht="17" customHeight="true">
      <c r="B37" s="5" t="str">
        <f>"2. " &amp; data!$B$19</f>
      </c>
      <c r="D37" s="5" t="str">
        <f>"3. " &amp; data!$B$52</f>
      </c>
      <c r="F37" s="5" t="str">
        <f>"2. " &amp; data!$B$84</f>
      </c>
    </row>
    <row r="38" ht="17" customHeight="true">
      <c r="B38" s="5" t="str">
        <f>"3. " &amp; data!$B$20</f>
      </c>
      <c r="F38" s="5" t="str">
        <f>"3. " &amp; data!$B$85</f>
      </c>
    </row>
    <row r="39" ht="17" customHeight="true"/>
    <row r="40" ht="17" customHeight="true">
      <c r="D40" s="6" t="str">
        <f>data!$A$55</f>
      </c>
    </row>
    <row r="41" ht="17" customHeight="true">
      <c r="B41" s="6" t="str">
        <f>data!$A$23</f>
      </c>
      <c r="D41" s="5" t="str">
        <f>"1. " &amp; data!$B$53</f>
      </c>
      <c r="F41" s="6" t="str">
        <f>data!$A$88</f>
      </c>
    </row>
    <row r="42" ht="17" customHeight="true">
      <c r="B42" s="5" t="str">
        <f>"1. " &amp; data!$B$21</f>
      </c>
      <c r="D42" s="5" t="str">
        <f>"2. " &amp; data!$B$54</f>
      </c>
      <c r="F42" s="5" t="str">
        <f>"1. " &amp; data!$B$86</f>
      </c>
    </row>
    <row r="43" ht="17" customHeight="true">
      <c r="B43" s="5" t="str">
        <f>"2. " &amp; data!$B$22</f>
      </c>
      <c r="D43" s="5" t="str">
        <f>"3. " &amp; data!$B$55</f>
      </c>
      <c r="F43" s="5" t="str">
        <f>"2. " &amp; data!$B$87</f>
      </c>
    </row>
    <row r="44" ht="17" customHeight="true">
      <c r="B44" s="5" t="str">
        <f>"3. " &amp; data!$B$23</f>
      </c>
      <c r="F44" s="5" t="str">
        <f>"3. " &amp; data!$B$88</f>
      </c>
    </row>
    <row r="45" ht="17" customHeight="true"/>
    <row r="46" ht="17" customHeight="true">
      <c r="D46" s="6" t="str">
        <f>data!$A$58</f>
      </c>
    </row>
    <row r="47" ht="17" customHeight="true">
      <c r="B47" s="6" t="str">
        <f>data!$A$26</f>
      </c>
      <c r="D47" s="5" t="str">
        <f>"1. " &amp; data!$B$56</f>
      </c>
      <c r="F47" s="6" t="str">
        <f>data!$A$91</f>
      </c>
    </row>
    <row r="48" ht="17" customHeight="true">
      <c r="B48" s="5" t="str">
        <f>"1. " &amp; data!$B$24</f>
      </c>
      <c r="D48" s="5" t="str">
        <f>"2. " &amp; data!$B$57</f>
      </c>
      <c r="F48" s="5" t="str">
        <f>"1. " &amp; data!$B$89</f>
      </c>
    </row>
    <row r="49" ht="17" customHeight="true">
      <c r="B49" s="5" t="str">
        <f>"2. " &amp; data!$B$25</f>
      </c>
      <c r="D49" s="5" t="str">
        <f>"3. " &amp; data!$B$58</f>
      </c>
      <c r="F49" s="5" t="str">
        <f>"2. " &amp; data!$B$90</f>
      </c>
    </row>
    <row r="50" ht="17" customHeight="true">
      <c r="B50" s="5" t="str">
        <f>"3. " &amp; data!$B$26</f>
      </c>
      <c r="F50" s="5" t="str">
        <f>"3. " &amp; data!$B$91</f>
      </c>
    </row>
    <row r="51" ht="17" customHeight="true"/>
    <row r="52" ht="17" customHeight="true">
      <c r="D52" s="6" t="str">
        <f>data!$A$61</f>
      </c>
    </row>
    <row r="53" ht="17" customHeight="true">
      <c r="B53" s="6" t="str">
        <f>data!$A$29</f>
      </c>
      <c r="D53" s="5" t="str">
        <f>"1. " &amp; data!$B$59</f>
      </c>
      <c r="F53" s="6" t="str">
        <f>data!$A$93</f>
      </c>
    </row>
    <row r="54" ht="17" customHeight="true">
      <c r="B54" s="5" t="str">
        <f>"1. " &amp; data!$B$27</f>
      </c>
      <c r="D54" s="5" t="str">
        <f>"2. " &amp; data!$B$60</f>
      </c>
      <c r="F54" s="5" t="str">
        <f>"1. " &amp; data!$B$92</f>
      </c>
    </row>
    <row r="55" ht="17" customHeight="true">
      <c r="B55" s="5" t="str">
        <f>"2. " &amp; data!$B$28</f>
      </c>
      <c r="D55" s="5" t="str">
        <f>"3. " &amp; data!$B$61</f>
      </c>
      <c r="F55" s="5" t="str">
        <f>"2. " &amp; data!$B$93</f>
      </c>
    </row>
    <row r="56" ht="17" customHeight="true">
      <c r="B56" s="5" t="str">
        <f>"3. " &amp; data!$B$29</f>
      </c>
    </row>
    <row r="57" ht="17" customHeight="true"/>
    <row r="58" ht="17" customHeight="true">
      <c r="D58" s="6" t="str">
        <f>data!$A$64</f>
      </c>
    </row>
    <row r="59" ht="17" customHeight="true">
      <c r="B59" s="6" t="str">
        <f>data!$A$32</f>
      </c>
      <c r="D59" s="5" t="str">
        <f>"1. " &amp; data!$B$62</f>
      </c>
    </row>
    <row r="60" ht="17" customHeight="true">
      <c r="B60" s="5" t="str">
        <f>"1. " &amp; data!$B$30</f>
      </c>
      <c r="D60" s="5" t="str">
        <f>"2. " &amp; data!$B$63</f>
      </c>
    </row>
    <row r="61" ht="17" customHeight="true">
      <c r="B61" s="5" t="str">
        <f>"2. " &amp; data!$B$31</f>
      </c>
      <c r="D61" s="5" t="str">
        <f>"3. " &amp; data!$B$64</f>
      </c>
    </row>
    <row r="62" ht="17" customHeight="true">
      <c r="B62" s="5" t="str">
        <f>"3. " &amp; data!$B$32</f>
      </c>
    </row>
    <row r="63" ht="17" customHeight="true"/>
    <row r="64" ht="17" customHeight="true">
      <c r="D64" s="6" t="str">
        <f>data!$A$67</f>
      </c>
    </row>
    <row r="65" ht="17" customHeight="true">
      <c r="B65" s="6" t="str">
        <f>data!$A$35</f>
      </c>
      <c r="D65" s="5" t="str">
        <f>"1. " &amp; data!$B$65</f>
      </c>
    </row>
    <row r="66" ht="17" customHeight="true">
      <c r="B66" s="5" t="str">
        <f>"1. " &amp; data!$B$33</f>
      </c>
      <c r="D66" s="5" t="str">
        <f>"2. " &amp; data!$B$66</f>
      </c>
    </row>
    <row r="67" ht="17" customHeight="true">
      <c r="B67" s="5" t="str">
        <f>"2. " &amp; data!$B$34</f>
      </c>
      <c r="D67" s="5" t="str">
        <f>"3. " &amp; data!$B$67</f>
      </c>
    </row>
    <row r="68" ht="17" customHeight="true">
      <c r="B68" s="5" t="str">
        <f>"3. " &amp; data!$B$35</f>
      </c>
    </row>
  </sheetData>
  <mergeCells count="1">
    <mergeCell ref="B2:F2"/>
  </mergeCells>
  <printOptions horizontalCentered="true" verticalCentered="true"/>
  <pageMargins left="0.35433070866141736" right="0.35433070866141736" top="0.3937007874015748" bottom="0.984251968503937" header="0" footer="0"/>
  <pageSetup fitToHeight="0" fitToWidth="1" orientation="portrait" paperSize="9"/>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F663BF-AB57-994A-845A-DBCD1B560412}">
  <sheetPr>
    <pageSetUpPr fitToPage="true"/>
  </sheetPr>
  <dimension ref="A1"/>
  <sheetViews>
    <sheetView workbookViewId="0">
      <selection activeCell="I15" sqref="I15"/>
    </sheetView>
  </sheetViews>
  <sheetFormatPr baseColWidth="10" defaultRowHeight="16"/>
  <cols>
    <col customWidth="true" max="1" min="1" style="7" width="30"/>
    <col customWidth="true" max="3" min="2" style="7" width="5"/>
    <col customWidth="true" max="4" min="4" style="7" width="3"/>
    <col customWidth="true" max="6" min="5" style="7" width="5"/>
    <col customWidth="true" max="7" min="7" style="7" width="30"/>
    <col customWidth="true" max="8" min="8" style="7" width="2"/>
    <col customWidth="true" max="9" min="9" style="7" width="30"/>
    <col customWidth="true" max="11" min="10" style="7" width="5"/>
    <col customWidth="true" max="12" min="12" style="7" width="3"/>
    <col customWidth="true" max="14" min="13" style="7" width="5"/>
    <col customWidth="true" max="15" min="15" style="7" width="30"/>
    <col customWidth="true" max="16" min="16" style="7" width="2"/>
    <col max="16384" min="17" style="7" width="10.83203125"/>
  </cols>
  <sheetData>
    <row r="1">
      <c r="A1" s="20" t="s">
        <v>238</v>
      </c>
      <c r="B1" s="20"/>
      <c r="C1" s="20"/>
      <c r="D1" s="20"/>
      <c r="E1" s="20"/>
      <c r="F1" s="20"/>
      <c r="G1" s="20"/>
      <c r="I1" s="20" t="s">
        <v>239</v>
      </c>
      <c r="J1" s="20"/>
      <c r="K1" s="20"/>
      <c r="L1" s="20"/>
      <c r="M1" s="20"/>
      <c r="N1" s="20"/>
      <c r="O1" s="20"/>
    </row>
    <row r="4">
      <c r="A4" s="20" t="str">
        <f>data!$A$5</f>
      </c>
      <c r="B4" s="20"/>
      <c r="C4" s="20"/>
      <c r="D4" s="20"/>
      <c r="E4" s="20"/>
      <c r="F4" s="20"/>
      <c r="G4" s="20"/>
      <c r="I4" s="20" t="str">
        <f>data!$A$52</f>
      </c>
      <c r="J4" s="20"/>
      <c r="K4" s="20"/>
      <c r="L4" s="20"/>
      <c r="M4" s="20"/>
      <c r="N4" s="20"/>
      <c r="O4" s="20"/>
    </row>
    <row r="5">
      <c r="A5" s="23" t="s">
        <v>240</v>
      </c>
      <c r="D5" s="21" t="s">
        <v>241</v>
      </c>
      <c r="G5" s="24" t="s">
        <v>242</v>
      </c>
      <c r="I5" s="23" t="s">
        <v>240</v>
      </c>
      <c r="L5" s="21" t="s">
        <v>241</v>
      </c>
      <c r="O5" s="24" t="s">
        <v>242</v>
      </c>
    </row>
    <row r="6">
      <c r="A6" s="21" t="str">
        <f>data!$B$3</f>
      </c>
      <c r="B6" s="21"/>
      <c r="C6" s="21"/>
      <c r="D6" s="21"/>
      <c r="E6" s="21"/>
      <c r="F6" s="21"/>
      <c r="G6" s="21" t="str">
        <f>data!$B$4</f>
      </c>
      <c r="I6" s="21" t="str">
        <f>data!$B$50</f>
      </c>
      <c r="J6" s="21"/>
      <c r="K6" s="21"/>
      <c r="L6" s="21"/>
      <c r="M6" s="21"/>
      <c r="N6" s="21"/>
      <c r="O6" s="21" t="str">
        <f>data!$B$51</f>
      </c>
    </row>
    <row r="7">
      <c r="A7" s="21" t="str">
        <f>data!$B$3</f>
      </c>
      <c r="B7" s="21"/>
      <c r="C7" s="21"/>
      <c r="D7" s="21"/>
      <c r="E7" s="21"/>
      <c r="F7" s="21"/>
      <c r="G7" s="21" t="str">
        <f>data!$B$5</f>
      </c>
      <c r="I7" s="21" t="str">
        <f>data!$B$50</f>
      </c>
      <c r="J7" s="21"/>
      <c r="K7" s="21"/>
      <c r="L7" s="21"/>
      <c r="M7" s="21"/>
      <c r="N7" s="21"/>
      <c r="O7" s="21" t="str">
        <f>data!$B$52</f>
      </c>
    </row>
    <row r="8">
      <c r="A8" s="21" t="str">
        <f>data!$B$4</f>
      </c>
      <c r="B8" s="21"/>
      <c r="C8" s="21"/>
      <c r="D8" s="21"/>
      <c r="E8" s="21"/>
      <c r="F8" s="21"/>
      <c r="G8" s="21" t="str">
        <f>data!$B$5</f>
      </c>
      <c r="I8" s="21" t="str">
        <f>data!$B$51</f>
      </c>
      <c r="J8" s="21"/>
      <c r="K8" s="21"/>
      <c r="L8" s="21"/>
      <c r="M8" s="21"/>
      <c r="N8" s="21"/>
      <c r="O8" s="21" t="str">
        <f>data!$B$52</f>
      </c>
    </row>
    <row r="10">
      <c r="F10" s="7" t="s">
        <v>243</v>
      </c>
      <c r="G10" s="22"/>
      <c r="N10" s="7" t="s">
        <v>243</v>
      </c>
      <c r="O10" s="22"/>
    </row>
    <row r="11">
      <c r="F11" s="7" t="s">
        <v>244</v>
      </c>
      <c r="G11" s="22"/>
      <c r="N11" s="7" t="s">
        <v>244</v>
      </c>
      <c r="O11" s="22"/>
    </row>
    <row r="12">
      <c r="F12" s="7" t="s">
        <v>245</v>
      </c>
      <c r="G12" s="22"/>
      <c r="N12" s="7" t="s">
        <v>245</v>
      </c>
      <c r="O12" s="22"/>
    </row>
    <row r="15">
      <c r="A15" s="20" t="str">
        <f>data!$A$8</f>
      </c>
      <c r="B15" s="20"/>
      <c r="C15" s="20"/>
      <c r="D15" s="20"/>
      <c r="E15" s="20"/>
      <c r="F15" s="20"/>
      <c r="G15" s="20"/>
      <c r="I15" s="20" t="str">
        <f>data!$A$55</f>
      </c>
      <c r="J15" s="20"/>
      <c r="K15" s="20"/>
      <c r="L15" s="20"/>
      <c r="M15" s="20"/>
      <c r="N15" s="20"/>
      <c r="O15" s="20"/>
    </row>
    <row r="16">
      <c r="A16" s="23" t="s">
        <v>240</v>
      </c>
      <c r="D16" s="21" t="s">
        <v>241</v>
      </c>
      <c r="G16" s="24" t="s">
        <v>242</v>
      </c>
      <c r="I16" s="23" t="s">
        <v>240</v>
      </c>
      <c r="L16" s="21" t="s">
        <v>241</v>
      </c>
      <c r="O16" s="24" t="s">
        <v>242</v>
      </c>
    </row>
    <row r="17">
      <c r="A17" s="21" t="str">
        <f>data!$B$6</f>
      </c>
      <c r="B17" s="21"/>
      <c r="C17" s="21"/>
      <c r="D17" s="21"/>
      <c r="E17" s="21"/>
      <c r="F17" s="21"/>
      <c r="G17" s="21" t="str">
        <f>data!$B$7</f>
      </c>
      <c r="I17" s="21" t="str">
        <f>data!$B$53</f>
      </c>
      <c r="J17" s="21"/>
      <c r="K17" s="21"/>
      <c r="L17" s="21"/>
      <c r="M17" s="21"/>
      <c r="N17" s="21"/>
      <c r="O17" s="21" t="str">
        <f>data!$B$54</f>
      </c>
    </row>
    <row r="18">
      <c r="A18" s="21" t="str">
        <f>data!$B$6</f>
      </c>
      <c r="B18" s="21"/>
      <c r="C18" s="21"/>
      <c r="D18" s="21"/>
      <c r="E18" s="21"/>
      <c r="F18" s="21"/>
      <c r="G18" s="21" t="str">
        <f>data!$B$8</f>
      </c>
      <c r="I18" s="21" t="str">
        <f>data!$B$53</f>
      </c>
      <c r="J18" s="21"/>
      <c r="K18" s="21"/>
      <c r="L18" s="21"/>
      <c r="M18" s="21"/>
      <c r="N18" s="21"/>
      <c r="O18" s="21" t="str">
        <f>data!$B$55</f>
      </c>
    </row>
    <row r="19">
      <c r="A19" s="21" t="str">
        <f>data!$B$7</f>
      </c>
      <c r="B19" s="21"/>
      <c r="C19" s="21"/>
      <c r="D19" s="21"/>
      <c r="E19" s="21"/>
      <c r="F19" s="21"/>
      <c r="G19" s="21" t="str">
        <f>data!$B$8</f>
      </c>
      <c r="I19" s="21" t="str">
        <f>data!$B$54</f>
      </c>
      <c r="J19" s="21"/>
      <c r="K19" s="21"/>
      <c r="L19" s="21"/>
      <c r="M19" s="21"/>
      <c r="N19" s="21"/>
      <c r="O19" s="21" t="str">
        <f>data!$B$55</f>
      </c>
    </row>
    <row r="21">
      <c r="F21" s="7" t="s">
        <v>243</v>
      </c>
      <c r="G21" s="22"/>
      <c r="N21" s="7" t="s">
        <v>243</v>
      </c>
      <c r="O21" s="22"/>
    </row>
    <row r="22">
      <c r="F22" s="7" t="s">
        <v>244</v>
      </c>
      <c r="G22" s="22"/>
      <c r="N22" s="7" t="s">
        <v>244</v>
      </c>
      <c r="O22" s="22"/>
    </row>
    <row r="23">
      <c r="F23" s="7" t="s">
        <v>245</v>
      </c>
      <c r="G23" s="22"/>
      <c r="N23" s="7" t="s">
        <v>245</v>
      </c>
      <c r="O23" s="22"/>
    </row>
    <row r="26">
      <c r="A26" s="20" t="str">
        <f>data!$A$11</f>
      </c>
      <c r="B26" s="20"/>
      <c r="C26" s="20"/>
      <c r="D26" s="20"/>
      <c r="E26" s="20"/>
      <c r="F26" s="20"/>
      <c r="G26" s="20"/>
      <c r="I26" s="20" t="str">
        <f>data!$A$58</f>
      </c>
      <c r="J26" s="20"/>
      <c r="K26" s="20"/>
      <c r="L26" s="20"/>
      <c r="M26" s="20"/>
      <c r="N26" s="20"/>
      <c r="O26" s="20"/>
    </row>
    <row r="27">
      <c r="A27" s="23" t="s">
        <v>240</v>
      </c>
      <c r="D27" s="21" t="s">
        <v>241</v>
      </c>
      <c r="G27" s="24" t="s">
        <v>242</v>
      </c>
      <c r="I27" s="23" t="s">
        <v>240</v>
      </c>
      <c r="L27" s="21" t="s">
        <v>241</v>
      </c>
      <c r="O27" s="24" t="s">
        <v>242</v>
      </c>
    </row>
    <row r="28">
      <c r="A28" s="21" t="str">
        <f>data!$B$9</f>
      </c>
      <c r="B28" s="21"/>
      <c r="C28" s="21"/>
      <c r="D28" s="21"/>
      <c r="E28" s="21"/>
      <c r="F28" s="21"/>
      <c r="G28" s="21" t="str">
        <f>data!$B$10</f>
      </c>
      <c r="I28" s="21" t="str">
        <f>data!$B$56</f>
      </c>
      <c r="J28" s="21"/>
      <c r="K28" s="21"/>
      <c r="L28" s="21"/>
      <c r="M28" s="21"/>
      <c r="N28" s="21"/>
      <c r="O28" s="21" t="str">
        <f>data!$B$57</f>
      </c>
    </row>
    <row r="29">
      <c r="A29" s="21" t="str">
        <f>data!$B$9</f>
      </c>
      <c r="B29" s="21"/>
      <c r="C29" s="21"/>
      <c r="D29" s="21"/>
      <c r="E29" s="21"/>
      <c r="F29" s="21"/>
      <c r="G29" s="21" t="str">
        <f>data!$B$11</f>
      </c>
      <c r="I29" s="21" t="str">
        <f>data!$B$56</f>
      </c>
      <c r="J29" s="21"/>
      <c r="K29" s="21"/>
      <c r="L29" s="21"/>
      <c r="M29" s="21"/>
      <c r="N29" s="21"/>
      <c r="O29" s="21" t="str">
        <f>data!$B$58</f>
      </c>
    </row>
    <row r="30">
      <c r="A30" s="21" t="str">
        <f>data!$B$10</f>
      </c>
      <c r="B30" s="21"/>
      <c r="C30" s="21"/>
      <c r="D30" s="21"/>
      <c r="E30" s="21"/>
      <c r="F30" s="21"/>
      <c r="G30" s="21" t="str">
        <f>data!$B$11</f>
      </c>
      <c r="I30" s="21" t="str">
        <f>data!$B$57</f>
      </c>
      <c r="J30" s="21"/>
      <c r="K30" s="21"/>
      <c r="L30" s="21"/>
      <c r="M30" s="21"/>
      <c r="N30" s="21"/>
      <c r="O30" s="21" t="str">
        <f>data!$B$58</f>
      </c>
    </row>
    <row r="32">
      <c r="F32" s="7" t="s">
        <v>243</v>
      </c>
      <c r="G32" s="22"/>
      <c r="N32" s="7" t="s">
        <v>243</v>
      </c>
      <c r="O32" s="22"/>
    </row>
    <row r="33">
      <c r="F33" s="7" t="s">
        <v>244</v>
      </c>
      <c r="G33" s="22"/>
      <c r="N33" s="7" t="s">
        <v>244</v>
      </c>
      <c r="O33" s="22"/>
    </row>
    <row r="34">
      <c r="F34" s="7" t="s">
        <v>245</v>
      </c>
      <c r="G34" s="22"/>
      <c r="N34" s="7" t="s">
        <v>245</v>
      </c>
      <c r="O34" s="22"/>
    </row>
    <row r="37">
      <c r="A37" s="20" t="str">
        <f>data!$A$14</f>
      </c>
      <c r="B37" s="20"/>
      <c r="C37" s="20"/>
      <c r="D37" s="20"/>
      <c r="E37" s="20"/>
      <c r="F37" s="20"/>
      <c r="G37" s="20"/>
      <c r="I37" s="20" t="str">
        <f>data!$A$61</f>
      </c>
      <c r="J37" s="20"/>
      <c r="K37" s="20"/>
      <c r="L37" s="20"/>
      <c r="M37" s="20"/>
      <c r="N37" s="20"/>
      <c r="O37" s="20"/>
    </row>
    <row r="38">
      <c r="A38" s="23" t="s">
        <v>240</v>
      </c>
      <c r="D38" s="21" t="s">
        <v>241</v>
      </c>
      <c r="G38" s="24" t="s">
        <v>242</v>
      </c>
      <c r="I38" s="23" t="s">
        <v>240</v>
      </c>
      <c r="L38" s="21" t="s">
        <v>241</v>
      </c>
      <c r="O38" s="24" t="s">
        <v>242</v>
      </c>
    </row>
    <row r="39">
      <c r="A39" s="21" t="str">
        <f>data!$B$12</f>
      </c>
      <c r="B39" s="21"/>
      <c r="C39" s="21"/>
      <c r="D39" s="21"/>
      <c r="E39" s="21"/>
      <c r="F39" s="21"/>
      <c r="G39" s="21" t="str">
        <f>data!$B$13</f>
      </c>
      <c r="I39" s="21" t="str">
        <f>data!$B$59</f>
      </c>
      <c r="J39" s="21"/>
      <c r="K39" s="21"/>
      <c r="L39" s="21"/>
      <c r="M39" s="21"/>
      <c r="N39" s="21"/>
      <c r="O39" s="21" t="str">
        <f>data!$B$60</f>
      </c>
    </row>
    <row r="40">
      <c r="A40" s="21" t="str">
        <f>data!$B$12</f>
      </c>
      <c r="B40" s="21"/>
      <c r="C40" s="21"/>
      <c r="D40" s="21"/>
      <c r="E40" s="21"/>
      <c r="F40" s="21"/>
      <c r="G40" s="21" t="str">
        <f>data!$B$14</f>
      </c>
      <c r="I40" s="21" t="str">
        <f>data!$B$59</f>
      </c>
      <c r="J40" s="21"/>
      <c r="K40" s="21"/>
      <c r="L40" s="21"/>
      <c r="M40" s="21"/>
      <c r="N40" s="21"/>
      <c r="O40" s="21" t="str">
        <f>data!$B$61</f>
      </c>
    </row>
    <row r="41">
      <c r="A41" s="21" t="str">
        <f>data!$B$13</f>
      </c>
      <c r="B41" s="21"/>
      <c r="C41" s="21"/>
      <c r="D41" s="21"/>
      <c r="E41" s="21"/>
      <c r="F41" s="21"/>
      <c r="G41" s="21" t="str">
        <f>data!$B$14</f>
      </c>
      <c r="I41" s="21" t="str">
        <f>data!$B$60</f>
      </c>
      <c r="J41" s="21"/>
      <c r="K41" s="21"/>
      <c r="L41" s="21"/>
      <c r="M41" s="21"/>
      <c r="N41" s="21"/>
      <c r="O41" s="21" t="str">
        <f>data!$B$61</f>
      </c>
    </row>
    <row r="43">
      <c r="F43" s="7" t="s">
        <v>243</v>
      </c>
      <c r="G43" s="22"/>
      <c r="N43" s="7" t="s">
        <v>243</v>
      </c>
      <c r="O43" s="22"/>
    </row>
    <row r="44">
      <c r="F44" s="7" t="s">
        <v>244</v>
      </c>
      <c r="G44" s="22"/>
      <c r="N44" s="7" t="s">
        <v>244</v>
      </c>
      <c r="O44" s="22"/>
    </row>
    <row r="45">
      <c r="F45" s="7" t="s">
        <v>245</v>
      </c>
      <c r="G45" s="22"/>
      <c r="N45" s="7" t="s">
        <v>245</v>
      </c>
      <c r="O45" s="22"/>
    </row>
    <row r="48">
      <c r="A48" s="20" t="str">
        <f>data!$A$17</f>
      </c>
      <c r="B48" s="20"/>
      <c r="C48" s="20"/>
      <c r="D48" s="20"/>
      <c r="E48" s="20"/>
      <c r="F48" s="20"/>
      <c r="G48" s="20"/>
      <c r="I48" s="20" t="str">
        <f>data!$A$64</f>
      </c>
      <c r="J48" s="20"/>
      <c r="K48" s="20"/>
      <c r="L48" s="20"/>
      <c r="M48" s="20"/>
      <c r="N48" s="20"/>
      <c r="O48" s="20"/>
    </row>
    <row r="49">
      <c r="A49" s="23" t="s">
        <v>240</v>
      </c>
      <c r="D49" s="21" t="s">
        <v>241</v>
      </c>
      <c r="G49" s="24" t="s">
        <v>242</v>
      </c>
      <c r="I49" s="23" t="s">
        <v>240</v>
      </c>
      <c r="L49" s="21" t="s">
        <v>241</v>
      </c>
      <c r="O49" s="24" t="s">
        <v>242</v>
      </c>
    </row>
    <row r="50">
      <c r="A50" s="21" t="str">
        <f>data!$B$15</f>
      </c>
      <c r="B50" s="21"/>
      <c r="C50" s="21"/>
      <c r="D50" s="21"/>
      <c r="E50" s="21"/>
      <c r="F50" s="21"/>
      <c r="G50" s="21" t="str">
        <f>data!$B$16</f>
      </c>
      <c r="I50" s="21" t="str">
        <f>data!$B$62</f>
      </c>
      <c r="J50" s="21"/>
      <c r="K50" s="21"/>
      <c r="L50" s="21"/>
      <c r="M50" s="21"/>
      <c r="N50" s="21"/>
      <c r="O50" s="21" t="str">
        <f>data!$B$63</f>
      </c>
    </row>
    <row r="51">
      <c r="A51" s="21" t="str">
        <f>data!$B$15</f>
      </c>
      <c r="B51" s="21"/>
      <c r="C51" s="21"/>
      <c r="D51" s="21"/>
      <c r="E51" s="21"/>
      <c r="F51" s="21"/>
      <c r="G51" s="21" t="str">
        <f>data!$B$17</f>
      </c>
      <c r="I51" s="21" t="str">
        <f>data!$B$62</f>
      </c>
      <c r="J51" s="21"/>
      <c r="K51" s="21"/>
      <c r="L51" s="21"/>
      <c r="M51" s="21"/>
      <c r="N51" s="21"/>
      <c r="O51" s="21" t="str">
        <f>data!$B$64</f>
      </c>
    </row>
    <row r="52">
      <c r="A52" s="21" t="str">
        <f>data!$B$16</f>
      </c>
      <c r="B52" s="21"/>
      <c r="C52" s="21"/>
      <c r="D52" s="21"/>
      <c r="E52" s="21"/>
      <c r="F52" s="21"/>
      <c r="G52" s="21" t="str">
        <f>data!$B$17</f>
      </c>
      <c r="I52" s="21" t="str">
        <f>data!$B$63</f>
      </c>
      <c r="J52" s="21"/>
      <c r="K52" s="21"/>
      <c r="L52" s="21"/>
      <c r="M52" s="21"/>
      <c r="N52" s="21"/>
      <c r="O52" s="21" t="str">
        <f>data!$B$64</f>
      </c>
    </row>
    <row r="54">
      <c r="F54" s="7" t="s">
        <v>243</v>
      </c>
      <c r="G54" s="22"/>
      <c r="N54" s="7" t="s">
        <v>243</v>
      </c>
      <c r="O54" s="22"/>
    </row>
    <row r="55">
      <c r="F55" s="7" t="s">
        <v>244</v>
      </c>
      <c r="G55" s="22"/>
      <c r="N55" s="7" t="s">
        <v>244</v>
      </c>
      <c r="O55" s="22"/>
    </row>
    <row r="56">
      <c r="F56" s="7" t="s">
        <v>245</v>
      </c>
      <c r="G56" s="22"/>
      <c r="N56" s="7" t="s">
        <v>245</v>
      </c>
      <c r="O56" s="22"/>
    </row>
    <row r="59">
      <c r="A59" s="20" t="str">
        <f>data!$A$20</f>
      </c>
      <c r="B59" s="20"/>
      <c r="C59" s="20"/>
      <c r="D59" s="20"/>
      <c r="E59" s="20"/>
      <c r="F59" s="20"/>
      <c r="G59" s="20"/>
      <c r="I59" s="20" t="str">
        <f>data!$A$67</f>
      </c>
      <c r="J59" s="20"/>
      <c r="K59" s="20"/>
      <c r="L59" s="20"/>
      <c r="M59" s="20"/>
      <c r="N59" s="20"/>
      <c r="O59" s="20"/>
    </row>
    <row r="60">
      <c r="A60" s="23" t="s">
        <v>240</v>
      </c>
      <c r="D60" s="21" t="s">
        <v>241</v>
      </c>
      <c r="G60" s="24" t="s">
        <v>242</v>
      </c>
      <c r="I60" s="23" t="s">
        <v>240</v>
      </c>
      <c r="L60" s="21" t="s">
        <v>241</v>
      </c>
      <c r="O60" s="24" t="s">
        <v>242</v>
      </c>
    </row>
    <row r="61">
      <c r="A61" s="21" t="str">
        <f>data!$B$18</f>
      </c>
      <c r="B61" s="21"/>
      <c r="C61" s="21"/>
      <c r="D61" s="21"/>
      <c r="E61" s="21"/>
      <c r="F61" s="21"/>
      <c r="G61" s="21" t="str">
        <f>data!$B$19</f>
      </c>
      <c r="I61" s="21" t="str">
        <f>data!$B$65</f>
      </c>
      <c r="J61" s="21"/>
      <c r="K61" s="21"/>
      <c r="L61" s="21"/>
      <c r="M61" s="21"/>
      <c r="N61" s="21"/>
      <c r="O61" s="21" t="str">
        <f>data!$B$66</f>
      </c>
    </row>
    <row r="62">
      <c r="A62" s="21" t="str">
        <f>data!$B$18</f>
      </c>
      <c r="B62" s="21"/>
      <c r="C62" s="21"/>
      <c r="D62" s="21"/>
      <c r="E62" s="21"/>
      <c r="F62" s="21"/>
      <c r="G62" s="21" t="str">
        <f>data!$B$20</f>
      </c>
      <c r="I62" s="21" t="str">
        <f>data!$B$65</f>
      </c>
      <c r="J62" s="21"/>
      <c r="K62" s="21"/>
      <c r="L62" s="21"/>
      <c r="M62" s="21"/>
      <c r="N62" s="21"/>
      <c r="O62" s="21" t="str">
        <f>data!$B$67</f>
      </c>
    </row>
    <row r="63">
      <c r="A63" s="21" t="str">
        <f>data!$B$19</f>
      </c>
      <c r="B63" s="21"/>
      <c r="C63" s="21"/>
      <c r="D63" s="21"/>
      <c r="E63" s="21"/>
      <c r="F63" s="21"/>
      <c r="G63" s="21" t="str">
        <f>data!$B$20</f>
      </c>
      <c r="I63" s="21" t="str">
        <f>data!$B$66</f>
      </c>
      <c r="J63" s="21"/>
      <c r="K63" s="21"/>
      <c r="L63" s="21"/>
      <c r="M63" s="21"/>
      <c r="N63" s="21"/>
      <c r="O63" s="21" t="str">
        <f>data!$B$67</f>
      </c>
    </row>
    <row r="65">
      <c r="F65" s="7" t="s">
        <v>243</v>
      </c>
      <c r="G65" s="22"/>
      <c r="N65" s="7" t="s">
        <v>243</v>
      </c>
      <c r="O65" s="22"/>
    </row>
    <row r="66">
      <c r="F66" s="7" t="s">
        <v>244</v>
      </c>
      <c r="G66" s="22"/>
      <c r="N66" s="7" t="s">
        <v>244</v>
      </c>
      <c r="O66" s="22"/>
    </row>
    <row r="67">
      <c r="F67" s="7" t="s">
        <v>245</v>
      </c>
      <c r="G67" s="22"/>
      <c r="N67" s="7" t="s">
        <v>245</v>
      </c>
      <c r="O67" s="22"/>
    </row>
    <row r="70">
      <c r="A70" s="20" t="str">
        <f>data!$A$23</f>
      </c>
      <c r="B70" s="20"/>
      <c r="C70" s="20"/>
      <c r="D70" s="20"/>
      <c r="E70" s="20"/>
      <c r="F70" s="20"/>
      <c r="G70" s="20"/>
      <c r="I70" s="20" t="str">
        <f>data!$A$70</f>
      </c>
      <c r="J70" s="20"/>
      <c r="K70" s="20"/>
      <c r="L70" s="20"/>
      <c r="M70" s="20"/>
      <c r="N70" s="20"/>
      <c r="O70" s="20"/>
    </row>
    <row r="71">
      <c r="A71" s="23" t="s">
        <v>240</v>
      </c>
      <c r="D71" s="21" t="s">
        <v>241</v>
      </c>
      <c r="G71" s="24" t="s">
        <v>242</v>
      </c>
      <c r="I71" s="23" t="s">
        <v>240</v>
      </c>
      <c r="L71" s="21" t="s">
        <v>241</v>
      </c>
      <c r="O71" s="24" t="s">
        <v>242</v>
      </c>
    </row>
    <row r="72">
      <c r="A72" s="21" t="str">
        <f>data!$B$21</f>
      </c>
      <c r="B72" s="21"/>
      <c r="C72" s="21"/>
      <c r="D72" s="21"/>
      <c r="E72" s="21"/>
      <c r="F72" s="21"/>
      <c r="G72" s="21" t="str">
        <f>data!$B$22</f>
      </c>
      <c r="I72" s="21" t="str">
        <f>data!$B$68</f>
      </c>
      <c r="J72" s="21"/>
      <c r="K72" s="21"/>
      <c r="L72" s="21"/>
      <c r="M72" s="21"/>
      <c r="N72" s="21"/>
      <c r="O72" s="21" t="str">
        <f>data!$B$69</f>
      </c>
    </row>
    <row r="73">
      <c r="A73" s="21" t="str">
        <f>data!$B$21</f>
      </c>
      <c r="B73" s="21"/>
      <c r="C73" s="21"/>
      <c r="D73" s="21"/>
      <c r="E73" s="21"/>
      <c r="F73" s="21"/>
      <c r="G73" s="21" t="str">
        <f>data!$B$23</f>
      </c>
      <c r="I73" s="21" t="str">
        <f>data!$B$68</f>
      </c>
      <c r="J73" s="21"/>
      <c r="K73" s="21"/>
      <c r="L73" s="21"/>
      <c r="M73" s="21"/>
      <c r="N73" s="21"/>
      <c r="O73" s="21" t="str">
        <f>data!$B$70</f>
      </c>
    </row>
    <row r="74">
      <c r="A74" s="21" t="str">
        <f>data!$B$22</f>
      </c>
      <c r="B74" s="21"/>
      <c r="C74" s="21"/>
      <c r="D74" s="21"/>
      <c r="E74" s="21"/>
      <c r="F74" s="21"/>
      <c r="G74" s="21" t="str">
        <f>data!$B$23</f>
      </c>
      <c r="I74" s="21" t="str">
        <f>data!$B$69</f>
      </c>
      <c r="J74" s="21"/>
      <c r="K74" s="21"/>
      <c r="L74" s="21"/>
      <c r="M74" s="21"/>
      <c r="N74" s="21"/>
      <c r="O74" s="21" t="str">
        <f>data!$B$70</f>
      </c>
    </row>
    <row r="76">
      <c r="F76" s="7" t="s">
        <v>243</v>
      </c>
      <c r="G76" s="22"/>
      <c r="N76" s="7" t="s">
        <v>243</v>
      </c>
      <c r="O76" s="22"/>
    </row>
    <row r="77">
      <c r="F77" s="7" t="s">
        <v>244</v>
      </c>
      <c r="G77" s="22"/>
      <c r="N77" s="7" t="s">
        <v>244</v>
      </c>
      <c r="O77" s="22"/>
    </row>
    <row r="78">
      <c r="F78" s="7" t="s">
        <v>245</v>
      </c>
      <c r="G78" s="22"/>
      <c r="N78" s="7" t="s">
        <v>245</v>
      </c>
      <c r="O78" s="22"/>
    </row>
    <row r="81">
      <c r="A81" s="20" t="str">
        <f>data!$A$26</f>
      </c>
      <c r="B81" s="20"/>
      <c r="C81" s="20"/>
      <c r="D81" s="20"/>
      <c r="E81" s="20"/>
      <c r="F81" s="20"/>
      <c r="G81" s="20"/>
      <c r="I81" s="20" t="str">
        <f>data!$A$73</f>
      </c>
      <c r="J81" s="20"/>
      <c r="K81" s="20"/>
      <c r="L81" s="20"/>
      <c r="M81" s="20"/>
      <c r="N81" s="20"/>
      <c r="O81" s="20"/>
    </row>
    <row r="82">
      <c r="A82" s="23" t="s">
        <v>240</v>
      </c>
      <c r="D82" s="21" t="s">
        <v>241</v>
      </c>
      <c r="G82" s="24" t="s">
        <v>242</v>
      </c>
      <c r="I82" s="23" t="s">
        <v>240</v>
      </c>
      <c r="L82" s="21" t="s">
        <v>241</v>
      </c>
      <c r="O82" s="24" t="s">
        <v>242</v>
      </c>
    </row>
    <row r="83">
      <c r="A83" s="21" t="str">
        <f>data!$B$24</f>
      </c>
      <c r="B83" s="21"/>
      <c r="C83" s="21"/>
      <c r="D83" s="21"/>
      <c r="E83" s="21"/>
      <c r="F83" s="21"/>
      <c r="G83" s="21" t="str">
        <f>data!$B$25</f>
      </c>
      <c r="I83" s="21" t="str">
        <f>data!$B$71</f>
      </c>
      <c r="J83" s="21"/>
      <c r="K83" s="21"/>
      <c r="L83" s="21"/>
      <c r="M83" s="21"/>
      <c r="N83" s="21"/>
      <c r="O83" s="21" t="str">
        <f>data!$B$72</f>
      </c>
    </row>
    <row r="84">
      <c r="A84" s="21" t="str">
        <f>data!$B$24</f>
      </c>
      <c r="B84" s="21"/>
      <c r="C84" s="21"/>
      <c r="D84" s="21"/>
      <c r="E84" s="21"/>
      <c r="F84" s="21"/>
      <c r="G84" s="21" t="str">
        <f>data!$B$26</f>
      </c>
      <c r="I84" s="21" t="str">
        <f>data!$B$71</f>
      </c>
      <c r="J84" s="21"/>
      <c r="K84" s="21"/>
      <c r="L84" s="21"/>
      <c r="M84" s="21"/>
      <c r="N84" s="21"/>
      <c r="O84" s="21" t="str">
        <f>data!$B$73</f>
      </c>
    </row>
    <row r="85">
      <c r="A85" s="21" t="str">
        <f>data!$B$25</f>
      </c>
      <c r="B85" s="21"/>
      <c r="C85" s="21"/>
      <c r="D85" s="21"/>
      <c r="E85" s="21"/>
      <c r="F85" s="21"/>
      <c r="G85" s="21" t="str">
        <f>data!$B$26</f>
      </c>
      <c r="I85" s="21" t="str">
        <f>data!$B$72</f>
      </c>
      <c r="J85" s="21"/>
      <c r="K85" s="21"/>
      <c r="L85" s="21"/>
      <c r="M85" s="21"/>
      <c r="N85" s="21"/>
      <c r="O85" s="21" t="str">
        <f>data!$B$73</f>
      </c>
    </row>
    <row r="87">
      <c r="F87" s="7" t="s">
        <v>243</v>
      </c>
      <c r="G87" s="22"/>
      <c r="N87" s="7" t="s">
        <v>243</v>
      </c>
      <c r="O87" s="22"/>
    </row>
    <row r="88">
      <c r="F88" s="7" t="s">
        <v>244</v>
      </c>
      <c r="G88" s="22"/>
      <c r="N88" s="7" t="s">
        <v>244</v>
      </c>
      <c r="O88" s="22"/>
    </row>
    <row r="89">
      <c r="F89" s="7" t="s">
        <v>245</v>
      </c>
      <c r="G89" s="22"/>
      <c r="N89" s="7" t="s">
        <v>245</v>
      </c>
      <c r="O89" s="22"/>
    </row>
    <row r="92">
      <c r="A92" s="20" t="str">
        <f>data!$A$29</f>
      </c>
      <c r="B92" s="20"/>
      <c r="C92" s="20"/>
      <c r="D92" s="20"/>
      <c r="E92" s="20"/>
      <c r="F92" s="20"/>
      <c r="G92" s="20"/>
      <c r="I92" s="20" t="str">
        <f>data!$A$76</f>
      </c>
      <c r="J92" s="20"/>
      <c r="K92" s="20"/>
      <c r="L92" s="20"/>
      <c r="M92" s="20"/>
      <c r="N92" s="20"/>
      <c r="O92" s="20"/>
    </row>
    <row r="93">
      <c r="A93" s="23" t="s">
        <v>240</v>
      </c>
      <c r="D93" s="21" t="s">
        <v>241</v>
      </c>
      <c r="G93" s="24" t="s">
        <v>242</v>
      </c>
      <c r="I93" s="23" t="s">
        <v>240</v>
      </c>
      <c r="L93" s="21" t="s">
        <v>241</v>
      </c>
      <c r="O93" s="24" t="s">
        <v>242</v>
      </c>
    </row>
    <row r="94">
      <c r="A94" s="21" t="str">
        <f>data!$B$27</f>
      </c>
      <c r="B94" s="21"/>
      <c r="C94" s="21"/>
      <c r="D94" s="21"/>
      <c r="E94" s="21"/>
      <c r="F94" s="21"/>
      <c r="G94" s="21" t="str">
        <f>data!$B$28</f>
      </c>
      <c r="I94" s="21" t="str">
        <f>data!$B$74</f>
      </c>
      <c r="J94" s="21"/>
      <c r="K94" s="21"/>
      <c r="L94" s="21"/>
      <c r="M94" s="21"/>
      <c r="N94" s="21"/>
      <c r="O94" s="21" t="str">
        <f>data!$B$75</f>
      </c>
    </row>
    <row r="95">
      <c r="A95" s="21" t="str">
        <f>data!$B$27</f>
      </c>
      <c r="B95" s="21"/>
      <c r="C95" s="21"/>
      <c r="D95" s="21"/>
      <c r="E95" s="21"/>
      <c r="F95" s="21"/>
      <c r="G95" s="21" t="str">
        <f>data!$B$29</f>
      </c>
      <c r="I95" s="21" t="str">
        <f>data!$B$74</f>
      </c>
      <c r="J95" s="21"/>
      <c r="K95" s="21"/>
      <c r="L95" s="21"/>
      <c r="M95" s="21"/>
      <c r="N95" s="21"/>
      <c r="O95" s="21" t="str">
        <f>data!$B$76</f>
      </c>
    </row>
    <row r="96">
      <c r="A96" s="21" t="str">
        <f>data!$B$28</f>
      </c>
      <c r="B96" s="21"/>
      <c r="C96" s="21"/>
      <c r="D96" s="21"/>
      <c r="E96" s="21"/>
      <c r="F96" s="21"/>
      <c r="G96" s="21" t="str">
        <f>data!$B$29</f>
      </c>
      <c r="I96" s="21" t="str">
        <f>data!$B$75</f>
      </c>
      <c r="J96" s="21"/>
      <c r="K96" s="21"/>
      <c r="L96" s="21"/>
      <c r="M96" s="21"/>
      <c r="N96" s="21"/>
      <c r="O96" s="21" t="str">
        <f>data!$B$76</f>
      </c>
    </row>
    <row r="98">
      <c r="F98" s="7" t="s">
        <v>243</v>
      </c>
      <c r="G98" s="22"/>
      <c r="N98" s="7" t="s">
        <v>243</v>
      </c>
      <c r="O98" s="22"/>
    </row>
    <row r="99">
      <c r="F99" s="7" t="s">
        <v>244</v>
      </c>
      <c r="G99" s="22"/>
      <c r="N99" s="7" t="s">
        <v>244</v>
      </c>
      <c r="O99" s="22"/>
    </row>
    <row r="100">
      <c r="F100" s="7" t="s">
        <v>245</v>
      </c>
      <c r="G100" s="22"/>
      <c r="N100" s="7" t="s">
        <v>245</v>
      </c>
      <c r="O100" s="22"/>
    </row>
    <row r="103">
      <c r="A103" s="20" t="str">
        <f>data!$A$32</f>
      </c>
      <c r="B103" s="20"/>
      <c r="C103" s="20"/>
      <c r="D103" s="20"/>
      <c r="E103" s="20"/>
      <c r="F103" s="20"/>
      <c r="G103" s="20"/>
      <c r="I103" s="20" t="str">
        <f>data!$A$79</f>
      </c>
      <c r="J103" s="20"/>
      <c r="K103" s="20"/>
      <c r="L103" s="20"/>
      <c r="M103" s="20"/>
      <c r="N103" s="20"/>
      <c r="O103" s="20"/>
    </row>
    <row r="104">
      <c r="A104" s="23" t="s">
        <v>240</v>
      </c>
      <c r="D104" s="21" t="s">
        <v>241</v>
      </c>
      <c r="G104" s="24" t="s">
        <v>242</v>
      </c>
      <c r="I104" s="23" t="s">
        <v>240</v>
      </c>
      <c r="L104" s="21" t="s">
        <v>241</v>
      </c>
      <c r="O104" s="24" t="s">
        <v>242</v>
      </c>
    </row>
    <row r="105">
      <c r="A105" s="21" t="str">
        <f>data!$B$30</f>
      </c>
      <c r="B105" s="21"/>
      <c r="C105" s="21"/>
      <c r="D105" s="21"/>
      <c r="E105" s="21"/>
      <c r="F105" s="21"/>
      <c r="G105" s="21" t="str">
        <f>data!$B$31</f>
      </c>
      <c r="I105" s="21" t="str">
        <f>data!$B$77</f>
      </c>
      <c r="J105" s="21"/>
      <c r="K105" s="21"/>
      <c r="L105" s="21"/>
      <c r="M105" s="21"/>
      <c r="N105" s="21"/>
      <c r="O105" s="21" t="str">
        <f>data!$B$78</f>
      </c>
    </row>
    <row r="106">
      <c r="A106" s="21" t="str">
        <f>data!$B$30</f>
      </c>
      <c r="B106" s="21"/>
      <c r="C106" s="21"/>
      <c r="D106" s="21"/>
      <c r="E106" s="21"/>
      <c r="F106" s="21"/>
      <c r="G106" s="21" t="str">
        <f>data!$B$32</f>
      </c>
      <c r="I106" s="21" t="str">
        <f>data!$B$77</f>
      </c>
      <c r="J106" s="21"/>
      <c r="K106" s="21"/>
      <c r="L106" s="21"/>
      <c r="M106" s="21"/>
      <c r="N106" s="21"/>
      <c r="O106" s="21" t="str">
        <f>data!$B$79</f>
      </c>
    </row>
    <row r="107">
      <c r="A107" s="21" t="str">
        <f>data!$B$31</f>
      </c>
      <c r="B107" s="21"/>
      <c r="C107" s="21"/>
      <c r="D107" s="21"/>
      <c r="E107" s="21"/>
      <c r="F107" s="21"/>
      <c r="G107" s="21" t="str">
        <f>data!$B$32</f>
      </c>
      <c r="I107" s="21" t="str">
        <f>data!$B$78</f>
      </c>
      <c r="J107" s="21"/>
      <c r="K107" s="21"/>
      <c r="L107" s="21"/>
      <c r="M107" s="21"/>
      <c r="N107" s="21"/>
      <c r="O107" s="21" t="str">
        <f>data!$B$79</f>
      </c>
    </row>
    <row r="109">
      <c r="F109" s="7" t="s">
        <v>243</v>
      </c>
      <c r="G109" s="22"/>
      <c r="N109" s="7" t="s">
        <v>243</v>
      </c>
      <c r="O109" s="22"/>
    </row>
    <row r="110">
      <c r="F110" s="7" t="s">
        <v>244</v>
      </c>
      <c r="G110" s="22"/>
      <c r="N110" s="7" t="s">
        <v>244</v>
      </c>
      <c r="O110" s="22"/>
    </row>
    <row r="111">
      <c r="F111" s="7" t="s">
        <v>245</v>
      </c>
      <c r="G111" s="22"/>
      <c r="N111" s="7" t="s">
        <v>245</v>
      </c>
      <c r="O111" s="22"/>
    </row>
    <row r="114">
      <c r="A114" s="20" t="str">
        <f>data!$A$35</f>
      </c>
      <c r="B114" s="20"/>
      <c r="C114" s="20"/>
      <c r="D114" s="20"/>
      <c r="E114" s="20"/>
      <c r="F114" s="20"/>
      <c r="G114" s="20"/>
      <c r="I114" s="20" t="str">
        <f>data!$A$82</f>
      </c>
      <c r="J114" s="20"/>
      <c r="K114" s="20"/>
      <c r="L114" s="20"/>
      <c r="M114" s="20"/>
      <c r="N114" s="20"/>
      <c r="O114" s="20"/>
    </row>
    <row r="115">
      <c r="A115" s="23" t="s">
        <v>240</v>
      </c>
      <c r="D115" s="21" t="s">
        <v>241</v>
      </c>
      <c r="G115" s="24" t="s">
        <v>242</v>
      </c>
      <c r="I115" s="23" t="s">
        <v>240</v>
      </c>
      <c r="L115" s="21" t="s">
        <v>241</v>
      </c>
      <c r="O115" s="24" t="s">
        <v>242</v>
      </c>
    </row>
    <row r="116">
      <c r="A116" s="21" t="str">
        <f>data!$B$33</f>
      </c>
      <c r="B116" s="21"/>
      <c r="C116" s="21"/>
      <c r="D116" s="21"/>
      <c r="E116" s="21"/>
      <c r="F116" s="21"/>
      <c r="G116" s="21" t="str">
        <f>data!$B$34</f>
      </c>
      <c r="I116" s="21" t="str">
        <f>data!$B$80</f>
      </c>
      <c r="J116" s="21"/>
      <c r="K116" s="21"/>
      <c r="L116" s="21"/>
      <c r="M116" s="21"/>
      <c r="N116" s="21"/>
      <c r="O116" s="21" t="str">
        <f>data!$B$81</f>
      </c>
    </row>
    <row r="117">
      <c r="A117" s="21" t="str">
        <f>data!$B$33</f>
      </c>
      <c r="B117" s="21"/>
      <c r="C117" s="21"/>
      <c r="D117" s="21"/>
      <c r="E117" s="21"/>
      <c r="F117" s="21"/>
      <c r="G117" s="21" t="str">
        <f>data!$B$35</f>
      </c>
      <c r="I117" s="21" t="str">
        <f>data!$B$80</f>
      </c>
      <c r="J117" s="21"/>
      <c r="K117" s="21"/>
      <c r="L117" s="21"/>
      <c r="M117" s="21"/>
      <c r="N117" s="21"/>
      <c r="O117" s="21" t="str">
        <f>data!$B$82</f>
      </c>
    </row>
    <row r="118">
      <c r="A118" s="21" t="str">
        <f>data!$B$34</f>
      </c>
      <c r="B118" s="21"/>
      <c r="C118" s="21"/>
      <c r="D118" s="21"/>
      <c r="E118" s="21"/>
      <c r="F118" s="21"/>
      <c r="G118" s="21" t="str">
        <f>data!$B$35</f>
      </c>
      <c r="I118" s="21" t="str">
        <f>data!$B$81</f>
      </c>
      <c r="J118" s="21"/>
      <c r="K118" s="21"/>
      <c r="L118" s="21"/>
      <c r="M118" s="21"/>
      <c r="N118" s="21"/>
      <c r="O118" s="21" t="str">
        <f>data!$B$82</f>
      </c>
    </row>
    <row r="120">
      <c r="F120" s="7" t="s">
        <v>243</v>
      </c>
      <c r="G120" s="22"/>
      <c r="N120" s="7" t="s">
        <v>243</v>
      </c>
      <c r="O120" s="22"/>
    </row>
    <row r="121">
      <c r="F121" s="7" t="s">
        <v>244</v>
      </c>
      <c r="G121" s="22"/>
      <c r="N121" s="7" t="s">
        <v>244</v>
      </c>
      <c r="O121" s="22"/>
    </row>
    <row r="122">
      <c r="F122" s="7" t="s">
        <v>245</v>
      </c>
      <c r="G122" s="22"/>
      <c r="N122" s="7" t="s">
        <v>245</v>
      </c>
      <c r="O122" s="22"/>
    </row>
    <row r="125">
      <c r="A125" s="20" t="str">
        <f>data!$A$38</f>
      </c>
      <c r="B125" s="20"/>
      <c r="C125" s="20"/>
      <c r="D125" s="20"/>
      <c r="E125" s="20"/>
      <c r="F125" s="20"/>
      <c r="G125" s="20"/>
      <c r="I125" s="20" t="str">
        <f>data!$A$85</f>
      </c>
      <c r="J125" s="20"/>
      <c r="K125" s="20"/>
      <c r="L125" s="20"/>
      <c r="M125" s="20"/>
      <c r="N125" s="20"/>
      <c r="O125" s="20"/>
    </row>
    <row r="126">
      <c r="A126" s="23" t="s">
        <v>240</v>
      </c>
      <c r="D126" s="21" t="s">
        <v>241</v>
      </c>
      <c r="G126" s="24" t="s">
        <v>242</v>
      </c>
      <c r="I126" s="23" t="s">
        <v>240</v>
      </c>
      <c r="L126" s="21" t="s">
        <v>241</v>
      </c>
      <c r="O126" s="24" t="s">
        <v>242</v>
      </c>
    </row>
    <row r="127">
      <c r="A127" s="21" t="str">
        <f>data!$B$36</f>
      </c>
      <c r="B127" s="21"/>
      <c r="C127" s="21"/>
      <c r="D127" s="21"/>
      <c r="E127" s="21"/>
      <c r="F127" s="21"/>
      <c r="G127" s="21" t="str">
        <f>data!$B$37</f>
      </c>
      <c r="I127" s="21" t="str">
        <f>data!$B$83</f>
      </c>
      <c r="J127" s="21"/>
      <c r="K127" s="21"/>
      <c r="L127" s="21"/>
      <c r="M127" s="21"/>
      <c r="N127" s="21"/>
      <c r="O127" s="21" t="str">
        <f>data!$B$84</f>
      </c>
    </row>
    <row r="128">
      <c r="A128" s="21" t="str">
        <f>data!$B$36</f>
      </c>
      <c r="B128" s="21"/>
      <c r="C128" s="21"/>
      <c r="D128" s="21"/>
      <c r="E128" s="21"/>
      <c r="F128" s="21"/>
      <c r="G128" s="21" t="str">
        <f>data!$B$38</f>
      </c>
      <c r="I128" s="21" t="str">
        <f>data!$B$83</f>
      </c>
      <c r="J128" s="21"/>
      <c r="K128" s="21"/>
      <c r="L128" s="21"/>
      <c r="M128" s="21"/>
      <c r="N128" s="21"/>
      <c r="O128" s="21" t="str">
        <f>data!$B$85</f>
      </c>
    </row>
    <row r="129">
      <c r="A129" s="21" t="str">
        <f>data!$B$37</f>
      </c>
      <c r="B129" s="21"/>
      <c r="C129" s="21"/>
      <c r="D129" s="21"/>
      <c r="E129" s="21"/>
      <c r="F129" s="21"/>
      <c r="G129" s="21" t="str">
        <f>data!$B$38</f>
      </c>
      <c r="I129" s="21" t="str">
        <f>data!$B$84</f>
      </c>
      <c r="J129" s="21"/>
      <c r="K129" s="21"/>
      <c r="L129" s="21"/>
      <c r="M129" s="21"/>
      <c r="N129" s="21"/>
      <c r="O129" s="21" t="str">
        <f>data!$B$85</f>
      </c>
    </row>
    <row r="131">
      <c r="F131" s="7" t="s">
        <v>243</v>
      </c>
      <c r="G131" s="22"/>
      <c r="N131" s="7" t="s">
        <v>243</v>
      </c>
      <c r="O131" s="22"/>
    </row>
    <row r="132">
      <c r="F132" s="7" t="s">
        <v>244</v>
      </c>
      <c r="G132" s="22"/>
      <c r="N132" s="7" t="s">
        <v>244</v>
      </c>
      <c r="O132" s="22"/>
    </row>
    <row r="133">
      <c r="F133" s="7" t="s">
        <v>245</v>
      </c>
      <c r="G133" s="22"/>
      <c r="N133" s="7" t="s">
        <v>245</v>
      </c>
      <c r="O133" s="22"/>
    </row>
    <row r="136">
      <c r="A136" s="20" t="str">
        <f>data!$A$41</f>
      </c>
      <c r="B136" s="20"/>
      <c r="C136" s="20"/>
      <c r="D136" s="20"/>
      <c r="E136" s="20"/>
      <c r="F136" s="20"/>
      <c r="G136" s="20"/>
      <c r="I136" s="20" t="str">
        <f>data!$A$88</f>
      </c>
      <c r="J136" s="20"/>
      <c r="K136" s="20"/>
      <c r="L136" s="20"/>
      <c r="M136" s="20"/>
      <c r="N136" s="20"/>
      <c r="O136" s="20"/>
    </row>
    <row r="137">
      <c r="A137" s="23" t="s">
        <v>240</v>
      </c>
      <c r="D137" s="21" t="s">
        <v>241</v>
      </c>
      <c r="G137" s="24" t="s">
        <v>242</v>
      </c>
      <c r="I137" s="23" t="s">
        <v>240</v>
      </c>
      <c r="L137" s="21" t="s">
        <v>241</v>
      </c>
      <c r="O137" s="24" t="s">
        <v>242</v>
      </c>
    </row>
    <row r="138">
      <c r="A138" s="21" t="str">
        <f>data!$B$39</f>
      </c>
      <c r="B138" s="21"/>
      <c r="C138" s="21"/>
      <c r="D138" s="21"/>
      <c r="E138" s="21"/>
      <c r="F138" s="21"/>
      <c r="G138" s="21" t="str">
        <f>data!$B$40</f>
      </c>
      <c r="I138" s="21" t="str">
        <f>data!$B$86</f>
      </c>
      <c r="J138" s="21"/>
      <c r="K138" s="21"/>
      <c r="L138" s="21"/>
      <c r="M138" s="21"/>
      <c r="N138" s="21"/>
      <c r="O138" s="21" t="str">
        <f>data!$B$87</f>
      </c>
    </row>
    <row r="139">
      <c r="A139" s="21" t="str">
        <f>data!$B$39</f>
      </c>
      <c r="B139" s="21"/>
      <c r="C139" s="21"/>
      <c r="D139" s="21"/>
      <c r="E139" s="21"/>
      <c r="F139" s="21"/>
      <c r="G139" s="21" t="str">
        <f>data!$B$41</f>
      </c>
      <c r="I139" s="21" t="str">
        <f>data!$B$86</f>
      </c>
      <c r="J139" s="21"/>
      <c r="K139" s="21"/>
      <c r="L139" s="21"/>
      <c r="M139" s="21"/>
      <c r="N139" s="21"/>
      <c r="O139" s="21" t="str">
        <f>data!$B$88</f>
      </c>
    </row>
    <row r="140">
      <c r="A140" s="21" t="str">
        <f>data!$B$40</f>
      </c>
      <c r="B140" s="21"/>
      <c r="C140" s="21"/>
      <c r="D140" s="21"/>
      <c r="E140" s="21"/>
      <c r="F140" s="21"/>
      <c r="G140" s="21" t="str">
        <f>data!$B$41</f>
      </c>
      <c r="I140" s="21" t="str">
        <f>data!$B$87</f>
      </c>
      <c r="J140" s="21"/>
      <c r="K140" s="21"/>
      <c r="L140" s="21"/>
      <c r="M140" s="21"/>
      <c r="N140" s="21"/>
      <c r="O140" s="21" t="str">
        <f>data!$B$88</f>
      </c>
    </row>
    <row r="142">
      <c r="F142" s="7" t="s">
        <v>243</v>
      </c>
      <c r="G142" s="22"/>
      <c r="N142" s="7" t="s">
        <v>243</v>
      </c>
      <c r="O142" s="22"/>
    </row>
    <row r="143">
      <c r="F143" s="7" t="s">
        <v>244</v>
      </c>
      <c r="G143" s="22"/>
      <c r="N143" s="7" t="s">
        <v>244</v>
      </c>
      <c r="O143" s="22"/>
    </row>
    <row r="144">
      <c r="F144" s="7" t="s">
        <v>245</v>
      </c>
      <c r="G144" s="22"/>
      <c r="N144" s="7" t="s">
        <v>245</v>
      </c>
      <c r="O144" s="22"/>
    </row>
    <row r="147">
      <c r="A147" s="20" t="str">
        <f>data!$A$44</f>
      </c>
      <c r="B147" s="20"/>
      <c r="C147" s="20"/>
      <c r="D147" s="20"/>
      <c r="E147" s="20"/>
      <c r="F147" s="20"/>
      <c r="G147" s="20"/>
      <c r="I147" s="20" t="str">
        <f>data!$A$91</f>
      </c>
      <c r="J147" s="20"/>
      <c r="K147" s="20"/>
      <c r="L147" s="20"/>
      <c r="M147" s="20"/>
      <c r="N147" s="20"/>
      <c r="O147" s="20"/>
    </row>
    <row r="148">
      <c r="A148" s="23" t="s">
        <v>240</v>
      </c>
      <c r="D148" s="21" t="s">
        <v>241</v>
      </c>
      <c r="G148" s="24" t="s">
        <v>242</v>
      </c>
      <c r="I148" s="23" t="s">
        <v>240</v>
      </c>
      <c r="L148" s="21" t="s">
        <v>241</v>
      </c>
      <c r="O148" s="24" t="s">
        <v>242</v>
      </c>
    </row>
    <row r="149">
      <c r="A149" s="21" t="str">
        <f>data!$B$42</f>
      </c>
      <c r="B149" s="21"/>
      <c r="C149" s="21"/>
      <c r="D149" s="21"/>
      <c r="E149" s="21"/>
      <c r="F149" s="21"/>
      <c r="G149" s="21" t="str">
        <f>data!$B$43</f>
      </c>
      <c r="I149" s="21" t="str">
        <f>data!$B$89</f>
      </c>
      <c r="J149" s="21"/>
      <c r="K149" s="21"/>
      <c r="L149" s="21"/>
      <c r="M149" s="21"/>
      <c r="N149" s="21"/>
      <c r="O149" s="21" t="str">
        <f>data!$B$90</f>
      </c>
    </row>
    <row r="150">
      <c r="A150" s="21" t="str">
        <f>data!$B$42</f>
      </c>
      <c r="B150" s="21"/>
      <c r="C150" s="21"/>
      <c r="D150" s="21"/>
      <c r="E150" s="21"/>
      <c r="F150" s="21"/>
      <c r="G150" s="21" t="str">
        <f>data!$B$44</f>
      </c>
      <c r="I150" s="21" t="str">
        <f>data!$B$89</f>
      </c>
      <c r="J150" s="21"/>
      <c r="K150" s="21"/>
      <c r="L150" s="21"/>
      <c r="M150" s="21"/>
      <c r="N150" s="21"/>
      <c r="O150" s="21" t="str">
        <f>data!$B$91</f>
      </c>
    </row>
    <row r="151">
      <c r="A151" s="21" t="str">
        <f>data!$B$43</f>
      </c>
      <c r="B151" s="21"/>
      <c r="C151" s="21"/>
      <c r="D151" s="21"/>
      <c r="E151" s="21"/>
      <c r="F151" s="21"/>
      <c r="G151" s="21" t="str">
        <f>data!$B$44</f>
      </c>
      <c r="I151" s="21" t="str">
        <f>data!$B$90</f>
      </c>
      <c r="J151" s="21"/>
      <c r="K151" s="21"/>
      <c r="L151" s="21"/>
      <c r="M151" s="21"/>
      <c r="N151" s="21"/>
      <c r="O151" s="21" t="str">
        <f>data!$B$91</f>
      </c>
    </row>
    <row r="153">
      <c r="F153" s="7" t="s">
        <v>243</v>
      </c>
      <c r="G153" s="22"/>
      <c r="N153" s="7" t="s">
        <v>243</v>
      </c>
      <c r="O153" s="22"/>
    </row>
    <row r="154">
      <c r="F154" s="7" t="s">
        <v>244</v>
      </c>
      <c r="G154" s="22"/>
      <c r="N154" s="7" t="s">
        <v>244</v>
      </c>
      <c r="O154" s="22"/>
    </row>
    <row r="155">
      <c r="F155" s="7" t="s">
        <v>245</v>
      </c>
      <c r="G155" s="22"/>
      <c r="N155" s="7" t="s">
        <v>245</v>
      </c>
      <c r="O155" s="22"/>
    </row>
    <row r="158">
      <c r="A158" s="20" t="str">
        <f>data!$A$47</f>
      </c>
      <c r="B158" s="20"/>
      <c r="C158" s="20"/>
      <c r="D158" s="20"/>
      <c r="E158" s="20"/>
      <c r="F158" s="20"/>
      <c r="G158" s="20"/>
      <c r="I158" s="20" t="str">
        <f>data!$A$93</f>
      </c>
      <c r="J158" s="20"/>
      <c r="K158" s="20"/>
      <c r="L158" s="20"/>
      <c r="M158" s="20"/>
      <c r="N158" s="20"/>
      <c r="O158" s="20"/>
    </row>
    <row r="159">
      <c r="A159" s="23" t="s">
        <v>240</v>
      </c>
      <c r="D159" s="21" t="s">
        <v>241</v>
      </c>
      <c r="G159" s="24" t="s">
        <v>242</v>
      </c>
      <c r="I159" s="23" t="s">
        <v>240</v>
      </c>
      <c r="L159" s="21" t="s">
        <v>241</v>
      </c>
      <c r="O159" s="24" t="s">
        <v>242</v>
      </c>
    </row>
    <row r="160">
      <c r="A160" s="21" t="str">
        <f>data!$B$45</f>
      </c>
      <c r="B160" s="21"/>
      <c r="C160" s="21"/>
      <c r="D160" s="21"/>
      <c r="E160" s="21"/>
      <c r="F160" s="21"/>
      <c r="G160" s="21" t="str">
        <f>data!$B$46</f>
      </c>
      <c r="I160" s="21" t="str">
        <f>data!$B$92</f>
      </c>
      <c r="J160" s="21"/>
      <c r="K160" s="21"/>
      <c r="L160" s="21"/>
      <c r="M160" s="21"/>
      <c r="N160" s="21"/>
      <c r="O160" s="21" t="str">
        <f>data!$B$93</f>
      </c>
    </row>
    <row r="161">
      <c r="A161" s="21" t="str">
        <f>data!$B$45</f>
      </c>
      <c r="B161" s="21"/>
      <c r="C161" s="21"/>
      <c r="D161" s="21"/>
      <c r="E161" s="21"/>
      <c r="F161" s="21"/>
      <c r="G161" s="21" t="str">
        <f>data!$B$47</f>
      </c>
    </row>
    <row r="162">
      <c r="A162" s="21" t="str">
        <f>data!$B$46</f>
      </c>
      <c r="B162" s="21"/>
      <c r="C162" s="21"/>
      <c r="D162" s="21"/>
      <c r="E162" s="21"/>
      <c r="F162" s="21"/>
      <c r="G162" s="21" t="str">
        <f>data!$B$47</f>
      </c>
    </row>
    <row r="164">
      <c r="F164" s="7" t="s">
        <v>243</v>
      </c>
      <c r="G164" s="22"/>
      <c r="N164" s="7" t="s">
        <v>243</v>
      </c>
      <c r="O164" s="22"/>
    </row>
    <row r="165">
      <c r="F165" s="7" t="s">
        <v>244</v>
      </c>
      <c r="G165" s="22"/>
      <c r="N165" s="7" t="s">
        <v>244</v>
      </c>
      <c r="O165" s="22"/>
    </row>
    <row r="166">
      <c r="F166" s="7" t="s">
        <v>245</v>
      </c>
      <c r="G166" s="22"/>
    </row>
    <row r="169">
      <c r="A169" s="20" t="str">
        <f>data!$A$49</f>
      </c>
      <c r="B169" s="20"/>
      <c r="C169" s="20"/>
      <c r="D169" s="20"/>
      <c r="E169" s="20"/>
      <c r="F169" s="20"/>
      <c r="G169" s="20"/>
    </row>
    <row r="170">
      <c r="A170" s="23" t="s">
        <v>240</v>
      </c>
      <c r="D170" s="21" t="s">
        <v>241</v>
      </c>
      <c r="G170" s="24" t="s">
        <v>242</v>
      </c>
    </row>
    <row r="171">
      <c r="A171" s="21" t="str">
        <f>data!$B$48</f>
      </c>
      <c r="B171" s="21"/>
      <c r="C171" s="21"/>
      <c r="D171" s="21"/>
      <c r="E171" s="21"/>
      <c r="F171" s="21"/>
      <c r="G171" s="21" t="str">
        <f>data!$B$49</f>
      </c>
    </row>
    <row r="173">
      <c r="F173" s="7" t="s">
        <v>243</v>
      </c>
      <c r="G173" s="22"/>
    </row>
    <row r="174">
      <c r="F174" s="7" t="s">
        <v>244</v>
      </c>
      <c r="G174" s="22"/>
    </row>
  </sheetData>
  <mergeCells count="33">
    <mergeCell ref="A1:G1"/>
    <mergeCell ref="I1:O1"/>
    <mergeCell ref="A4:G4"/>
    <mergeCell ref="I4:O4"/>
    <mergeCell ref="A15:G15"/>
    <mergeCell ref="I15:O15"/>
    <mergeCell ref="A26:G26"/>
    <mergeCell ref="I26:O26"/>
    <mergeCell ref="A37:G37"/>
    <mergeCell ref="I37:O37"/>
    <mergeCell ref="A48:G48"/>
    <mergeCell ref="I48:O48"/>
    <mergeCell ref="A59:G59"/>
    <mergeCell ref="I59:O59"/>
    <mergeCell ref="A70:G70"/>
    <mergeCell ref="I70:O70"/>
    <mergeCell ref="A81:G81"/>
    <mergeCell ref="I81:O81"/>
    <mergeCell ref="A92:G92"/>
    <mergeCell ref="I92:O92"/>
    <mergeCell ref="A103:G103"/>
    <mergeCell ref="I103:O103"/>
    <mergeCell ref="A114:G114"/>
    <mergeCell ref="I114:O114"/>
    <mergeCell ref="A125:G125"/>
    <mergeCell ref="I125:O125"/>
    <mergeCell ref="A136:G136"/>
    <mergeCell ref="I136:O136"/>
    <mergeCell ref="A147:G147"/>
    <mergeCell ref="I147:O147"/>
    <mergeCell ref="A158:G158"/>
    <mergeCell ref="I158:O158"/>
    <mergeCell ref="A169:G169"/>
  </mergeCells>
  <printOptions horizontalCentered="true" verticalCentered="true"/>
  <pageMargins left="0.7" right="0.7" top="0.75" bottom="0.75" header="0.3" footer="0.3"/>
  <pageSetup fitToHeight="0" fitToWidth="2" orientation="portrait" pageOrder="downThenOver" paperSize="9"/>
  <rowBreaks count="4" manualBreakCount="4">
    <brk id="41" max="16383" man="true"/>
    <brk id="83" max="16383" man="true"/>
    <brk id="124" max="16383" man="true"/>
    <brk id="162" max="16383" man="true"/>
  </rowBreaks>
  <colBreaks count="1" manualBreakCount="1">
    <brk id="8" max="1048575" man="true"/>
  </colBreak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D4E4C4-15C1-724B-94C9-DD9C94F4D3CF}">
  <dimension ref="A1:O1"/>
  <sheetViews>
    <sheetView workbookViewId="0">
      <selection activeCell="O29" sqref="O29"/>
    </sheetView>
  </sheetViews>
  <sheetFormatPr baseColWidth="10" defaultRowHeight="16"/>
  <cols>
    <col customWidth="true" max="1" min="1" style="7" width="30"/>
    <col customWidth="true" max="3" min="2" style="7" width="5"/>
    <col customWidth="true" max="4" min="4" style="7" width="3"/>
    <col customWidth="true" max="6" min="5" style="7" width="5"/>
    <col customWidth="true" max="7" min="7" style="7" width="30"/>
    <col customWidth="true" max="8" min="8" style="7" width="2"/>
    <col customWidth="true" max="9" min="9" style="7" width="30"/>
    <col customWidth="true" max="11" min="10" style="7" width="5"/>
    <col customWidth="true" max="12" min="12" style="7" width="3"/>
    <col customWidth="true" max="14" min="13" style="7" width="5"/>
    <col customWidth="true" max="15" min="15" style="7" width="30"/>
    <col customWidth="true" max="16" min="16" style="7" width="2"/>
    <col max="16384" min="17" style="7" width="10.83203125"/>
  </cols>
  <sheetData>
    <row r="1" spans="1:15" ht="17" thickBot="true">
      <c r="A1" s="20" t="s">
        <v>0</v>
      </c>
      <c r="B1" s="20"/>
      <c r="C1" s="20"/>
      <c r="D1" s="20"/>
      <c r="E1" s="20"/>
      <c r="F1" s="20"/>
      <c r="G1" s="20"/>
      <c r="H1" s="20"/>
      <c r="I1" s="20"/>
      <c r="J1" s="20"/>
      <c r="K1" s="20"/>
      <c r="L1" s="20"/>
      <c r="M1" s="20"/>
      <c r="N1" s="20"/>
      <c r="O1" s="20"/>
    </row>
    <row r="3">
      <c r="A3" s="20" t="s">
        <v>337</v>
      </c>
      <c r="B3" s="20"/>
      <c r="C3" s="20"/>
      <c r="D3" s="20"/>
      <c r="E3" s="20"/>
      <c r="F3" s="20"/>
      <c r="G3" s="20"/>
      <c r="I3" s="20" t="s">
        <v>340</v>
      </c>
      <c r="J3" s="20"/>
      <c r="K3" s="20"/>
      <c r="L3" s="20"/>
      <c r="M3" s="20"/>
      <c r="N3" s="20"/>
      <c r="O3" s="20"/>
    </row>
    <row r="4">
      <c r="A4" s="23" t="s">
        <v>240</v>
      </c>
      <c r="D4" s="21" t="s">
        <v>241</v>
      </c>
      <c r="G4" s="24" t="s">
        <v>242</v>
      </c>
      <c r="I4" s="23" t="s">
        <v>240</v>
      </c>
      <c r="L4" s="21" t="s">
        <v>241</v>
      </c>
      <c r="O4" s="24" t="s">
        <v>242</v>
      </c>
    </row>
    <row r="5">
      <c r="A5" s="21" t="str">
        <f>CONCATENATE("Pool C.1 ",'Pool Matches'!G32)</f>
      </c>
      <c r="B5" s="21"/>
      <c r="C5" s="21"/>
      <c r="D5" s="21"/>
      <c r="E5" s="21"/>
      <c r="F5" s="21"/>
      <c r="G5" s="21" t="str">
        <f>CONCATENATE("Pool B.2 ",'Pool Matches'!G22)</f>
      </c>
      <c r="I5" s="21" t="str">
        <f>CONCATENATE("Pool E.1 ",'Pool Matches'!G54)</f>
      </c>
      <c r="J5" s="21"/>
      <c r="K5" s="21"/>
      <c r="L5" s="21"/>
      <c r="M5" s="21"/>
      <c r="N5" s="21"/>
      <c r="O5" s="21" t="str">
        <f>CONCATENATE("Pool D.2 ",'Pool Matches'!G44)</f>
      </c>
    </row>
    <row r="7">
      <c r="F7" s="7" t="s">
        <v>338</v>
      </c>
      <c r="G7" s="22"/>
      <c r="N7" s="7" t="s">
        <v>338</v>
      </c>
      <c r="O7" s="22"/>
    </row>
    <row r="8">
      <c r="F8" s="7" t="s">
        <v>339</v>
      </c>
      <c r="G8" s="22"/>
      <c r="N8" s="7" t="s">
        <v>339</v>
      </c>
      <c r="O8" s="22"/>
    </row>
    <row r="11">
      <c r="A11" s="20" t="s">
        <v>341</v>
      </c>
      <c r="B11" s="20"/>
      <c r="C11" s="20"/>
      <c r="D11" s="20"/>
      <c r="E11" s="20"/>
      <c r="F11" s="20"/>
      <c r="G11" s="20"/>
      <c r="I11" s="20" t="s">
        <v>342</v>
      </c>
      <c r="J11" s="20"/>
      <c r="K11" s="20"/>
      <c r="L11" s="20"/>
      <c r="M11" s="20"/>
      <c r="N11" s="20"/>
      <c r="O11" s="20"/>
    </row>
    <row r="12">
      <c r="A12" s="23" t="s">
        <v>240</v>
      </c>
      <c r="D12" s="21" t="s">
        <v>241</v>
      </c>
      <c r="G12" s="24" t="s">
        <v>242</v>
      </c>
      <c r="I12" s="23" t="s">
        <v>240</v>
      </c>
      <c r="L12" s="21" t="s">
        <v>241</v>
      </c>
      <c r="O12" s="24" t="s">
        <v>242</v>
      </c>
    </row>
    <row r="13">
      <c r="A13" s="21" t="str">
        <f>CONCATENATE("Pool G.1 ",'Pool Matches'!G76)</f>
      </c>
      <c r="B13" s="21"/>
      <c r="C13" s="21"/>
      <c r="D13" s="21"/>
      <c r="E13" s="21"/>
      <c r="F13" s="21"/>
      <c r="G13" s="21" t="str">
        <f>CONCATENATE("Pool F.2 ",'Pool Matches'!G66)</f>
      </c>
      <c r="I13" s="21" t="str">
        <f>CONCATENATE("Pool I.1 ",'Pool Matches'!G98)</f>
      </c>
      <c r="J13" s="21"/>
      <c r="K13" s="21"/>
      <c r="L13" s="21"/>
      <c r="M13" s="21"/>
      <c r="N13" s="21"/>
      <c r="O13" s="21" t="str">
        <f>CONCATENATE("Pool H.2 ",'Pool Matches'!G88)</f>
      </c>
    </row>
    <row r="15">
      <c r="F15" s="7" t="s">
        <v>338</v>
      </c>
      <c r="G15" s="22"/>
      <c r="N15" s="7" t="s">
        <v>338</v>
      </c>
      <c r="O15" s="22"/>
    </row>
    <row r="16">
      <c r="F16" s="7" t="s">
        <v>339</v>
      </c>
      <c r="G16" s="22"/>
      <c r="N16" s="7" t="s">
        <v>339</v>
      </c>
      <c r="O16" s="22"/>
    </row>
    <row r="19">
      <c r="A19" s="20" t="s">
        <v>343</v>
      </c>
      <c r="B19" s="20"/>
      <c r="C19" s="20"/>
      <c r="D19" s="20"/>
      <c r="E19" s="20"/>
      <c r="F19" s="20"/>
      <c r="G19" s="20"/>
      <c r="I19" s="20" t="s">
        <v>344</v>
      </c>
      <c r="J19" s="20"/>
      <c r="K19" s="20"/>
      <c r="L19" s="20"/>
      <c r="M19" s="20"/>
      <c r="N19" s="20"/>
      <c r="O19" s="20"/>
    </row>
    <row r="20">
      <c r="A20" s="23" t="s">
        <v>240</v>
      </c>
      <c r="D20" s="21" t="s">
        <v>241</v>
      </c>
      <c r="G20" s="24" t="s">
        <v>242</v>
      </c>
      <c r="I20" s="23" t="s">
        <v>240</v>
      </c>
      <c r="L20" s="21" t="s">
        <v>241</v>
      </c>
      <c r="O20" s="24" t="s">
        <v>242</v>
      </c>
    </row>
    <row r="21">
      <c r="A21" s="21" t="str">
        <f>CONCATENATE("Pool K.1 ",'Pool Matches'!G120)</f>
      </c>
      <c r="B21" s="21"/>
      <c r="C21" s="21"/>
      <c r="D21" s="21"/>
      <c r="E21" s="21"/>
      <c r="F21" s="21"/>
      <c r="G21" s="21" t="str">
        <f>CONCATENATE("Pool J.2 ",'Pool Matches'!G110)</f>
      </c>
      <c r="I21" s="21" t="str">
        <f>CONCATENATE("Pool M.1 ",'Pool Matches'!G142)</f>
      </c>
      <c r="J21" s="21"/>
      <c r="K21" s="21"/>
      <c r="L21" s="21"/>
      <c r="M21" s="21"/>
      <c r="N21" s="21"/>
      <c r="O21" s="21" t="str">
        <f>CONCATENATE("Pool L.2 ",'Pool Matches'!G132)</f>
      </c>
    </row>
    <row r="23">
      <c r="F23" s="7" t="s">
        <v>338</v>
      </c>
      <c r="G23" s="22"/>
      <c r="N23" s="7" t="s">
        <v>338</v>
      </c>
      <c r="O23" s="22"/>
    </row>
    <row r="24">
      <c r="F24" s="7" t="s">
        <v>339</v>
      </c>
      <c r="G24" s="22"/>
      <c r="N24" s="7" t="s">
        <v>339</v>
      </c>
      <c r="O24" s="22"/>
    </row>
    <row r="27">
      <c r="A27" s="20" t="s">
        <v>345</v>
      </c>
      <c r="B27" s="20"/>
      <c r="C27" s="20"/>
      <c r="D27" s="20"/>
      <c r="E27" s="20"/>
      <c r="F27" s="20"/>
      <c r="G27" s="20"/>
      <c r="I27" s="20" t="s">
        <v>346</v>
      </c>
      <c r="J27" s="20"/>
      <c r="K27" s="20"/>
      <c r="L27" s="20"/>
      <c r="M27" s="20"/>
      <c r="N27" s="20"/>
      <c r="O27" s="20"/>
    </row>
    <row r="28">
      <c r="A28" s="23" t="s">
        <v>240</v>
      </c>
      <c r="D28" s="21" t="s">
        <v>241</v>
      </c>
      <c r="G28" s="24" t="s">
        <v>242</v>
      </c>
      <c r="I28" s="23" t="s">
        <v>240</v>
      </c>
      <c r="L28" s="21" t="s">
        <v>241</v>
      </c>
      <c r="O28" s="24" t="s">
        <v>242</v>
      </c>
    </row>
    <row r="29">
      <c r="A29" s="21" t="str">
        <f>CONCATENATE("Pool O.1 ",'Pool Matches'!G164)</f>
      </c>
      <c r="B29" s="21"/>
      <c r="C29" s="21"/>
      <c r="D29" s="21"/>
      <c r="E29" s="21"/>
      <c r="F29" s="21"/>
      <c r="G29" s="21" t="str">
        <f>CONCATENATE("Pool N.2 ",'Pool Matches'!G154)</f>
      </c>
      <c r="I29" s="21" t="str">
        <f>CONCATENATE("Pool Q.1 ",'Pool Matches'!O10)</f>
      </c>
      <c r="J29" s="21"/>
      <c r="K29" s="21"/>
      <c r="L29" s="21"/>
      <c r="M29" s="21"/>
      <c r="N29" s="21"/>
      <c r="O29" s="21" t="str">
        <f>CONCATENATE("Pool P.2 ",'Pool Matches'!G174)</f>
      </c>
    </row>
    <row r="31">
      <c r="F31" s="7" t="s">
        <v>338</v>
      </c>
      <c r="G31" s="22"/>
      <c r="N31" s="7" t="s">
        <v>338</v>
      </c>
      <c r="O31" s="22"/>
    </row>
    <row r="32">
      <c r="F32" s="7" t="s">
        <v>339</v>
      </c>
      <c r="G32" s="22"/>
      <c r="N32" s="7" t="s">
        <v>339</v>
      </c>
      <c r="O32" s="22"/>
    </row>
    <row r="35">
      <c r="A35" s="20" t="s">
        <v>347</v>
      </c>
      <c r="B35" s="20"/>
      <c r="C35" s="20"/>
      <c r="D35" s="20"/>
      <c r="E35" s="20"/>
      <c r="F35" s="20"/>
      <c r="G35" s="20"/>
      <c r="I35" s="20" t="s">
        <v>348</v>
      </c>
      <c r="J35" s="20"/>
      <c r="K35" s="20"/>
      <c r="L35" s="20"/>
      <c r="M35" s="20"/>
      <c r="N35" s="20"/>
      <c r="O35" s="20"/>
    </row>
    <row r="36">
      <c r="A36" s="23" t="s">
        <v>240</v>
      </c>
      <c r="D36" s="21" t="s">
        <v>241</v>
      </c>
      <c r="G36" s="24" t="s">
        <v>242</v>
      </c>
      <c r="I36" s="23" t="s">
        <v>240</v>
      </c>
      <c r="L36" s="21" t="s">
        <v>241</v>
      </c>
      <c r="O36" s="24" t="s">
        <v>242</v>
      </c>
    </row>
    <row r="37">
      <c r="A37" s="21" t="str">
        <f>CONCATENATE("Pool S.1 ",'Pool Matches'!O32)</f>
      </c>
      <c r="B37" s="21"/>
      <c r="C37" s="21"/>
      <c r="D37" s="21"/>
      <c r="E37" s="21"/>
      <c r="F37" s="21"/>
      <c r="G37" s="21" t="str">
        <f>CONCATENATE("Pool R.2 ",'Pool Matches'!O22)</f>
      </c>
      <c r="I37" s="21" t="str">
        <f>CONCATENATE("Pool U.1 ",'Pool Matches'!O54)</f>
      </c>
      <c r="J37" s="21"/>
      <c r="K37" s="21"/>
      <c r="L37" s="21"/>
      <c r="M37" s="21"/>
      <c r="N37" s="21"/>
      <c r="O37" s="21" t="str">
        <f>CONCATENATE("Pool T.2 ",'Pool Matches'!O44)</f>
      </c>
    </row>
    <row r="39">
      <c r="F39" s="7" t="s">
        <v>338</v>
      </c>
      <c r="G39" s="22"/>
      <c r="N39" s="7" t="s">
        <v>338</v>
      </c>
      <c r="O39" s="22"/>
    </row>
    <row r="40">
      <c r="F40" s="7" t="s">
        <v>339</v>
      </c>
      <c r="G40" s="22"/>
      <c r="N40" s="7" t="s">
        <v>339</v>
      </c>
      <c r="O40" s="22"/>
    </row>
    <row r="43">
      <c r="A43" s="20" t="s">
        <v>349</v>
      </c>
      <c r="B43" s="20"/>
      <c r="C43" s="20"/>
      <c r="D43" s="20"/>
      <c r="E43" s="20"/>
      <c r="F43" s="20"/>
      <c r="G43" s="20"/>
      <c r="I43" s="20" t="s">
        <v>350</v>
      </c>
      <c r="J43" s="20"/>
      <c r="K43" s="20"/>
      <c r="L43" s="20"/>
      <c r="M43" s="20"/>
      <c r="N43" s="20"/>
      <c r="O43" s="20"/>
    </row>
    <row r="44">
      <c r="A44" s="23" t="s">
        <v>240</v>
      </c>
      <c r="D44" s="21" t="s">
        <v>241</v>
      </c>
      <c r="G44" s="24" t="s">
        <v>242</v>
      </c>
      <c r="I44" s="23" t="s">
        <v>240</v>
      </c>
      <c r="L44" s="21" t="s">
        <v>241</v>
      </c>
      <c r="O44" s="24" t="s">
        <v>242</v>
      </c>
    </row>
    <row r="45">
      <c r="A45" s="21" t="str">
        <f>CONCATENATE("Pool W.1 ",'Pool Matches'!O76)</f>
      </c>
      <c r="B45" s="21"/>
      <c r="C45" s="21"/>
      <c r="D45" s="21"/>
      <c r="E45" s="21"/>
      <c r="F45" s="21"/>
      <c r="G45" s="21" t="str">
        <f>CONCATENATE("Pool V.2 ",'Pool Matches'!O66)</f>
      </c>
      <c r="I45" s="21" t="str">
        <f>CONCATENATE("Pool Y.1 ",'Pool Matches'!O98)</f>
      </c>
      <c r="J45" s="21"/>
      <c r="K45" s="21"/>
      <c r="L45" s="21"/>
      <c r="M45" s="21"/>
      <c r="N45" s="21"/>
      <c r="O45" s="21" t="str">
        <f>CONCATENATE("Pool X.2 ",'Pool Matches'!O88)</f>
      </c>
    </row>
    <row r="47">
      <c r="F47" s="7" t="s">
        <v>338</v>
      </c>
      <c r="G47" s="22"/>
      <c r="N47" s="7" t="s">
        <v>338</v>
      </c>
      <c r="O47" s="22"/>
    </row>
    <row r="48">
      <c r="F48" s="7" t="s">
        <v>339</v>
      </c>
      <c r="G48" s="22"/>
      <c r="N48" s="7" t="s">
        <v>339</v>
      </c>
      <c r="O48" s="22"/>
    </row>
    <row r="51">
      <c r="A51" s="20" t="s">
        <v>351</v>
      </c>
      <c r="B51" s="20"/>
      <c r="C51" s="20"/>
      <c r="D51" s="20"/>
      <c r="E51" s="20"/>
      <c r="F51" s="20"/>
      <c r="G51" s="20"/>
      <c r="I51" s="20" t="s">
        <v>352</v>
      </c>
      <c r="J51" s="20"/>
      <c r="K51" s="20"/>
      <c r="L51" s="20"/>
      <c r="M51" s="20"/>
      <c r="N51" s="20"/>
      <c r="O51" s="20"/>
    </row>
    <row r="52">
      <c r="A52" s="23" t="s">
        <v>240</v>
      </c>
      <c r="D52" s="21" t="s">
        <v>241</v>
      </c>
      <c r="G52" s="24" t="s">
        <v>242</v>
      </c>
      <c r="I52" s="23" t="s">
        <v>240</v>
      </c>
      <c r="L52" s="21" t="s">
        <v>241</v>
      </c>
      <c r="O52" s="24" t="s">
        <v>242</v>
      </c>
    </row>
    <row r="53">
      <c r="A53" s="21" t="str">
        <f>CONCATENATE("Pool AA.1 ",'Pool Matches'!O120)</f>
      </c>
      <c r="B53" s="21"/>
      <c r="C53" s="21"/>
      <c r="D53" s="21"/>
      <c r="E53" s="21"/>
      <c r="F53" s="21"/>
      <c r="G53" s="21" t="str">
        <f>CONCATENATE("Pool Z.2 ",'Pool Matches'!O110)</f>
      </c>
      <c r="I53" s="21" t="str">
        <f>CONCATENATE("Pool CC.1 ",'Pool Matches'!O142)</f>
      </c>
      <c r="J53" s="21"/>
      <c r="K53" s="21"/>
      <c r="L53" s="21"/>
      <c r="M53" s="21"/>
      <c r="N53" s="21"/>
      <c r="O53" s="21" t="str">
        <f>CONCATENATE("Pool BB.2 ",'Pool Matches'!O132)</f>
      </c>
    </row>
    <row r="55">
      <c r="F55" s="7" t="s">
        <v>338</v>
      </c>
      <c r="G55" s="22"/>
      <c r="N55" s="7" t="s">
        <v>338</v>
      </c>
      <c r="O55" s="22"/>
    </row>
    <row r="56">
      <c r="F56" s="7" t="s">
        <v>339</v>
      </c>
      <c r="G56" s="22"/>
      <c r="N56" s="7" t="s">
        <v>339</v>
      </c>
      <c r="O56" s="22"/>
    </row>
    <row r="59">
      <c r="A59" s="20" t="s">
        <v>353</v>
      </c>
      <c r="B59" s="20"/>
      <c r="C59" s="20"/>
      <c r="D59" s="20"/>
      <c r="E59" s="20"/>
      <c r="F59" s="20"/>
      <c r="G59" s="20"/>
      <c r="I59" s="20" t="s">
        <v>354</v>
      </c>
      <c r="J59" s="20"/>
      <c r="K59" s="20"/>
      <c r="L59" s="20"/>
      <c r="M59" s="20"/>
      <c r="N59" s="20"/>
      <c r="O59" s="20"/>
    </row>
    <row r="60">
      <c r="A60" s="23" t="s">
        <v>240</v>
      </c>
      <c r="D60" s="21" t="s">
        <v>241</v>
      </c>
      <c r="G60" s="24" t="s">
        <v>242</v>
      </c>
      <c r="I60" s="23" t="s">
        <v>240</v>
      </c>
      <c r="L60" s="21" t="s">
        <v>241</v>
      </c>
      <c r="O60" s="24" t="s">
        <v>242</v>
      </c>
    </row>
    <row r="61">
      <c r="A61" s="21" t="str">
        <f>CONCATENATE("Pool EE.1 ",'Pool Matches'!O164)</f>
      </c>
      <c r="B61" s="21"/>
      <c r="C61" s="21"/>
      <c r="D61" s="21"/>
      <c r="E61" s="21"/>
      <c r="F61" s="21"/>
      <c r="G61" s="21" t="str">
        <f>CONCATENATE("Pool DD.2 ",'Pool Matches'!O154)</f>
      </c>
      <c r="I61" s="21" t="str">
        <f>CONCATENATE("Pool A.2 ",'Pool Matches'!G11)</f>
      </c>
      <c r="J61" s="21"/>
      <c r="K61" s="21"/>
      <c r="L61" s="21"/>
      <c r="M61" s="21"/>
      <c r="N61" s="21"/>
      <c r="O61" s="21" t="str">
        <f>CONCATENATE("Pool C.2 ",'Pool Matches'!G33)</f>
      </c>
    </row>
    <row r="63">
      <c r="F63" s="7" t="s">
        <v>338</v>
      </c>
      <c r="G63" s="22"/>
      <c r="N63" s="7" t="s">
        <v>338</v>
      </c>
      <c r="O63" s="22"/>
    </row>
    <row r="64">
      <c r="F64" s="7" t="s">
        <v>339</v>
      </c>
      <c r="G64" s="22"/>
      <c r="N64" s="7" t="s">
        <v>339</v>
      </c>
      <c r="O64" s="22"/>
    </row>
    <row r="67">
      <c r="A67" s="20" t="s">
        <v>355</v>
      </c>
      <c r="B67" s="20"/>
      <c r="C67" s="20"/>
      <c r="D67" s="20"/>
      <c r="E67" s="20"/>
      <c r="F67" s="20"/>
      <c r="G67" s="20"/>
      <c r="I67" s="20" t="s">
        <v>356</v>
      </c>
      <c r="J67" s="20"/>
      <c r="K67" s="20"/>
      <c r="L67" s="20"/>
      <c r="M67" s="20"/>
      <c r="N67" s="20"/>
      <c r="O67" s="20"/>
    </row>
    <row r="68">
      <c r="A68" s="23" t="s">
        <v>240</v>
      </c>
      <c r="D68" s="21" t="s">
        <v>241</v>
      </c>
      <c r="G68" s="24" t="s">
        <v>242</v>
      </c>
      <c r="I68" s="23" t="s">
        <v>240</v>
      </c>
      <c r="L68" s="21" t="s">
        <v>241</v>
      </c>
      <c r="O68" s="24" t="s">
        <v>242</v>
      </c>
    </row>
    <row r="69">
      <c r="A69" s="21" t="str">
        <f>CONCATENATE("Pool D.1 ",'Pool Matches'!G43)</f>
      </c>
      <c r="B69" s="21"/>
      <c r="C69" s="21"/>
      <c r="D69" s="21"/>
      <c r="E69" s="21"/>
      <c r="F69" s="21"/>
      <c r="G69" s="21" t="str">
        <f>CONCATENATE("Pool E.2 ",'Pool Matches'!G55)</f>
      </c>
      <c r="I69" s="21" t="str">
        <f>CONCATENATE("Pool F.1 ",'Pool Matches'!G65)</f>
      </c>
      <c r="J69" s="21"/>
      <c r="K69" s="21"/>
      <c r="L69" s="21"/>
      <c r="M69" s="21"/>
      <c r="N69" s="21"/>
      <c r="O69" s="21" t="str">
        <f>CONCATENATE("Pool G.2 ",'Pool Matches'!G77)</f>
      </c>
    </row>
    <row r="71">
      <c r="F71" s="7" t="s">
        <v>338</v>
      </c>
      <c r="G71" s="22"/>
      <c r="N71" s="7" t="s">
        <v>338</v>
      </c>
      <c r="O71" s="22"/>
    </row>
    <row r="72">
      <c r="F72" s="7" t="s">
        <v>339</v>
      </c>
      <c r="G72" s="22"/>
      <c r="N72" s="7" t="s">
        <v>339</v>
      </c>
      <c r="O72" s="22"/>
    </row>
    <row r="75">
      <c r="A75" s="20" t="s">
        <v>357</v>
      </c>
      <c r="B75" s="20"/>
      <c r="C75" s="20"/>
      <c r="D75" s="20"/>
      <c r="E75" s="20"/>
      <c r="F75" s="20"/>
      <c r="G75" s="20"/>
      <c r="I75" s="20" t="s">
        <v>358</v>
      </c>
      <c r="J75" s="20"/>
      <c r="K75" s="20"/>
      <c r="L75" s="20"/>
      <c r="M75" s="20"/>
      <c r="N75" s="20"/>
      <c r="O75" s="20"/>
    </row>
    <row r="76">
      <c r="A76" s="23" t="s">
        <v>240</v>
      </c>
      <c r="D76" s="21" t="s">
        <v>241</v>
      </c>
      <c r="G76" s="24" t="s">
        <v>242</v>
      </c>
      <c r="I76" s="23" t="s">
        <v>240</v>
      </c>
      <c r="L76" s="21" t="s">
        <v>241</v>
      </c>
      <c r="O76" s="24" t="s">
        <v>242</v>
      </c>
    </row>
    <row r="77">
      <c r="A77" s="21" t="str">
        <f>CONCATENATE("Pool H.1 ",'Pool Matches'!G87)</f>
      </c>
      <c r="B77" s="21"/>
      <c r="C77" s="21"/>
      <c r="D77" s="21"/>
      <c r="E77" s="21"/>
      <c r="F77" s="21"/>
      <c r="G77" s="21" t="str">
        <f>CONCATENATE("Pool I.2 ",'Pool Matches'!G99)</f>
      </c>
      <c r="I77" s="21" t="str">
        <f>CONCATENATE("Pool J.1 ",'Pool Matches'!G109)</f>
      </c>
      <c r="J77" s="21"/>
      <c r="K77" s="21"/>
      <c r="L77" s="21"/>
      <c r="M77" s="21"/>
      <c r="N77" s="21"/>
      <c r="O77" s="21" t="str">
        <f>CONCATENATE("Pool K.2 ",'Pool Matches'!G121)</f>
      </c>
    </row>
    <row r="79">
      <c r="F79" s="7" t="s">
        <v>338</v>
      </c>
      <c r="G79" s="22"/>
      <c r="N79" s="7" t="s">
        <v>338</v>
      </c>
      <c r="O79" s="22"/>
    </row>
    <row r="80">
      <c r="F80" s="7" t="s">
        <v>339</v>
      </c>
      <c r="G80" s="22"/>
      <c r="N80" s="7" t="s">
        <v>339</v>
      </c>
      <c r="O80" s="22"/>
    </row>
    <row r="83">
      <c r="A83" s="20" t="s">
        <v>359</v>
      </c>
      <c r="B83" s="20"/>
      <c r="C83" s="20"/>
      <c r="D83" s="20"/>
      <c r="E83" s="20"/>
      <c r="F83" s="20"/>
      <c r="G83" s="20"/>
      <c r="I83" s="20" t="s">
        <v>360</v>
      </c>
      <c r="J83" s="20"/>
      <c r="K83" s="20"/>
      <c r="L83" s="20"/>
      <c r="M83" s="20"/>
      <c r="N83" s="20"/>
      <c r="O83" s="20"/>
    </row>
    <row r="84">
      <c r="A84" s="23" t="s">
        <v>240</v>
      </c>
      <c r="D84" s="21" t="s">
        <v>241</v>
      </c>
      <c r="G84" s="24" t="s">
        <v>242</v>
      </c>
      <c r="I84" s="23" t="s">
        <v>240</v>
      </c>
      <c r="L84" s="21" t="s">
        <v>241</v>
      </c>
      <c r="O84" s="24" t="s">
        <v>242</v>
      </c>
    </row>
    <row r="85">
      <c r="A85" s="21" t="str">
        <f>CONCATENATE("Pool L.1 ",'Pool Matches'!G131)</f>
      </c>
      <c r="B85" s="21"/>
      <c r="C85" s="21"/>
      <c r="D85" s="21"/>
      <c r="E85" s="21"/>
      <c r="F85" s="21"/>
      <c r="G85" s="21" t="str">
        <f>CONCATENATE("Pool M.2 ",'Pool Matches'!G143)</f>
      </c>
      <c r="I85" s="21" t="str">
        <f>CONCATENATE("Pool N.1 ",'Pool Matches'!G153)</f>
      </c>
      <c r="J85" s="21"/>
      <c r="K85" s="21"/>
      <c r="L85" s="21"/>
      <c r="M85" s="21"/>
      <c r="N85" s="21"/>
      <c r="O85" s="21" t="str">
        <f>CONCATENATE("Pool O.2 ",'Pool Matches'!G165)</f>
      </c>
    </row>
    <row r="87">
      <c r="F87" s="7" t="s">
        <v>338</v>
      </c>
      <c r="G87" s="22"/>
      <c r="N87" s="7" t="s">
        <v>338</v>
      </c>
      <c r="O87" s="22"/>
    </row>
    <row r="88">
      <c r="F88" s="7" t="s">
        <v>339</v>
      </c>
      <c r="G88" s="22"/>
      <c r="N88" s="7" t="s">
        <v>339</v>
      </c>
      <c r="O88" s="22"/>
    </row>
    <row r="91">
      <c r="A91" s="20" t="s">
        <v>361</v>
      </c>
      <c r="B91" s="20"/>
      <c r="C91" s="20"/>
      <c r="D91" s="20"/>
      <c r="E91" s="20"/>
      <c r="F91" s="20"/>
      <c r="G91" s="20"/>
      <c r="I91" s="20" t="s">
        <v>362</v>
      </c>
      <c r="J91" s="20"/>
      <c r="K91" s="20"/>
      <c r="L91" s="20"/>
      <c r="M91" s="20"/>
      <c r="N91" s="20"/>
      <c r="O91" s="20"/>
    </row>
    <row r="92">
      <c r="A92" s="23" t="s">
        <v>240</v>
      </c>
      <c r="D92" s="21" t="s">
        <v>241</v>
      </c>
      <c r="G92" s="24" t="s">
        <v>242</v>
      </c>
      <c r="I92" s="23" t="s">
        <v>240</v>
      </c>
      <c r="L92" s="21" t="s">
        <v>241</v>
      </c>
      <c r="O92" s="24" t="s">
        <v>242</v>
      </c>
    </row>
    <row r="93">
      <c r="A93" s="21" t="str">
        <f>CONCATENATE("Pool P.1 ",'Pool Matches'!G173)</f>
      </c>
      <c r="B93" s="21"/>
      <c r="C93" s="21"/>
      <c r="D93" s="21"/>
      <c r="E93" s="21"/>
      <c r="F93" s="21"/>
      <c r="G93" s="21" t="str">
        <f>CONCATENATE("Pool Q.2 ",'Pool Matches'!O11)</f>
      </c>
      <c r="I93" s="21" t="str">
        <f>CONCATENATE("Pool R.1 ",'Pool Matches'!O21)</f>
      </c>
      <c r="J93" s="21"/>
      <c r="K93" s="21"/>
      <c r="L93" s="21"/>
      <c r="M93" s="21"/>
      <c r="N93" s="21"/>
      <c r="O93" s="21" t="str">
        <f>CONCATENATE("Pool S.2 ",'Pool Matches'!O33)</f>
      </c>
    </row>
    <row r="95">
      <c r="F95" s="7" t="s">
        <v>338</v>
      </c>
      <c r="G95" s="22"/>
      <c r="N95" s="7" t="s">
        <v>338</v>
      </c>
      <c r="O95" s="22"/>
    </row>
    <row r="96">
      <c r="F96" s="7" t="s">
        <v>339</v>
      </c>
      <c r="G96" s="22"/>
      <c r="N96" s="7" t="s">
        <v>339</v>
      </c>
      <c r="O96" s="22"/>
    </row>
    <row r="99">
      <c r="A99" s="20" t="s">
        <v>363</v>
      </c>
      <c r="B99" s="20"/>
      <c r="C99" s="20"/>
      <c r="D99" s="20"/>
      <c r="E99" s="20"/>
      <c r="F99" s="20"/>
      <c r="G99" s="20"/>
      <c r="I99" s="20" t="s">
        <v>364</v>
      </c>
      <c r="J99" s="20"/>
      <c r="K99" s="20"/>
      <c r="L99" s="20"/>
      <c r="M99" s="20"/>
      <c r="N99" s="20"/>
      <c r="O99" s="20"/>
    </row>
    <row r="100">
      <c r="A100" s="23" t="s">
        <v>240</v>
      </c>
      <c r="D100" s="21" t="s">
        <v>241</v>
      </c>
      <c r="G100" s="24" t="s">
        <v>242</v>
      </c>
      <c r="I100" s="23" t="s">
        <v>240</v>
      </c>
      <c r="L100" s="21" t="s">
        <v>241</v>
      </c>
      <c r="O100" s="24" t="s">
        <v>242</v>
      </c>
    </row>
    <row r="101">
      <c r="A101" s="21" t="str">
        <f>CONCATENATE("Pool T.1 ",'Pool Matches'!O43)</f>
      </c>
      <c r="B101" s="21"/>
      <c r="C101" s="21"/>
      <c r="D101" s="21"/>
      <c r="E101" s="21"/>
      <c r="F101" s="21"/>
      <c r="G101" s="21" t="str">
        <f>CONCATENATE("Pool U.2 ",'Pool Matches'!O55)</f>
      </c>
      <c r="I101" s="21" t="str">
        <f>CONCATENATE("Pool V.1 ",'Pool Matches'!O65)</f>
      </c>
      <c r="J101" s="21"/>
      <c r="K101" s="21"/>
      <c r="L101" s="21"/>
      <c r="M101" s="21"/>
      <c r="N101" s="21"/>
      <c r="O101" s="21" t="str">
        <f>CONCATENATE("Pool W.2 ",'Pool Matches'!O77)</f>
      </c>
    </row>
    <row r="103">
      <c r="F103" s="7" t="s">
        <v>338</v>
      </c>
      <c r="G103" s="22"/>
      <c r="N103" s="7" t="s">
        <v>338</v>
      </c>
      <c r="O103" s="22"/>
    </row>
    <row r="104">
      <c r="F104" s="7" t="s">
        <v>339</v>
      </c>
      <c r="G104" s="22"/>
      <c r="N104" s="7" t="s">
        <v>339</v>
      </c>
      <c r="O104" s="22"/>
    </row>
    <row r="107">
      <c r="A107" s="20" t="s">
        <v>365</v>
      </c>
      <c r="B107" s="20"/>
      <c r="C107" s="20"/>
      <c r="D107" s="20"/>
      <c r="E107" s="20"/>
      <c r="F107" s="20"/>
      <c r="G107" s="20"/>
      <c r="I107" s="20" t="s">
        <v>366</v>
      </c>
      <c r="J107" s="20"/>
      <c r="K107" s="20"/>
      <c r="L107" s="20"/>
      <c r="M107" s="20"/>
      <c r="N107" s="20"/>
      <c r="O107" s="20"/>
    </row>
    <row r="108">
      <c r="A108" s="23" t="s">
        <v>240</v>
      </c>
      <c r="D108" s="21" t="s">
        <v>241</v>
      </c>
      <c r="G108" s="24" t="s">
        <v>242</v>
      </c>
      <c r="I108" s="23" t="s">
        <v>240</v>
      </c>
      <c r="L108" s="21" t="s">
        <v>241</v>
      </c>
      <c r="O108" s="24" t="s">
        <v>242</v>
      </c>
    </row>
    <row r="109">
      <c r="A109" s="21" t="str">
        <f>CONCATENATE("Pool X.1 ",'Pool Matches'!O87)</f>
      </c>
      <c r="B109" s="21"/>
      <c r="C109" s="21"/>
      <c r="D109" s="21"/>
      <c r="E109" s="21"/>
      <c r="F109" s="21"/>
      <c r="G109" s="21" t="str">
        <f>CONCATENATE("Pool Y.2 ",'Pool Matches'!O99)</f>
      </c>
      <c r="I109" s="21" t="str">
        <f>CONCATENATE("Pool Z.1 ",'Pool Matches'!O109)</f>
      </c>
      <c r="J109" s="21"/>
      <c r="K109" s="21"/>
      <c r="L109" s="21"/>
      <c r="M109" s="21"/>
      <c r="N109" s="21"/>
      <c r="O109" s="21" t="str">
        <f>CONCATENATE("Pool AA.2 ",'Pool Matches'!O121)</f>
      </c>
    </row>
    <row r="111">
      <c r="F111" s="7" t="s">
        <v>338</v>
      </c>
      <c r="G111" s="22"/>
      <c r="N111" s="7" t="s">
        <v>338</v>
      </c>
      <c r="O111" s="22"/>
    </row>
    <row r="112">
      <c r="F112" s="7" t="s">
        <v>339</v>
      </c>
      <c r="G112" s="22"/>
      <c r="N112" s="7" t="s">
        <v>339</v>
      </c>
      <c r="O112" s="22"/>
    </row>
    <row r="115">
      <c r="A115" s="20" t="s">
        <v>367</v>
      </c>
      <c r="B115" s="20"/>
      <c r="C115" s="20"/>
      <c r="D115" s="20"/>
      <c r="E115" s="20"/>
      <c r="F115" s="20"/>
      <c r="G115" s="20"/>
      <c r="I115" s="20" t="s">
        <v>368</v>
      </c>
      <c r="J115" s="20"/>
      <c r="K115" s="20"/>
      <c r="L115" s="20"/>
      <c r="M115" s="20"/>
      <c r="N115" s="20"/>
      <c r="O115" s="20"/>
    </row>
    <row r="116">
      <c r="A116" s="23" t="s">
        <v>240</v>
      </c>
      <c r="D116" s="21" t="s">
        <v>241</v>
      </c>
      <c r="G116" s="24" t="s">
        <v>242</v>
      </c>
      <c r="I116" s="23" t="s">
        <v>240</v>
      </c>
      <c r="L116" s="21" t="s">
        <v>241</v>
      </c>
      <c r="O116" s="24" t="s">
        <v>242</v>
      </c>
    </row>
    <row r="117">
      <c r="A117" s="21" t="str">
        <f>CONCATENATE("Pool BB.1 ",'Pool Matches'!O131)</f>
      </c>
      <c r="B117" s="21"/>
      <c r="C117" s="21"/>
      <c r="D117" s="21"/>
      <c r="E117" s="21"/>
      <c r="F117" s="21"/>
      <c r="G117" s="21" t="str">
        <f>CONCATENATE("Pool CC.2 ",'Pool Matches'!O143)</f>
      </c>
      <c r="I117" s="21" t="str">
        <f>CONCATENATE("Pool DD.1 ",'Pool Matches'!O153)</f>
      </c>
      <c r="J117" s="21"/>
      <c r="K117" s="21"/>
      <c r="L117" s="21"/>
      <c r="M117" s="21"/>
      <c r="N117" s="21"/>
      <c r="O117" s="21" t="str">
        <f>CONCATENATE("Pool EE.2 ",'Pool Matches'!O165)</f>
      </c>
    </row>
    <row r="119">
      <c r="F119" s="7" t="s">
        <v>338</v>
      </c>
      <c r="G119" s="22"/>
      <c r="N119" s="7" t="s">
        <v>338</v>
      </c>
      <c r="O119" s="22"/>
    </row>
    <row r="120">
      <c r="F120" s="7" t="s">
        <v>339</v>
      </c>
      <c r="G120" s="22"/>
      <c r="N120" s="7" t="s">
        <v>339</v>
      </c>
      <c r="O120" s="22"/>
    </row>
    <row r="128">
      <c r="A128" s="20" t="s">
        <v>369</v>
      </c>
      <c r="B128" s="20"/>
      <c r="C128" s="20"/>
      <c r="D128" s="20"/>
      <c r="E128" s="20"/>
      <c r="F128" s="20"/>
      <c r="G128" s="20"/>
      <c r="H128" s="20"/>
      <c r="I128" s="20"/>
      <c r="J128" s="20"/>
      <c r="K128" s="20"/>
      <c r="L128" s="20"/>
      <c r="M128" s="20"/>
      <c r="N128" s="20"/>
      <c r="O128" s="20"/>
    </row>
    <row r="130">
      <c r="A130" s="20" t="s">
        <v>370</v>
      </c>
      <c r="B130" s="20"/>
      <c r="C130" s="20"/>
      <c r="D130" s="20"/>
      <c r="E130" s="20"/>
      <c r="F130" s="20"/>
      <c r="G130" s="20"/>
      <c r="I130" s="20" t="s">
        <v>371</v>
      </c>
      <c r="J130" s="20"/>
      <c r="K130" s="20"/>
      <c r="L130" s="20"/>
      <c r="M130" s="20"/>
      <c r="N130" s="20"/>
      <c r="O130" s="20"/>
    </row>
    <row r="131">
      <c r="A131" s="23" t="s">
        <v>240</v>
      </c>
      <c r="D131" s="21" t="s">
        <v>241</v>
      </c>
      <c r="G131" s="24" t="s">
        <v>242</v>
      </c>
      <c r="I131" s="23" t="s">
        <v>240</v>
      </c>
      <c r="L131" s="21" t="s">
        <v>241</v>
      </c>
      <c r="O131" s="24" t="s">
        <v>242</v>
      </c>
    </row>
    <row r="132">
      <c r="A132" s="21" t="str">
        <f>CONCATENATE("Pool A.1 ",'Pool Matches'!G10)</f>
      </c>
      <c r="B132" s="21"/>
      <c r="C132" s="21"/>
      <c r="D132" s="21"/>
      <c r="E132" s="21"/>
      <c r="F132" s="21"/>
      <c r="G132" s="21" t="str">
        <f>CONCATENATE("M 1 ",'Elimination Matches'!G7)</f>
      </c>
      <c r="I132" s="21" t="str">
        <f>CONCATENATE("M 2 ",'Elimination Matches'!O7)</f>
      </c>
      <c r="J132" s="21"/>
      <c r="K132" s="21"/>
      <c r="L132" s="21"/>
      <c r="M132" s="21"/>
      <c r="N132" s="21"/>
      <c r="O132" s="21" t="str">
        <f>CONCATENATE("M 3 ",'Elimination Matches'!G15)</f>
      </c>
    </row>
    <row r="134">
      <c r="F134" s="7" t="s">
        <v>338</v>
      </c>
      <c r="G134" s="22"/>
      <c r="N134" s="7" t="s">
        <v>338</v>
      </c>
      <c r="O134" s="22"/>
    </row>
    <row r="135">
      <c r="F135" s="7" t="s">
        <v>339</v>
      </c>
      <c r="G135" s="22"/>
      <c r="N135" s="7" t="s">
        <v>339</v>
      </c>
      <c r="O135" s="22"/>
    </row>
    <row r="138">
      <c r="A138" s="20" t="s">
        <v>372</v>
      </c>
      <c r="B138" s="20"/>
      <c r="C138" s="20"/>
      <c r="D138" s="20"/>
      <c r="E138" s="20"/>
      <c r="F138" s="20"/>
      <c r="G138" s="20"/>
      <c r="I138" s="20" t="s">
        <v>373</v>
      </c>
      <c r="J138" s="20"/>
      <c r="K138" s="20"/>
      <c r="L138" s="20"/>
      <c r="M138" s="20"/>
      <c r="N138" s="20"/>
      <c r="O138" s="20"/>
    </row>
    <row r="139">
      <c r="A139" s="23" t="s">
        <v>240</v>
      </c>
      <c r="D139" s="21" t="s">
        <v>241</v>
      </c>
      <c r="G139" s="24" t="s">
        <v>242</v>
      </c>
      <c r="I139" s="23" t="s">
        <v>240</v>
      </c>
      <c r="L139" s="21" t="s">
        <v>241</v>
      </c>
      <c r="O139" s="24" t="s">
        <v>242</v>
      </c>
    </row>
    <row r="140">
      <c r="A140" s="21" t="str">
        <f>CONCATENATE("M 4 ",'Elimination Matches'!O15)</f>
      </c>
      <c r="B140" s="21"/>
      <c r="C140" s="21"/>
      <c r="D140" s="21"/>
      <c r="E140" s="21"/>
      <c r="F140" s="21"/>
      <c r="G140" s="21" t="str">
        <f>CONCATENATE("M 5 ",'Elimination Matches'!G23)</f>
      </c>
      <c r="I140" s="21" t="str">
        <f>CONCATENATE("M 6 ",'Elimination Matches'!O23)</f>
      </c>
      <c r="J140" s="21"/>
      <c r="K140" s="21"/>
      <c r="L140" s="21"/>
      <c r="M140" s="21"/>
      <c r="N140" s="21"/>
      <c r="O140" s="21" t="str">
        <f>CONCATENATE("M 7 ",'Elimination Matches'!G31)</f>
      </c>
    </row>
    <row r="142">
      <c r="F142" s="7" t="s">
        <v>338</v>
      </c>
      <c r="G142" s="22"/>
      <c r="N142" s="7" t="s">
        <v>338</v>
      </c>
      <c r="O142" s="22"/>
    </row>
    <row r="143">
      <c r="F143" s="7" t="s">
        <v>339</v>
      </c>
      <c r="G143" s="22"/>
      <c r="N143" s="7" t="s">
        <v>339</v>
      </c>
      <c r="O143" s="22"/>
    </row>
    <row r="146">
      <c r="A146" s="20" t="s">
        <v>374</v>
      </c>
      <c r="B146" s="20"/>
      <c r="C146" s="20"/>
      <c r="D146" s="20"/>
      <c r="E146" s="20"/>
      <c r="F146" s="20"/>
      <c r="G146" s="20"/>
      <c r="I146" s="20" t="s">
        <v>375</v>
      </c>
      <c r="J146" s="20"/>
      <c r="K146" s="20"/>
      <c r="L146" s="20"/>
      <c r="M146" s="20"/>
      <c r="N146" s="20"/>
      <c r="O146" s="20"/>
    </row>
    <row r="147">
      <c r="A147" s="23" t="s">
        <v>240</v>
      </c>
      <c r="D147" s="21" t="s">
        <v>241</v>
      </c>
      <c r="G147" s="24" t="s">
        <v>242</v>
      </c>
      <c r="I147" s="23" t="s">
        <v>240</v>
      </c>
      <c r="L147" s="21" t="s">
        <v>241</v>
      </c>
      <c r="O147" s="24" t="s">
        <v>242</v>
      </c>
    </row>
    <row r="148">
      <c r="A148" s="21" t="str">
        <f>CONCATENATE("M 8 ",'Elimination Matches'!O31)</f>
      </c>
      <c r="B148" s="21"/>
      <c r="C148" s="21"/>
      <c r="D148" s="21"/>
      <c r="E148" s="21"/>
      <c r="F148" s="21"/>
      <c r="G148" s="21" t="str">
        <f>CONCATENATE("M 9 ",'Elimination Matches'!G39)</f>
      </c>
      <c r="I148" s="21" t="str">
        <f>CONCATENATE("M 10 ",'Elimination Matches'!O39)</f>
      </c>
      <c r="J148" s="21"/>
      <c r="K148" s="21"/>
      <c r="L148" s="21"/>
      <c r="M148" s="21"/>
      <c r="N148" s="21"/>
      <c r="O148" s="21" t="str">
        <f>CONCATENATE("M 11 ",'Elimination Matches'!G47)</f>
      </c>
    </row>
    <row r="150">
      <c r="F150" s="7" t="s">
        <v>338</v>
      </c>
      <c r="G150" s="22"/>
      <c r="N150" s="7" t="s">
        <v>338</v>
      </c>
      <c r="O150" s="22"/>
    </row>
    <row r="151">
      <c r="F151" s="7" t="s">
        <v>339</v>
      </c>
      <c r="G151" s="22"/>
      <c r="N151" s="7" t="s">
        <v>339</v>
      </c>
      <c r="O151" s="22"/>
    </row>
    <row r="154">
      <c r="A154" s="20" t="s">
        <v>376</v>
      </c>
      <c r="B154" s="20"/>
      <c r="C154" s="20"/>
      <c r="D154" s="20"/>
      <c r="E154" s="20"/>
      <c r="F154" s="20"/>
      <c r="G154" s="20"/>
      <c r="I154" s="20" t="s">
        <v>377</v>
      </c>
      <c r="J154" s="20"/>
      <c r="K154" s="20"/>
      <c r="L154" s="20"/>
      <c r="M154" s="20"/>
      <c r="N154" s="20"/>
      <c r="O154" s="20"/>
    </row>
    <row r="155">
      <c r="A155" s="23" t="s">
        <v>240</v>
      </c>
      <c r="D155" s="21" t="s">
        <v>241</v>
      </c>
      <c r="G155" s="24" t="s">
        <v>242</v>
      </c>
      <c r="I155" s="23" t="s">
        <v>240</v>
      </c>
      <c r="L155" s="21" t="s">
        <v>241</v>
      </c>
      <c r="O155" s="24" t="s">
        <v>242</v>
      </c>
    </row>
    <row r="156">
      <c r="A156" s="21" t="str">
        <f>CONCATENATE("M 12 ",'Elimination Matches'!O47)</f>
      </c>
      <c r="B156" s="21"/>
      <c r="C156" s="21"/>
      <c r="D156" s="21"/>
      <c r="E156" s="21"/>
      <c r="F156" s="21"/>
      <c r="G156" s="21" t="str">
        <f>CONCATENATE("M 13 ",'Elimination Matches'!G55)</f>
      </c>
      <c r="I156" s="21" t="str">
        <f>CONCATENATE("M 14 ",'Elimination Matches'!O55)</f>
      </c>
      <c r="J156" s="21"/>
      <c r="K156" s="21"/>
      <c r="L156" s="21"/>
      <c r="M156" s="21"/>
      <c r="N156" s="21"/>
      <c r="O156" s="21" t="str">
        <f>CONCATENATE("M 15 ",'Elimination Matches'!G63)</f>
      </c>
    </row>
    <row r="158">
      <c r="F158" s="7" t="s">
        <v>338</v>
      </c>
      <c r="G158" s="22"/>
      <c r="N158" s="7" t="s">
        <v>338</v>
      </c>
      <c r="O158" s="22"/>
    </row>
    <row r="159">
      <c r="F159" s="7" t="s">
        <v>339</v>
      </c>
      <c r="G159" s="22"/>
      <c r="N159" s="7" t="s">
        <v>339</v>
      </c>
      <c r="O159" s="22"/>
    </row>
    <row r="162">
      <c r="A162" s="20" t="s">
        <v>378</v>
      </c>
      <c r="B162" s="20"/>
      <c r="C162" s="20"/>
      <c r="D162" s="20"/>
      <c r="E162" s="20"/>
      <c r="F162" s="20"/>
      <c r="G162" s="20"/>
      <c r="I162" s="20" t="s">
        <v>379</v>
      </c>
      <c r="J162" s="20"/>
      <c r="K162" s="20"/>
      <c r="L162" s="20"/>
      <c r="M162" s="20"/>
      <c r="N162" s="20"/>
      <c r="O162" s="20"/>
    </row>
    <row r="163">
      <c r="A163" s="23" t="s">
        <v>240</v>
      </c>
      <c r="D163" s="21" t="s">
        <v>241</v>
      </c>
      <c r="G163" s="24" t="s">
        <v>242</v>
      </c>
      <c r="I163" s="23" t="s">
        <v>240</v>
      </c>
      <c r="L163" s="21" t="s">
        <v>241</v>
      </c>
      <c r="O163" s="24" t="s">
        <v>242</v>
      </c>
    </row>
    <row r="164">
      <c r="A164" s="21" t="str">
        <f>CONCATENATE("Pool B.1 ",'Pool Matches'!G21)</f>
      </c>
      <c r="B164" s="21"/>
      <c r="C164" s="21"/>
      <c r="D164" s="21"/>
      <c r="E164" s="21"/>
      <c r="F164" s="21"/>
      <c r="G164" s="21" t="str">
        <f>CONCATENATE("M 16 ",'Elimination Matches'!O63)</f>
      </c>
      <c r="I164" s="21" t="str">
        <f>CONCATENATE("M 17 ",'Elimination Matches'!G71)</f>
      </c>
      <c r="J164" s="21"/>
      <c r="K164" s="21"/>
      <c r="L164" s="21"/>
      <c r="M164" s="21"/>
      <c r="N164" s="21"/>
      <c r="O164" s="21" t="str">
        <f>CONCATENATE("M 18 ",'Elimination Matches'!O71)</f>
      </c>
    </row>
    <row r="166">
      <c r="F166" s="7" t="s">
        <v>338</v>
      </c>
      <c r="G166" s="22"/>
      <c r="N166" s="7" t="s">
        <v>338</v>
      </c>
      <c r="O166" s="22"/>
    </row>
    <row r="167">
      <c r="F167" s="7" t="s">
        <v>339</v>
      </c>
      <c r="G167" s="22"/>
      <c r="N167" s="7" t="s">
        <v>339</v>
      </c>
      <c r="O167" s="22"/>
    </row>
    <row r="170">
      <c r="A170" s="20" t="s">
        <v>380</v>
      </c>
      <c r="B170" s="20"/>
      <c r="C170" s="20"/>
      <c r="D170" s="20"/>
      <c r="E170" s="20"/>
      <c r="F170" s="20"/>
      <c r="G170" s="20"/>
      <c r="I170" s="20" t="s">
        <v>381</v>
      </c>
      <c r="J170" s="20"/>
      <c r="K170" s="20"/>
      <c r="L170" s="20"/>
      <c r="M170" s="20"/>
      <c r="N170" s="20"/>
      <c r="O170" s="20"/>
    </row>
    <row r="171">
      <c r="A171" s="23" t="s">
        <v>240</v>
      </c>
      <c r="D171" s="21" t="s">
        <v>241</v>
      </c>
      <c r="G171" s="24" t="s">
        <v>242</v>
      </c>
      <c r="I171" s="23" t="s">
        <v>240</v>
      </c>
      <c r="L171" s="21" t="s">
        <v>241</v>
      </c>
      <c r="O171" s="24" t="s">
        <v>242</v>
      </c>
    </row>
    <row r="172">
      <c r="A172" s="21" t="str">
        <f>CONCATENATE("M 19 ",'Elimination Matches'!G79)</f>
      </c>
      <c r="B172" s="21"/>
      <c r="C172" s="21"/>
      <c r="D172" s="21"/>
      <c r="E172" s="21"/>
      <c r="F172" s="21"/>
      <c r="G172" s="21" t="str">
        <f>CONCATENATE("M 20 ",'Elimination Matches'!O79)</f>
      </c>
      <c r="I172" s="21" t="str">
        <f>CONCATENATE("M 21 ",'Elimination Matches'!G87)</f>
      </c>
      <c r="J172" s="21"/>
      <c r="K172" s="21"/>
      <c r="L172" s="21"/>
      <c r="M172" s="21"/>
      <c r="N172" s="21"/>
      <c r="O172" s="21" t="str">
        <f>CONCATENATE("M 22 ",'Elimination Matches'!O87)</f>
      </c>
    </row>
    <row r="174">
      <c r="F174" s="7" t="s">
        <v>338</v>
      </c>
      <c r="G174" s="22"/>
      <c r="N174" s="7" t="s">
        <v>338</v>
      </c>
      <c r="O174" s="22"/>
    </row>
    <row r="175">
      <c r="F175" s="7" t="s">
        <v>339</v>
      </c>
      <c r="G175" s="22"/>
      <c r="N175" s="7" t="s">
        <v>339</v>
      </c>
      <c r="O175" s="22"/>
    </row>
    <row r="178">
      <c r="A178" s="20" t="s">
        <v>382</v>
      </c>
      <c r="B178" s="20"/>
      <c r="C178" s="20"/>
      <c r="D178" s="20"/>
      <c r="E178" s="20"/>
      <c r="F178" s="20"/>
      <c r="G178" s="20"/>
      <c r="I178" s="20" t="s">
        <v>383</v>
      </c>
      <c r="J178" s="20"/>
      <c r="K178" s="20"/>
      <c r="L178" s="20"/>
      <c r="M178" s="20"/>
      <c r="N178" s="20"/>
      <c r="O178" s="20"/>
    </row>
    <row r="179">
      <c r="A179" s="23" t="s">
        <v>240</v>
      </c>
      <c r="D179" s="21" t="s">
        <v>241</v>
      </c>
      <c r="G179" s="24" t="s">
        <v>242</v>
      </c>
      <c r="I179" s="23" t="s">
        <v>240</v>
      </c>
      <c r="L179" s="21" t="s">
        <v>241</v>
      </c>
      <c r="O179" s="24" t="s">
        <v>242</v>
      </c>
    </row>
    <row r="180">
      <c r="A180" s="21" t="str">
        <f>CONCATENATE("M 23 ",'Elimination Matches'!G95)</f>
      </c>
      <c r="B180" s="21"/>
      <c r="C180" s="21"/>
      <c r="D180" s="21"/>
      <c r="E180" s="21"/>
      <c r="F180" s="21"/>
      <c r="G180" s="21" t="str">
        <f>CONCATENATE("M 24 ",'Elimination Matches'!O95)</f>
      </c>
      <c r="I180" s="21" t="str">
        <f>CONCATENATE("M 25 ",'Elimination Matches'!G103)</f>
      </c>
      <c r="J180" s="21"/>
      <c r="K180" s="21"/>
      <c r="L180" s="21"/>
      <c r="M180" s="21"/>
      <c r="N180" s="21"/>
      <c r="O180" s="21" t="str">
        <f>CONCATENATE("M 26 ",'Elimination Matches'!O103)</f>
      </c>
    </row>
    <row r="182">
      <c r="F182" s="7" t="s">
        <v>338</v>
      </c>
      <c r="G182" s="22"/>
      <c r="N182" s="7" t="s">
        <v>338</v>
      </c>
      <c r="O182" s="22"/>
    </row>
    <row r="183">
      <c r="F183" s="7" t="s">
        <v>339</v>
      </c>
      <c r="G183" s="22"/>
      <c r="N183" s="7" t="s">
        <v>339</v>
      </c>
      <c r="O183" s="22"/>
    </row>
    <row r="186">
      <c r="A186" s="20" t="s">
        <v>384</v>
      </c>
      <c r="B186" s="20"/>
      <c r="C186" s="20"/>
      <c r="D186" s="20"/>
      <c r="E186" s="20"/>
      <c r="F186" s="20"/>
      <c r="G186" s="20"/>
      <c r="I186" s="20" t="s">
        <v>385</v>
      </c>
      <c r="J186" s="20"/>
      <c r="K186" s="20"/>
      <c r="L186" s="20"/>
      <c r="M186" s="20"/>
      <c r="N186" s="20"/>
      <c r="O186" s="20"/>
    </row>
    <row r="187">
      <c r="A187" s="23" t="s">
        <v>240</v>
      </c>
      <c r="D187" s="21" t="s">
        <v>241</v>
      </c>
      <c r="G187" s="24" t="s">
        <v>242</v>
      </c>
      <c r="I187" s="23" t="s">
        <v>240</v>
      </c>
      <c r="L187" s="21" t="s">
        <v>241</v>
      </c>
      <c r="O187" s="24" t="s">
        <v>242</v>
      </c>
    </row>
    <row r="188">
      <c r="A188" s="21" t="str">
        <f>CONCATENATE("M 27 ",'Elimination Matches'!G111)</f>
      </c>
      <c r="B188" s="21"/>
      <c r="C188" s="21"/>
      <c r="D188" s="21"/>
      <c r="E188" s="21"/>
      <c r="F188" s="21"/>
      <c r="G188" s="21" t="str">
        <f>CONCATENATE("M 28 ",'Elimination Matches'!O111)</f>
      </c>
      <c r="I188" s="21" t="str">
        <f>CONCATENATE("M 29 ",'Elimination Matches'!G119)</f>
      </c>
      <c r="J188" s="21"/>
      <c r="K188" s="21"/>
      <c r="L188" s="21"/>
      <c r="M188" s="21"/>
      <c r="N188" s="21"/>
      <c r="O188" s="21" t="str">
        <f>CONCATENATE("M 30 ",'Elimination Matches'!O119)</f>
      </c>
    </row>
    <row r="190">
      <c r="F190" s="7" t="s">
        <v>338</v>
      </c>
      <c r="G190" s="22"/>
      <c r="N190" s="7" t="s">
        <v>338</v>
      </c>
      <c r="O190" s="22"/>
    </row>
    <row r="191">
      <c r="F191" s="7" t="s">
        <v>339</v>
      </c>
      <c r="G191" s="22"/>
      <c r="N191" s="7" t="s">
        <v>339</v>
      </c>
      <c r="O191" s="22"/>
    </row>
    <row r="199">
      <c r="A199" s="20" t="s">
        <v>386</v>
      </c>
      <c r="B199" s="20"/>
      <c r="C199" s="20"/>
      <c r="D199" s="20"/>
      <c r="E199" s="20"/>
      <c r="F199" s="20"/>
      <c r="G199" s="20"/>
      <c r="H199" s="20"/>
      <c r="I199" s="20"/>
      <c r="J199" s="20"/>
      <c r="K199" s="20"/>
      <c r="L199" s="20"/>
      <c r="M199" s="20"/>
      <c r="N199" s="20"/>
      <c r="O199" s="20"/>
    </row>
    <row r="201">
      <c r="A201" s="20" t="s">
        <v>387</v>
      </c>
      <c r="B201" s="20"/>
      <c r="C201" s="20"/>
      <c r="D201" s="20"/>
      <c r="E201" s="20"/>
      <c r="F201" s="20"/>
      <c r="G201" s="20"/>
      <c r="I201" s="20" t="s">
        <v>388</v>
      </c>
      <c r="J201" s="20"/>
      <c r="K201" s="20"/>
      <c r="L201" s="20"/>
      <c r="M201" s="20"/>
      <c r="N201" s="20"/>
      <c r="O201" s="20"/>
    </row>
    <row r="202">
      <c r="A202" s="23" t="s">
        <v>240</v>
      </c>
      <c r="D202" s="21" t="s">
        <v>241</v>
      </c>
      <c r="G202" s="24" t="s">
        <v>242</v>
      </c>
      <c r="I202" s="23" t="s">
        <v>240</v>
      </c>
      <c r="L202" s="21" t="s">
        <v>241</v>
      </c>
      <c r="O202" s="24" t="s">
        <v>242</v>
      </c>
    </row>
    <row r="203">
      <c r="A203" s="21" t="str">
        <f>CONCATENATE("M 31 ",'Elimination Matches'!G134)</f>
      </c>
      <c r="B203" s="21"/>
      <c r="C203" s="21"/>
      <c r="D203" s="21"/>
      <c r="E203" s="21"/>
      <c r="F203" s="21"/>
      <c r="G203" s="21" t="str">
        <f>CONCATENATE("M 32 ",'Elimination Matches'!O134)</f>
      </c>
      <c r="I203" s="21" t="str">
        <f>CONCATENATE("M 33 ",'Elimination Matches'!G142)</f>
      </c>
      <c r="J203" s="21"/>
      <c r="K203" s="21"/>
      <c r="L203" s="21"/>
      <c r="M203" s="21"/>
      <c r="N203" s="21"/>
      <c r="O203" s="21" t="str">
        <f>CONCATENATE("M 34 ",'Elimination Matches'!O142)</f>
      </c>
    </row>
    <row r="205">
      <c r="F205" s="7" t="s">
        <v>338</v>
      </c>
      <c r="G205" s="22"/>
      <c r="N205" s="7" t="s">
        <v>338</v>
      </c>
      <c r="O205" s="22"/>
    </row>
    <row r="206">
      <c r="F206" s="7" t="s">
        <v>339</v>
      </c>
      <c r="G206" s="22"/>
      <c r="N206" s="7" t="s">
        <v>339</v>
      </c>
      <c r="O206" s="22"/>
    </row>
    <row r="209">
      <c r="A209" s="20" t="s">
        <v>389</v>
      </c>
      <c r="B209" s="20"/>
      <c r="C209" s="20"/>
      <c r="D209" s="20"/>
      <c r="E209" s="20"/>
      <c r="F209" s="20"/>
      <c r="G209" s="20"/>
      <c r="I209" s="20" t="s">
        <v>390</v>
      </c>
      <c r="J209" s="20"/>
      <c r="K209" s="20"/>
      <c r="L209" s="20"/>
      <c r="M209" s="20"/>
      <c r="N209" s="20"/>
      <c r="O209" s="20"/>
    </row>
    <row r="210">
      <c r="A210" s="23" t="s">
        <v>240</v>
      </c>
      <c r="D210" s="21" t="s">
        <v>241</v>
      </c>
      <c r="G210" s="24" t="s">
        <v>242</v>
      </c>
      <c r="I210" s="23" t="s">
        <v>240</v>
      </c>
      <c r="L210" s="21" t="s">
        <v>241</v>
      </c>
      <c r="O210" s="24" t="s">
        <v>242</v>
      </c>
    </row>
    <row r="211">
      <c r="A211" s="21" t="str">
        <f>CONCATENATE("M 35 ",'Elimination Matches'!G150)</f>
      </c>
      <c r="B211" s="21"/>
      <c r="C211" s="21"/>
      <c r="D211" s="21"/>
      <c r="E211" s="21"/>
      <c r="F211" s="21"/>
      <c r="G211" s="21" t="str">
        <f>CONCATENATE("M 36 ",'Elimination Matches'!O150)</f>
      </c>
      <c r="I211" s="21" t="str">
        <f>CONCATENATE("M 37 ",'Elimination Matches'!G158)</f>
      </c>
      <c r="J211" s="21"/>
      <c r="K211" s="21"/>
      <c r="L211" s="21"/>
      <c r="M211" s="21"/>
      <c r="N211" s="21"/>
      <c r="O211" s="21" t="str">
        <f>CONCATENATE("M 38 ",'Elimination Matches'!O158)</f>
      </c>
    </row>
    <row r="213">
      <c r="F213" s="7" t="s">
        <v>338</v>
      </c>
      <c r="G213" s="22"/>
      <c r="N213" s="7" t="s">
        <v>338</v>
      </c>
      <c r="O213" s="22"/>
    </row>
    <row r="214">
      <c r="F214" s="7" t="s">
        <v>339</v>
      </c>
      <c r="G214" s="22"/>
      <c r="N214" s="7" t="s">
        <v>339</v>
      </c>
      <c r="O214" s="22"/>
    </row>
    <row r="217">
      <c r="A217" s="20" t="s">
        <v>391</v>
      </c>
      <c r="B217" s="20"/>
      <c r="C217" s="20"/>
      <c r="D217" s="20"/>
      <c r="E217" s="20"/>
      <c r="F217" s="20"/>
      <c r="G217" s="20"/>
      <c r="I217" s="20" t="s">
        <v>392</v>
      </c>
      <c r="J217" s="20"/>
      <c r="K217" s="20"/>
      <c r="L217" s="20"/>
      <c r="M217" s="20"/>
      <c r="N217" s="20"/>
      <c r="O217" s="20"/>
    </row>
    <row r="218">
      <c r="A218" s="23" t="s">
        <v>240</v>
      </c>
      <c r="D218" s="21" t="s">
        <v>241</v>
      </c>
      <c r="G218" s="24" t="s">
        <v>242</v>
      </c>
      <c r="I218" s="23" t="s">
        <v>240</v>
      </c>
      <c r="L218" s="21" t="s">
        <v>241</v>
      </c>
      <c r="O218" s="24" t="s">
        <v>242</v>
      </c>
    </row>
    <row r="219">
      <c r="A219" s="21" t="str">
        <f>CONCATENATE("M 39 ",'Elimination Matches'!G166)</f>
      </c>
      <c r="B219" s="21"/>
      <c r="C219" s="21"/>
      <c r="D219" s="21"/>
      <c r="E219" s="21"/>
      <c r="F219" s="21"/>
      <c r="G219" s="21" t="str">
        <f>CONCATENATE("M 40 ",'Elimination Matches'!O166)</f>
      </c>
      <c r="I219" s="21" t="str">
        <f>CONCATENATE("M 41 ",'Elimination Matches'!G174)</f>
      </c>
      <c r="J219" s="21"/>
      <c r="K219" s="21"/>
      <c r="L219" s="21"/>
      <c r="M219" s="21"/>
      <c r="N219" s="21"/>
      <c r="O219" s="21" t="str">
        <f>CONCATENATE("M 42 ",'Elimination Matches'!O174)</f>
      </c>
    </row>
    <row r="221">
      <c r="F221" s="7" t="s">
        <v>338</v>
      </c>
      <c r="G221" s="22"/>
      <c r="N221" s="7" t="s">
        <v>338</v>
      </c>
      <c r="O221" s="22"/>
    </row>
    <row r="222">
      <c r="F222" s="7" t="s">
        <v>339</v>
      </c>
      <c r="G222" s="22"/>
      <c r="N222" s="7" t="s">
        <v>339</v>
      </c>
      <c r="O222" s="22"/>
    </row>
    <row r="225">
      <c r="A225" s="20" t="s">
        <v>393</v>
      </c>
      <c r="B225" s="20"/>
      <c r="C225" s="20"/>
      <c r="D225" s="20"/>
      <c r="E225" s="20"/>
      <c r="F225" s="20"/>
      <c r="G225" s="20"/>
      <c r="I225" s="20" t="s">
        <v>394</v>
      </c>
      <c r="J225" s="20"/>
      <c r="K225" s="20"/>
      <c r="L225" s="20"/>
      <c r="M225" s="20"/>
      <c r="N225" s="20"/>
      <c r="O225" s="20"/>
    </row>
    <row r="226">
      <c r="A226" s="23" t="s">
        <v>240</v>
      </c>
      <c r="D226" s="21" t="s">
        <v>241</v>
      </c>
      <c r="G226" s="24" t="s">
        <v>242</v>
      </c>
      <c r="I226" s="23" t="s">
        <v>240</v>
      </c>
      <c r="L226" s="21" t="s">
        <v>241</v>
      </c>
      <c r="O226" s="24" t="s">
        <v>242</v>
      </c>
    </row>
    <row r="227">
      <c r="A227" s="21" t="str">
        <f>CONCATENATE("M 43 ",'Elimination Matches'!G182)</f>
      </c>
      <c r="B227" s="21"/>
      <c r="C227" s="21"/>
      <c r="D227" s="21"/>
      <c r="E227" s="21"/>
      <c r="F227" s="21"/>
      <c r="G227" s="21" t="str">
        <f>CONCATENATE("M 44 ",'Elimination Matches'!O182)</f>
      </c>
      <c r="I227" s="21" t="str">
        <f>CONCATENATE("M 45 ",'Elimination Matches'!G190)</f>
      </c>
      <c r="J227" s="21"/>
      <c r="K227" s="21"/>
      <c r="L227" s="21"/>
      <c r="M227" s="21"/>
      <c r="N227" s="21"/>
      <c r="O227" s="21" t="str">
        <f>CONCATENATE("M 46 ",'Elimination Matches'!O190)</f>
      </c>
    </row>
    <row r="229">
      <c r="F229" s="7" t="s">
        <v>338</v>
      </c>
      <c r="G229" s="22"/>
      <c r="N229" s="7" t="s">
        <v>338</v>
      </c>
      <c r="O229" s="22"/>
    </row>
    <row r="230">
      <c r="F230" s="7" t="s">
        <v>339</v>
      </c>
      <c r="G230" s="22"/>
      <c r="N230" s="7" t="s">
        <v>339</v>
      </c>
      <c r="O230" s="22"/>
    </row>
    <row r="238">
      <c r="A238" s="20" t="s">
        <v>395</v>
      </c>
      <c r="B238" s="20"/>
      <c r="C238" s="20"/>
      <c r="D238" s="20"/>
      <c r="E238" s="20"/>
      <c r="F238" s="20"/>
      <c r="G238" s="20"/>
      <c r="H238" s="20"/>
      <c r="I238" s="20"/>
      <c r="J238" s="20"/>
      <c r="K238" s="20"/>
      <c r="L238" s="20"/>
      <c r="M238" s="20"/>
      <c r="N238" s="20"/>
      <c r="O238" s="20"/>
    </row>
    <row r="240">
      <c r="A240" s="20" t="s">
        <v>396</v>
      </c>
      <c r="B240" s="20"/>
      <c r="C240" s="20"/>
      <c r="D240" s="20"/>
      <c r="E240" s="20"/>
      <c r="F240" s="20"/>
      <c r="G240" s="20"/>
      <c r="I240" s="20" t="s">
        <v>397</v>
      </c>
      <c r="J240" s="20"/>
      <c r="K240" s="20"/>
      <c r="L240" s="20"/>
      <c r="M240" s="20"/>
      <c r="N240" s="20"/>
      <c r="O240" s="20"/>
    </row>
    <row r="241">
      <c r="A241" s="23" t="s">
        <v>240</v>
      </c>
      <c r="D241" s="21" t="s">
        <v>241</v>
      </c>
      <c r="G241" s="24" t="s">
        <v>242</v>
      </c>
      <c r="I241" s="23" t="s">
        <v>240</v>
      </c>
      <c r="L241" s="21" t="s">
        <v>241</v>
      </c>
      <c r="O241" s="24" t="s">
        <v>242</v>
      </c>
    </row>
    <row r="242">
      <c r="A242" s="21" t="str">
        <f>CONCATENATE("M 47 ",'Elimination Matches'!G205)</f>
      </c>
      <c r="B242" s="21"/>
      <c r="C242" s="21"/>
      <c r="D242" s="21"/>
      <c r="E242" s="21"/>
      <c r="F242" s="21"/>
      <c r="G242" s="21" t="str">
        <f>CONCATENATE("M 48 ",'Elimination Matches'!O205)</f>
      </c>
      <c r="I242" s="21" t="str">
        <f>CONCATENATE("M 49 ",'Elimination Matches'!G213)</f>
      </c>
      <c r="J242" s="21"/>
      <c r="K242" s="21"/>
      <c r="L242" s="21"/>
      <c r="M242" s="21"/>
      <c r="N242" s="21"/>
      <c r="O242" s="21" t="str">
        <f>CONCATENATE("M 50 ",'Elimination Matches'!O213)</f>
      </c>
    </row>
    <row r="244">
      <c r="F244" s="7" t="s">
        <v>338</v>
      </c>
      <c r="G244" s="22"/>
      <c r="N244" s="7" t="s">
        <v>338</v>
      </c>
      <c r="O244" s="22"/>
    </row>
    <row r="245">
      <c r="F245" s="7" t="s">
        <v>339</v>
      </c>
      <c r="G245" s="22"/>
      <c r="N245" s="7" t="s">
        <v>339</v>
      </c>
      <c r="O245" s="22"/>
    </row>
    <row r="248">
      <c r="A248" s="20" t="s">
        <v>398</v>
      </c>
      <c r="B248" s="20"/>
      <c r="C248" s="20"/>
      <c r="D248" s="20"/>
      <c r="E248" s="20"/>
      <c r="F248" s="20"/>
      <c r="G248" s="20"/>
      <c r="I248" s="20" t="s">
        <v>399</v>
      </c>
      <c r="J248" s="20"/>
      <c r="K248" s="20"/>
      <c r="L248" s="20"/>
      <c r="M248" s="20"/>
      <c r="N248" s="20"/>
      <c r="O248" s="20"/>
    </row>
    <row r="249">
      <c r="A249" s="23" t="s">
        <v>240</v>
      </c>
      <c r="D249" s="21" t="s">
        <v>241</v>
      </c>
      <c r="G249" s="24" t="s">
        <v>242</v>
      </c>
      <c r="I249" s="23" t="s">
        <v>240</v>
      </c>
      <c r="L249" s="21" t="s">
        <v>241</v>
      </c>
      <c r="O249" s="24" t="s">
        <v>242</v>
      </c>
    </row>
    <row r="250">
      <c r="A250" s="21" t="str">
        <f>CONCATENATE("M 51 ",'Elimination Matches'!G221)</f>
      </c>
      <c r="B250" s="21"/>
      <c r="C250" s="21"/>
      <c r="D250" s="21"/>
      <c r="E250" s="21"/>
      <c r="F250" s="21"/>
      <c r="G250" s="21" t="str">
        <f>CONCATENATE("M 52 ",'Elimination Matches'!O221)</f>
      </c>
      <c r="I250" s="21" t="str">
        <f>CONCATENATE("M 53 ",'Elimination Matches'!G229)</f>
      </c>
      <c r="J250" s="21"/>
      <c r="K250" s="21"/>
      <c r="L250" s="21"/>
      <c r="M250" s="21"/>
      <c r="N250" s="21"/>
      <c r="O250" s="21" t="str">
        <f>CONCATENATE("M 54 ",'Elimination Matches'!O229)</f>
      </c>
    </row>
    <row r="252">
      <c r="F252" s="7" t="s">
        <v>338</v>
      </c>
      <c r="G252" s="22"/>
      <c r="N252" s="7" t="s">
        <v>338</v>
      </c>
      <c r="O252" s="22"/>
    </row>
    <row r="253">
      <c r="F253" s="7" t="s">
        <v>339</v>
      </c>
      <c r="G253" s="22"/>
      <c r="N253" s="7" t="s">
        <v>339</v>
      </c>
      <c r="O253" s="22"/>
    </row>
    <row r="261">
      <c r="A261" s="20" t="s">
        <v>400</v>
      </c>
      <c r="B261" s="20"/>
      <c r="C261" s="20"/>
      <c r="D261" s="20"/>
      <c r="E261" s="20"/>
      <c r="F261" s="20"/>
      <c r="G261" s="20"/>
      <c r="H261" s="20"/>
      <c r="I261" s="20"/>
      <c r="J261" s="20"/>
      <c r="K261" s="20"/>
      <c r="L261" s="20"/>
      <c r="M261" s="20"/>
      <c r="N261" s="20"/>
      <c r="O261" s="20"/>
    </row>
    <row r="263">
      <c r="A263" s="20" t="s">
        <v>401</v>
      </c>
      <c r="B263" s="20"/>
      <c r="C263" s="20"/>
      <c r="D263" s="20"/>
      <c r="E263" s="20"/>
      <c r="F263" s="20"/>
      <c r="G263" s="20"/>
      <c r="I263" s="20" t="s">
        <v>401</v>
      </c>
      <c r="J263" s="20"/>
      <c r="K263" s="20"/>
      <c r="L263" s="20"/>
      <c r="M263" s="20"/>
      <c r="N263" s="20"/>
      <c r="O263" s="20"/>
    </row>
    <row r="264">
      <c r="A264" s="23" t="s">
        <v>240</v>
      </c>
      <c r="D264" s="21" t="s">
        <v>241</v>
      </c>
      <c r="G264" s="24" t="s">
        <v>242</v>
      </c>
      <c r="I264" s="23" t="s">
        <v>240</v>
      </c>
      <c r="L264" s="21" t="s">
        <v>241</v>
      </c>
      <c r="O264" s="24" t="s">
        <v>242</v>
      </c>
    </row>
    <row r="265">
      <c r="A265" s="21" t="str">
        <f>CONCATENATE("M 55 ",'Elimination Matches'!G244)</f>
      </c>
      <c r="B265" s="21"/>
      <c r="C265" s="21"/>
      <c r="D265" s="21"/>
      <c r="E265" s="21"/>
      <c r="F265" s="21"/>
      <c r="G265" s="21" t="str">
        <f>CONCATENATE("M 56 ",'Elimination Matches'!O244)</f>
      </c>
      <c r="I265" s="21" t="str">
        <f>CONCATENATE("M 57 ",'Elimination Matches'!G252)</f>
      </c>
      <c r="J265" s="21"/>
      <c r="K265" s="21"/>
      <c r="L265" s="21"/>
      <c r="M265" s="21"/>
      <c r="N265" s="21"/>
      <c r="O265" s="21" t="str">
        <f>CONCATENATE("M 58 ",'Elimination Matches'!O252)</f>
      </c>
    </row>
    <row r="267">
      <c r="F267" s="7" t="s">
        <v>338</v>
      </c>
      <c r="G267" s="22"/>
      <c r="N267" s="7" t="s">
        <v>338</v>
      </c>
      <c r="O267" s="22"/>
    </row>
    <row r="268">
      <c r="F268" s="7" t="s">
        <v>339</v>
      </c>
      <c r="G268" s="22"/>
      <c r="N268" s="7" t="s">
        <v>339</v>
      </c>
      <c r="O268" s="22"/>
    </row>
    <row r="276">
      <c r="A276" s="20" t="s">
        <v>402</v>
      </c>
      <c r="B276" s="20"/>
      <c r="C276" s="20"/>
      <c r="D276" s="20"/>
      <c r="E276" s="20"/>
      <c r="F276" s="20"/>
      <c r="G276" s="20"/>
      <c r="H276" s="20"/>
      <c r="I276" s="20"/>
      <c r="J276" s="20"/>
      <c r="K276" s="20"/>
      <c r="L276" s="20"/>
      <c r="M276" s="20"/>
      <c r="N276" s="20"/>
      <c r="O276" s="20"/>
    </row>
    <row r="278">
      <c r="A278" s="20" t="s">
        <v>401</v>
      </c>
      <c r="B278" s="20"/>
      <c r="C278" s="20"/>
      <c r="D278" s="20"/>
      <c r="E278" s="20"/>
      <c r="F278" s="20"/>
      <c r="G278" s="20"/>
    </row>
    <row r="279">
      <c r="A279" s="23" t="s">
        <v>240</v>
      </c>
      <c r="D279" s="21" t="s">
        <v>241</v>
      </c>
      <c r="G279" s="24" t="s">
        <v>242</v>
      </c>
    </row>
    <row r="280">
      <c r="A280" s="21" t="str">
        <f>CONCATENATE("M 0 ",'Elimination Matches'!O267)</f>
      </c>
      <c r="B280" s="21"/>
      <c r="C280" s="21"/>
      <c r="D280" s="21"/>
      <c r="E280" s="21"/>
      <c r="F280" s="21"/>
      <c r="G280" s="21" t="str">
        <f>CONCATENATE("M 0 ",'Elimination Matches'!O267)</f>
      </c>
    </row>
    <row r="282">
      <c r="F282" s="7" t="s">
        <v>338</v>
      </c>
      <c r="G282" s="22"/>
    </row>
    <row r="283">
      <c r="F283" s="7" t="s">
        <v>339</v>
      </c>
      <c r="G283" s="22"/>
    </row>
  </sheetData>
  <mergeCells count="67">
    <mergeCell ref="A1:O1"/>
    <mergeCell ref="A3:G3"/>
    <mergeCell ref="I3:O3"/>
    <mergeCell ref="A11:G11"/>
    <mergeCell ref="I11:O11"/>
    <mergeCell ref="A19:G19"/>
    <mergeCell ref="I19:O19"/>
    <mergeCell ref="A27:G27"/>
    <mergeCell ref="I27:O27"/>
    <mergeCell ref="A35:G35"/>
    <mergeCell ref="I35:O35"/>
    <mergeCell ref="A43:G43"/>
    <mergeCell ref="I43:O43"/>
    <mergeCell ref="A51:G51"/>
    <mergeCell ref="I51:O51"/>
    <mergeCell ref="A59:G59"/>
    <mergeCell ref="I59:O59"/>
    <mergeCell ref="A67:G67"/>
    <mergeCell ref="I67:O67"/>
    <mergeCell ref="A75:G75"/>
    <mergeCell ref="I75:O75"/>
    <mergeCell ref="A83:G83"/>
    <mergeCell ref="I83:O83"/>
    <mergeCell ref="A91:G91"/>
    <mergeCell ref="I91:O91"/>
    <mergeCell ref="A99:G99"/>
    <mergeCell ref="I99:O99"/>
    <mergeCell ref="A107:G107"/>
    <mergeCell ref="I107:O107"/>
    <mergeCell ref="A115:G115"/>
    <mergeCell ref="I115:O115"/>
    <mergeCell ref="A128:O128"/>
    <mergeCell ref="A130:G130"/>
    <mergeCell ref="I130:O130"/>
    <mergeCell ref="A138:G138"/>
    <mergeCell ref="I138:O138"/>
    <mergeCell ref="A146:G146"/>
    <mergeCell ref="I146:O146"/>
    <mergeCell ref="A154:G154"/>
    <mergeCell ref="I154:O154"/>
    <mergeCell ref="A162:G162"/>
    <mergeCell ref="I162:O162"/>
    <mergeCell ref="A170:G170"/>
    <mergeCell ref="I170:O170"/>
    <mergeCell ref="A178:G178"/>
    <mergeCell ref="I178:O178"/>
    <mergeCell ref="A186:G186"/>
    <mergeCell ref="I186:O186"/>
    <mergeCell ref="A199:O199"/>
    <mergeCell ref="A201:G201"/>
    <mergeCell ref="I201:O201"/>
    <mergeCell ref="A209:G209"/>
    <mergeCell ref="I209:O209"/>
    <mergeCell ref="A217:G217"/>
    <mergeCell ref="I217:O217"/>
    <mergeCell ref="A225:G225"/>
    <mergeCell ref="I225:O225"/>
    <mergeCell ref="A238:O238"/>
    <mergeCell ref="A240:G240"/>
    <mergeCell ref="I240:O240"/>
    <mergeCell ref="A248:G248"/>
    <mergeCell ref="I248:O248"/>
    <mergeCell ref="A261:O261"/>
    <mergeCell ref="A263:G263"/>
    <mergeCell ref="I263:O263"/>
    <mergeCell ref="A276:O276"/>
    <mergeCell ref="A278:G278"/>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A952CF-7580-BA4A-BFF2-63054D7F5497}">
  <sheetPr>
    <pageSetUpPr fitToPage="true"/>
  </sheetPr>
  <dimension ref="A1:B1"/>
  <sheetViews>
    <sheetView view="pageLayout" zoomScaleNormal="100" workbookViewId="0">
      <selection sqref="A1:A1048576"/>
    </sheetView>
  </sheetViews>
  <sheetFormatPr baseColWidth="10" defaultRowHeight="115" customHeight="true"/>
  <cols>
    <col customWidth="true" max="1" min="1" style="10" width="20"/>
    <col customWidth="true" max="2" min="2" style="9" width="170"/>
    <col max="16384" min="3" style="8" width="10.83203125"/>
  </cols>
  <sheetData>
    <row r="1" ht="110" customHeight="true">
      <c r="A1" s="33" t="s">
        <v>17</v>
      </c>
      <c r="B1" s="34" t="str">
        <f>data!D3</f>
      </c>
    </row>
    <row r="2" ht="115" customHeight="true">
      <c r="A2" s="33">
        <v>1</v>
      </c>
      <c r="B2" s="34"/>
    </row>
    <row r="3" ht="110" customHeight="true">
      <c r="A3" s="33" t="s">
        <v>17</v>
      </c>
      <c r="B3" s="34" t="str">
        <f>data!D4</f>
      </c>
    </row>
    <row r="4" ht="115" customHeight="true">
      <c r="A4" s="33">
        <v>2</v>
      </c>
      <c r="B4" s="34"/>
    </row>
    <row r="5" ht="110" customHeight="true">
      <c r="A5" s="33" t="s">
        <v>17</v>
      </c>
      <c r="B5" s="34" t="str">
        <f>data!D5</f>
      </c>
    </row>
    <row r="6" ht="115" customHeight="true">
      <c r="A6" s="33">
        <v>3</v>
      </c>
      <c r="B6" s="34"/>
    </row>
    <row r="7" ht="110" customHeight="true">
      <c r="A7" s="33" t="s">
        <v>27</v>
      </c>
      <c r="B7" s="34" t="str">
        <f>data!D6</f>
      </c>
    </row>
    <row r="8" ht="115" customHeight="true">
      <c r="A8" s="33">
        <v>1</v>
      </c>
      <c r="B8" s="34"/>
    </row>
    <row r="9" ht="110" customHeight="true">
      <c r="A9" s="33" t="s">
        <v>27</v>
      </c>
      <c r="B9" s="34" t="str">
        <f>data!D7</f>
      </c>
    </row>
    <row r="10" ht="115" customHeight="true">
      <c r="A10" s="33">
        <v>2</v>
      </c>
      <c r="B10" s="34"/>
    </row>
    <row r="11" ht="110" customHeight="true">
      <c r="A11" s="33" t="s">
        <v>27</v>
      </c>
      <c r="B11" s="34" t="str">
        <f>data!D8</f>
      </c>
    </row>
    <row r="12" ht="115" customHeight="true">
      <c r="A12" s="33">
        <v>3</v>
      </c>
      <c r="B12" s="34"/>
    </row>
    <row r="13" ht="110" customHeight="true">
      <c r="A13" s="33" t="s">
        <v>36</v>
      </c>
      <c r="B13" s="34" t="str">
        <f>data!D9</f>
      </c>
    </row>
    <row r="14" ht="115" customHeight="true">
      <c r="A14" s="33">
        <v>1</v>
      </c>
      <c r="B14" s="34"/>
    </row>
    <row r="15" ht="110" customHeight="true">
      <c r="A15" s="33" t="s">
        <v>36</v>
      </c>
      <c r="B15" s="34" t="str">
        <f>data!D10</f>
      </c>
    </row>
    <row r="16" ht="115" customHeight="true">
      <c r="A16" s="33">
        <v>2</v>
      </c>
      <c r="B16" s="34"/>
    </row>
    <row r="17" ht="110" customHeight="true">
      <c r="A17" s="33" t="s">
        <v>36</v>
      </c>
      <c r="B17" s="34" t="str">
        <f>data!D11</f>
      </c>
    </row>
    <row r="18" ht="115" customHeight="true">
      <c r="A18" s="33">
        <v>3</v>
      </c>
      <c r="B18" s="34"/>
    </row>
    <row r="19" ht="110" customHeight="true">
      <c r="A19" s="33" t="s">
        <v>45</v>
      </c>
      <c r="B19" s="34" t="str">
        <f>data!D12</f>
      </c>
    </row>
    <row r="20" ht="115" customHeight="true">
      <c r="A20" s="33">
        <v>1</v>
      </c>
      <c r="B20" s="34"/>
    </row>
    <row r="21" ht="110" customHeight="true">
      <c r="A21" s="33" t="s">
        <v>45</v>
      </c>
      <c r="B21" s="34" t="str">
        <f>data!D13</f>
      </c>
    </row>
    <row r="22" ht="115" customHeight="true">
      <c r="A22" s="33">
        <v>2</v>
      </c>
      <c r="B22" s="34"/>
    </row>
    <row r="23" ht="110" customHeight="true">
      <c r="A23" s="33" t="s">
        <v>45</v>
      </c>
      <c r="B23" s="34" t="str">
        <f>data!D14</f>
      </c>
    </row>
    <row r="24" ht="115" customHeight="true">
      <c r="A24" s="33">
        <v>3</v>
      </c>
      <c r="B24" s="34"/>
    </row>
    <row r="25" ht="110" customHeight="true">
      <c r="A25" s="33" t="s">
        <v>53</v>
      </c>
      <c r="B25" s="34" t="str">
        <f>data!D15</f>
      </c>
    </row>
    <row r="26" ht="115" customHeight="true">
      <c r="A26" s="33">
        <v>1</v>
      </c>
      <c r="B26" s="34"/>
    </row>
    <row r="27" ht="110" customHeight="true">
      <c r="A27" s="33" t="s">
        <v>53</v>
      </c>
      <c r="B27" s="34" t="str">
        <f>data!D16</f>
      </c>
    </row>
    <row r="28" ht="115" customHeight="true">
      <c r="A28" s="33">
        <v>2</v>
      </c>
      <c r="B28" s="34"/>
    </row>
    <row r="29" ht="110" customHeight="true">
      <c r="A29" s="33" t="s">
        <v>53</v>
      </c>
      <c r="B29" s="34" t="str">
        <f>data!D17</f>
      </c>
    </row>
    <row r="30" ht="115" customHeight="true">
      <c r="A30" s="33">
        <v>3</v>
      </c>
      <c r="B30" s="34"/>
    </row>
    <row r="31" ht="110" customHeight="true">
      <c r="A31" s="33" t="s">
        <v>60</v>
      </c>
      <c r="B31" s="34" t="str">
        <f>data!D18</f>
      </c>
    </row>
    <row r="32" ht="115" customHeight="true">
      <c r="A32" s="33">
        <v>1</v>
      </c>
      <c r="B32" s="34"/>
    </row>
    <row r="33" ht="110" customHeight="true">
      <c r="A33" s="33" t="s">
        <v>60</v>
      </c>
      <c r="B33" s="34" t="str">
        <f>data!D19</f>
      </c>
    </row>
    <row r="34" ht="115" customHeight="true">
      <c r="A34" s="33">
        <v>2</v>
      </c>
      <c r="B34" s="34"/>
    </row>
    <row r="35" ht="110" customHeight="true">
      <c r="A35" s="33" t="s">
        <v>60</v>
      </c>
      <c r="B35" s="34" t="str">
        <f>data!D20</f>
      </c>
    </row>
    <row r="36" ht="115" customHeight="true">
      <c r="A36" s="33">
        <v>3</v>
      </c>
      <c r="B36" s="34"/>
    </row>
    <row r="37" ht="110" customHeight="true">
      <c r="A37" s="33" t="s">
        <v>67</v>
      </c>
      <c r="B37" s="34" t="str">
        <f>data!D21</f>
      </c>
    </row>
    <row r="38" ht="115" customHeight="true">
      <c r="A38" s="33">
        <v>1</v>
      </c>
      <c r="B38" s="34"/>
    </row>
    <row r="39" ht="110" customHeight="true">
      <c r="A39" s="33" t="s">
        <v>67</v>
      </c>
      <c r="B39" s="34" t="str">
        <f>data!D22</f>
      </c>
    </row>
    <row r="40" ht="115" customHeight="true">
      <c r="A40" s="33">
        <v>2</v>
      </c>
      <c r="B40" s="34"/>
    </row>
    <row r="41" ht="110" customHeight="true">
      <c r="A41" s="33" t="s">
        <v>67</v>
      </c>
      <c r="B41" s="34" t="str">
        <f>data!D23</f>
      </c>
    </row>
    <row r="42" ht="115" customHeight="true">
      <c r="A42" s="33">
        <v>3</v>
      </c>
      <c r="B42" s="34"/>
    </row>
    <row r="43" ht="110" customHeight="true">
      <c r="A43" s="33" t="s">
        <v>74</v>
      </c>
      <c r="B43" s="34" t="str">
        <f>data!D24</f>
      </c>
    </row>
    <row r="44" ht="115" customHeight="true">
      <c r="A44" s="33">
        <v>1</v>
      </c>
      <c r="B44" s="34"/>
    </row>
    <row r="45" ht="110" customHeight="true">
      <c r="A45" s="33" t="s">
        <v>74</v>
      </c>
      <c r="B45" s="34" t="str">
        <f>data!D25</f>
      </c>
    </row>
    <row r="46" ht="115" customHeight="true">
      <c r="A46" s="33">
        <v>2</v>
      </c>
      <c r="B46" s="34"/>
    </row>
    <row r="47" ht="110" customHeight="true">
      <c r="A47" s="33" t="s">
        <v>74</v>
      </c>
      <c r="B47" s="34" t="str">
        <f>data!D26</f>
      </c>
    </row>
    <row r="48" ht="115" customHeight="true">
      <c r="A48" s="33">
        <v>3</v>
      </c>
      <c r="B48" s="34"/>
    </row>
    <row r="49" ht="110" customHeight="true">
      <c r="A49" s="33" t="s">
        <v>82</v>
      </c>
      <c r="B49" s="34" t="str">
        <f>data!D27</f>
      </c>
    </row>
    <row r="50" ht="115" customHeight="true">
      <c r="A50" s="33">
        <v>1</v>
      </c>
      <c r="B50" s="34"/>
    </row>
    <row r="51" ht="110" customHeight="true">
      <c r="A51" s="33" t="s">
        <v>82</v>
      </c>
      <c r="B51" s="34" t="str">
        <f>data!D28</f>
      </c>
    </row>
    <row r="52" ht="115" customHeight="true">
      <c r="A52" s="33">
        <v>2</v>
      </c>
      <c r="B52" s="34"/>
    </row>
    <row r="53" ht="110" customHeight="true">
      <c r="A53" s="33" t="s">
        <v>82</v>
      </c>
      <c r="B53" s="34" t="str">
        <f>data!D29</f>
      </c>
    </row>
    <row r="54" ht="115" customHeight="true">
      <c r="A54" s="33">
        <v>3</v>
      </c>
      <c r="B54" s="34"/>
    </row>
    <row r="55" ht="110" customHeight="true">
      <c r="A55" s="33" t="s">
        <v>90</v>
      </c>
      <c r="B55" s="34" t="str">
        <f>data!D30</f>
      </c>
    </row>
    <row r="56" ht="115" customHeight="true">
      <c r="A56" s="33">
        <v>1</v>
      </c>
      <c r="B56" s="34"/>
    </row>
    <row r="57" ht="110" customHeight="true">
      <c r="A57" s="33" t="s">
        <v>90</v>
      </c>
      <c r="B57" s="34" t="str">
        <f>data!D31</f>
      </c>
    </row>
    <row r="58" ht="115" customHeight="true">
      <c r="A58" s="33">
        <v>2</v>
      </c>
      <c r="B58" s="34"/>
    </row>
    <row r="59" ht="110" customHeight="true">
      <c r="A59" s="33" t="s">
        <v>90</v>
      </c>
      <c r="B59" s="34" t="str">
        <f>data!D32</f>
      </c>
    </row>
    <row r="60" ht="115" customHeight="true">
      <c r="A60" s="33">
        <v>3</v>
      </c>
      <c r="B60" s="34"/>
    </row>
    <row r="61" ht="110" customHeight="true">
      <c r="A61" s="33" t="s">
        <v>98</v>
      </c>
      <c r="B61" s="34" t="str">
        <f>data!D33</f>
      </c>
    </row>
    <row r="62" ht="115" customHeight="true">
      <c r="A62" s="33">
        <v>1</v>
      </c>
      <c r="B62" s="34"/>
    </row>
    <row r="63" ht="110" customHeight="true">
      <c r="A63" s="33" t="s">
        <v>98</v>
      </c>
      <c r="B63" s="34" t="str">
        <f>data!D34</f>
      </c>
    </row>
    <row r="64" ht="115" customHeight="true">
      <c r="A64" s="33">
        <v>2</v>
      </c>
      <c r="B64" s="34"/>
    </row>
    <row r="65" ht="110" customHeight="true">
      <c r="A65" s="33" t="s">
        <v>98</v>
      </c>
      <c r="B65" s="34" t="str">
        <f>data!D35</f>
      </c>
    </row>
    <row r="66" ht="115" customHeight="true">
      <c r="A66" s="33">
        <v>3</v>
      </c>
      <c r="B66" s="34"/>
    </row>
    <row r="67" ht="110" customHeight="true">
      <c r="A67" s="33" t="s">
        <v>106</v>
      </c>
      <c r="B67" s="34" t="str">
        <f>data!D36</f>
      </c>
    </row>
    <row r="68" ht="115" customHeight="true">
      <c r="A68" s="33">
        <v>1</v>
      </c>
      <c r="B68" s="34"/>
    </row>
    <row r="69" ht="110" customHeight="true">
      <c r="A69" s="33" t="s">
        <v>106</v>
      </c>
      <c r="B69" s="34" t="str">
        <f>data!D37</f>
      </c>
    </row>
    <row r="70" ht="115" customHeight="true">
      <c r="A70" s="33">
        <v>2</v>
      </c>
      <c r="B70" s="34"/>
    </row>
    <row r="71" ht="110" customHeight="true">
      <c r="A71" s="33" t="s">
        <v>106</v>
      </c>
      <c r="B71" s="34" t="str">
        <f>data!D38</f>
      </c>
    </row>
    <row r="72" ht="115" customHeight="true">
      <c r="A72" s="33">
        <v>3</v>
      </c>
      <c r="B72" s="34"/>
    </row>
    <row r="73" ht="110" customHeight="true">
      <c r="A73" s="33" t="s">
        <v>115</v>
      </c>
      <c r="B73" s="34" t="str">
        <f>data!D39</f>
      </c>
    </row>
    <row r="74" ht="115" customHeight="true">
      <c r="A74" s="33">
        <v>1</v>
      </c>
      <c r="B74" s="34"/>
    </row>
    <row r="75" ht="110" customHeight="true">
      <c r="A75" s="33" t="s">
        <v>115</v>
      </c>
      <c r="B75" s="34" t="str">
        <f>data!D40</f>
      </c>
    </row>
    <row r="76" ht="115" customHeight="true">
      <c r="A76" s="33">
        <v>2</v>
      </c>
      <c r="B76" s="34"/>
    </row>
    <row r="77" ht="110" customHeight="true">
      <c r="A77" s="33" t="s">
        <v>115</v>
      </c>
      <c r="B77" s="34" t="str">
        <f>data!D41</f>
      </c>
    </row>
    <row r="78" ht="115" customHeight="true">
      <c r="A78" s="33">
        <v>3</v>
      </c>
      <c r="B78" s="34"/>
    </row>
    <row r="79" ht="110" customHeight="true">
      <c r="A79" s="33" t="s">
        <v>123</v>
      </c>
      <c r="B79" s="34" t="str">
        <f>data!D42</f>
      </c>
    </row>
    <row r="80" ht="115" customHeight="true">
      <c r="A80" s="33">
        <v>1</v>
      </c>
      <c r="B80" s="34"/>
    </row>
    <row r="81" ht="110" customHeight="true">
      <c r="A81" s="33" t="s">
        <v>123</v>
      </c>
      <c r="B81" s="34" t="str">
        <f>data!D43</f>
      </c>
    </row>
    <row r="82" ht="115" customHeight="true">
      <c r="A82" s="33">
        <v>2</v>
      </c>
      <c r="B82" s="34"/>
    </row>
    <row r="83" ht="110" customHeight="true">
      <c r="A83" s="33" t="s">
        <v>123</v>
      </c>
      <c r="B83" s="34" t="str">
        <f>data!D44</f>
      </c>
    </row>
    <row r="84" ht="115" customHeight="true">
      <c r="A84" s="33">
        <v>3</v>
      </c>
      <c r="B84" s="34"/>
    </row>
    <row r="85" ht="110" customHeight="true">
      <c r="A85" s="33" t="s">
        <v>131</v>
      </c>
      <c r="B85" s="34" t="str">
        <f>data!D45</f>
      </c>
    </row>
    <row r="86" ht="115" customHeight="true">
      <c r="A86" s="33">
        <v>1</v>
      </c>
      <c r="B86" s="34"/>
    </row>
    <row r="87" ht="110" customHeight="true">
      <c r="A87" s="33" t="s">
        <v>131</v>
      </c>
      <c r="B87" s="34" t="str">
        <f>data!D46</f>
      </c>
    </row>
    <row r="88" ht="115" customHeight="true">
      <c r="A88" s="33">
        <v>2</v>
      </c>
      <c r="B88" s="34"/>
    </row>
    <row r="89" ht="110" customHeight="true">
      <c r="A89" s="33" t="s">
        <v>131</v>
      </c>
      <c r="B89" s="34" t="str">
        <f>data!D47</f>
      </c>
    </row>
    <row r="90" ht="115" customHeight="true">
      <c r="A90" s="33">
        <v>3</v>
      </c>
      <c r="B90" s="34"/>
    </row>
    <row r="91" ht="110" customHeight="true">
      <c r="A91" s="33" t="s">
        <v>139</v>
      </c>
      <c r="B91" s="34" t="str">
        <f>data!D48</f>
      </c>
    </row>
    <row r="92" ht="115" customHeight="true">
      <c r="A92" s="33">
        <v>1</v>
      </c>
      <c r="B92" s="34"/>
    </row>
    <row r="93" ht="110" customHeight="true">
      <c r="A93" s="33" t="s">
        <v>139</v>
      </c>
      <c r="B93" s="34" t="str">
        <f>data!D49</f>
      </c>
    </row>
    <row r="94" ht="115" customHeight="true">
      <c r="A94" s="33">
        <v>2</v>
      </c>
      <c r="B94" s="34"/>
    </row>
    <row r="95" ht="110" customHeight="true">
      <c r="A95" s="33" t="s">
        <v>145</v>
      </c>
      <c r="B95" s="34" t="str">
        <f>data!D50</f>
      </c>
    </row>
    <row r="96" ht="115" customHeight="true">
      <c r="A96" s="33">
        <v>1</v>
      </c>
      <c r="B96" s="34"/>
    </row>
    <row r="97" ht="110" customHeight="true">
      <c r="A97" s="33" t="s">
        <v>145</v>
      </c>
      <c r="B97" s="34" t="str">
        <f>data!D51</f>
      </c>
    </row>
    <row r="98" ht="115" customHeight="true">
      <c r="A98" s="33">
        <v>2</v>
      </c>
      <c r="B98" s="34"/>
    </row>
    <row r="99" ht="110" customHeight="true">
      <c r="A99" s="33" t="s">
        <v>145</v>
      </c>
      <c r="B99" s="34" t="str">
        <f>data!D52</f>
      </c>
    </row>
    <row r="100" ht="115" customHeight="true">
      <c r="A100" s="33">
        <v>3</v>
      </c>
      <c r="B100" s="34"/>
    </row>
    <row r="101" ht="110" customHeight="true">
      <c r="A101" s="33" t="s">
        <v>151</v>
      </c>
      <c r="B101" s="34" t="str">
        <f>data!D53</f>
      </c>
    </row>
    <row r="102" ht="115" customHeight="true">
      <c r="A102" s="33">
        <v>1</v>
      </c>
      <c r="B102" s="34"/>
    </row>
    <row r="103" ht="110" customHeight="true">
      <c r="A103" s="33" t="s">
        <v>151</v>
      </c>
      <c r="B103" s="34" t="str">
        <f>data!D54</f>
      </c>
    </row>
    <row r="104" ht="115" customHeight="true">
      <c r="A104" s="33">
        <v>2</v>
      </c>
      <c r="B104" s="34"/>
    </row>
    <row r="105" ht="110" customHeight="true">
      <c r="A105" s="33" t="s">
        <v>151</v>
      </c>
      <c r="B105" s="34" t="str">
        <f>data!D55</f>
      </c>
    </row>
    <row r="106" ht="115" customHeight="true">
      <c r="A106" s="33">
        <v>3</v>
      </c>
      <c r="B106" s="34"/>
    </row>
    <row r="107" ht="110" customHeight="true">
      <c r="A107" s="33" t="s">
        <v>157</v>
      </c>
      <c r="B107" s="34" t="str">
        <f>data!D56</f>
      </c>
    </row>
    <row r="108" ht="115" customHeight="true">
      <c r="A108" s="33">
        <v>1</v>
      </c>
      <c r="B108" s="34"/>
    </row>
    <row r="109" ht="110" customHeight="true">
      <c r="A109" s="33" t="s">
        <v>157</v>
      </c>
      <c r="B109" s="34" t="str">
        <f>data!D57</f>
      </c>
    </row>
    <row r="110" ht="115" customHeight="true">
      <c r="A110" s="33">
        <v>2</v>
      </c>
      <c r="B110" s="34"/>
    </row>
    <row r="111" ht="110" customHeight="true">
      <c r="A111" s="33" t="s">
        <v>157</v>
      </c>
      <c r="B111" s="34" t="str">
        <f>data!D58</f>
      </c>
    </row>
    <row r="112" ht="115" customHeight="true">
      <c r="A112" s="33">
        <v>3</v>
      </c>
      <c r="B112" s="34"/>
    </row>
    <row r="113" ht="110" customHeight="true">
      <c r="A113" s="33" t="s">
        <v>163</v>
      </c>
      <c r="B113" s="34" t="str">
        <f>data!D59</f>
      </c>
    </row>
    <row r="114" ht="115" customHeight="true">
      <c r="A114" s="33">
        <v>1</v>
      </c>
      <c r="B114" s="34"/>
    </row>
    <row r="115" ht="110" customHeight="true">
      <c r="A115" s="33" t="s">
        <v>163</v>
      </c>
      <c r="B115" s="34" t="str">
        <f>data!D60</f>
      </c>
    </row>
    <row r="116" ht="115" customHeight="true">
      <c r="A116" s="33">
        <v>2</v>
      </c>
      <c r="B116" s="34"/>
    </row>
    <row r="117" ht="110" customHeight="true">
      <c r="A117" s="33" t="s">
        <v>163</v>
      </c>
      <c r="B117" s="34" t="str">
        <f>data!D61</f>
      </c>
    </row>
    <row r="118" ht="115" customHeight="true">
      <c r="A118" s="33">
        <v>3</v>
      </c>
      <c r="B118" s="34"/>
    </row>
    <row r="119" ht="110" customHeight="true">
      <c r="A119" s="33" t="s">
        <v>169</v>
      </c>
      <c r="B119" s="34" t="str">
        <f>data!D62</f>
      </c>
    </row>
    <row r="120" ht="115" customHeight="true">
      <c r="A120" s="33">
        <v>1</v>
      </c>
      <c r="B120" s="34"/>
    </row>
    <row r="121" ht="110" customHeight="true">
      <c r="A121" s="33" t="s">
        <v>169</v>
      </c>
      <c r="B121" s="34" t="str">
        <f>data!D63</f>
      </c>
    </row>
    <row r="122" ht="115" customHeight="true">
      <c r="A122" s="33">
        <v>2</v>
      </c>
      <c r="B122" s="34"/>
    </row>
    <row r="123" ht="110" customHeight="true">
      <c r="A123" s="33" t="s">
        <v>169</v>
      </c>
      <c r="B123" s="34" t="str">
        <f>data!D64</f>
      </c>
    </row>
    <row r="124" ht="115" customHeight="true">
      <c r="A124" s="33">
        <v>3</v>
      </c>
      <c r="B124" s="34"/>
    </row>
    <row r="125" ht="110" customHeight="true">
      <c r="A125" s="33" t="s">
        <v>174</v>
      </c>
      <c r="B125" s="34" t="str">
        <f>data!D65</f>
      </c>
    </row>
    <row r="126" ht="115" customHeight="true">
      <c r="A126" s="33">
        <v>1</v>
      </c>
      <c r="B126" s="34"/>
    </row>
    <row r="127" ht="110" customHeight="true">
      <c r="A127" s="33" t="s">
        <v>174</v>
      </c>
      <c r="B127" s="34" t="str">
        <f>data!D66</f>
      </c>
    </row>
    <row r="128" ht="115" customHeight="true">
      <c r="A128" s="33">
        <v>2</v>
      </c>
      <c r="B128" s="34"/>
    </row>
    <row r="129" ht="110" customHeight="true">
      <c r="A129" s="33" t="s">
        <v>174</v>
      </c>
      <c r="B129" s="34" t="str">
        <f>data!D67</f>
      </c>
    </row>
    <row r="130" ht="115" customHeight="true">
      <c r="A130" s="33">
        <v>3</v>
      </c>
      <c r="B130" s="34"/>
    </row>
    <row r="131" ht="110" customHeight="true">
      <c r="A131" s="33" t="s">
        <v>180</v>
      </c>
      <c r="B131" s="34" t="str">
        <f>data!D68</f>
      </c>
    </row>
    <row r="132" ht="115" customHeight="true">
      <c r="A132" s="33">
        <v>1</v>
      </c>
      <c r="B132" s="34"/>
    </row>
    <row r="133" ht="110" customHeight="true">
      <c r="A133" s="33" t="s">
        <v>180</v>
      </c>
      <c r="B133" s="34" t="str">
        <f>data!D69</f>
      </c>
    </row>
    <row r="134" ht="115" customHeight="true">
      <c r="A134" s="33">
        <v>2</v>
      </c>
      <c r="B134" s="34"/>
    </row>
    <row r="135" ht="110" customHeight="true">
      <c r="A135" s="33" t="s">
        <v>180</v>
      </c>
      <c r="B135" s="34" t="str">
        <f>data!D70</f>
      </c>
    </row>
    <row r="136" ht="115" customHeight="true">
      <c r="A136" s="33">
        <v>3</v>
      </c>
      <c r="B136" s="34"/>
    </row>
    <row r="137" ht="110" customHeight="true">
      <c r="A137" s="33" t="s">
        <v>187</v>
      </c>
      <c r="B137" s="34" t="str">
        <f>data!D71</f>
      </c>
    </row>
    <row r="138" ht="115" customHeight="true">
      <c r="A138" s="33">
        <v>1</v>
      </c>
      <c r="B138" s="34"/>
    </row>
    <row r="139" ht="110" customHeight="true">
      <c r="A139" s="33" t="s">
        <v>187</v>
      </c>
      <c r="B139" s="34" t="str">
        <f>data!D72</f>
      </c>
    </row>
    <row r="140" ht="115" customHeight="true">
      <c r="A140" s="33">
        <v>2</v>
      </c>
      <c r="B140" s="34"/>
    </row>
    <row r="141" ht="110" customHeight="true">
      <c r="A141" s="33" t="s">
        <v>187</v>
      </c>
      <c r="B141" s="34" t="str">
        <f>data!D73</f>
      </c>
    </row>
    <row r="142" ht="115" customHeight="true">
      <c r="A142" s="33">
        <v>3</v>
      </c>
      <c r="B142" s="34"/>
    </row>
    <row r="143" ht="110" customHeight="true">
      <c r="A143" s="33" t="s">
        <v>194</v>
      </c>
      <c r="B143" s="34" t="str">
        <f>data!D74</f>
      </c>
    </row>
    <row r="144" ht="115" customHeight="true">
      <c r="A144" s="33">
        <v>1</v>
      </c>
      <c r="B144" s="34"/>
    </row>
    <row r="145" ht="110" customHeight="true">
      <c r="A145" s="33" t="s">
        <v>194</v>
      </c>
      <c r="B145" s="34" t="str">
        <f>data!D75</f>
      </c>
    </row>
    <row r="146" ht="115" customHeight="true">
      <c r="A146" s="33">
        <v>2</v>
      </c>
      <c r="B146" s="34"/>
    </row>
    <row r="147" ht="110" customHeight="true">
      <c r="A147" s="33" t="s">
        <v>194</v>
      </c>
      <c r="B147" s="34" t="str">
        <f>data!D76</f>
      </c>
    </row>
    <row r="148" ht="115" customHeight="true">
      <c r="A148" s="33">
        <v>3</v>
      </c>
      <c r="B148" s="34"/>
    </row>
    <row r="149" ht="110" customHeight="true">
      <c r="A149" s="33" t="s">
        <v>201</v>
      </c>
      <c r="B149" s="34" t="str">
        <f>data!D77</f>
      </c>
    </row>
    <row r="150" ht="115" customHeight="true">
      <c r="A150" s="33">
        <v>1</v>
      </c>
      <c r="B150" s="34"/>
    </row>
    <row r="151" ht="110" customHeight="true">
      <c r="A151" s="33" t="s">
        <v>201</v>
      </c>
      <c r="B151" s="34" t="str">
        <f>data!D78</f>
      </c>
    </row>
    <row r="152" ht="115" customHeight="true">
      <c r="A152" s="33">
        <v>2</v>
      </c>
      <c r="B152" s="34"/>
    </row>
    <row r="153" ht="110" customHeight="true">
      <c r="A153" s="33" t="s">
        <v>201</v>
      </c>
      <c r="B153" s="34" t="str">
        <f>data!D79</f>
      </c>
    </row>
    <row r="154" ht="115" customHeight="true">
      <c r="A154" s="33">
        <v>3</v>
      </c>
      <c r="B154" s="34"/>
    </row>
    <row r="155" ht="110" customHeight="true">
      <c r="A155" s="33" t="s">
        <v>208</v>
      </c>
      <c r="B155" s="34" t="str">
        <f>data!D80</f>
      </c>
    </row>
    <row r="156" ht="115" customHeight="true">
      <c r="A156" s="33">
        <v>1</v>
      </c>
      <c r="B156" s="34"/>
    </row>
    <row r="157" ht="110" customHeight="true">
      <c r="A157" s="33" t="s">
        <v>208</v>
      </c>
      <c r="B157" s="34" t="str">
        <f>data!D81</f>
      </c>
    </row>
    <row r="158" ht="115" customHeight="true">
      <c r="A158" s="33">
        <v>2</v>
      </c>
      <c r="B158" s="34"/>
    </row>
    <row r="159" ht="110" customHeight="true">
      <c r="A159" s="33" t="s">
        <v>208</v>
      </c>
      <c r="B159" s="34" t="str">
        <f>data!D82</f>
      </c>
    </row>
    <row r="160" ht="115" customHeight="true">
      <c r="A160" s="33">
        <v>3</v>
      </c>
      <c r="B160" s="34"/>
    </row>
    <row r="161" ht="110" customHeight="true">
      <c r="A161" s="33" t="s">
        <v>215</v>
      </c>
      <c r="B161" s="34" t="str">
        <f>data!D83</f>
      </c>
    </row>
    <row r="162" ht="115" customHeight="true">
      <c r="A162" s="33">
        <v>1</v>
      </c>
      <c r="B162" s="34"/>
    </row>
    <row r="163" ht="110" customHeight="true">
      <c r="A163" s="33" t="s">
        <v>215</v>
      </c>
      <c r="B163" s="34" t="str">
        <f>data!D84</f>
      </c>
    </row>
    <row r="164" ht="115" customHeight="true">
      <c r="A164" s="33">
        <v>2</v>
      </c>
      <c r="B164" s="34"/>
    </row>
    <row r="165" ht="110" customHeight="true">
      <c r="A165" s="33" t="s">
        <v>215</v>
      </c>
      <c r="B165" s="34" t="str">
        <f>data!D85</f>
      </c>
    </row>
    <row r="166" ht="115" customHeight="true">
      <c r="A166" s="33">
        <v>3</v>
      </c>
      <c r="B166" s="34"/>
    </row>
    <row r="167" ht="110" customHeight="true">
      <c r="A167" s="33" t="s">
        <v>222</v>
      </c>
      <c r="B167" s="34" t="str">
        <f>data!D86</f>
      </c>
    </row>
    <row r="168" ht="115" customHeight="true">
      <c r="A168" s="33">
        <v>1</v>
      </c>
      <c r="B168" s="34"/>
    </row>
    <row r="169" ht="110" customHeight="true">
      <c r="A169" s="33" t="s">
        <v>222</v>
      </c>
      <c r="B169" s="34" t="str">
        <f>data!D87</f>
      </c>
    </row>
    <row r="170" ht="115" customHeight="true">
      <c r="A170" s="33">
        <v>2</v>
      </c>
      <c r="B170" s="34"/>
    </row>
    <row r="171" ht="110" customHeight="true">
      <c r="A171" s="33" t="s">
        <v>222</v>
      </c>
      <c r="B171" s="34" t="str">
        <f>data!D88</f>
      </c>
    </row>
    <row r="172" ht="115" customHeight="true">
      <c r="A172" s="33">
        <v>3</v>
      </c>
      <c r="B172" s="34"/>
    </row>
    <row r="173" ht="110" customHeight="true">
      <c r="A173" s="33" t="s">
        <v>228</v>
      </c>
      <c r="B173" s="34" t="str">
        <f>data!D89</f>
      </c>
    </row>
    <row r="174" ht="115" customHeight="true">
      <c r="A174" s="33">
        <v>1</v>
      </c>
      <c r="B174" s="34"/>
    </row>
    <row r="175" ht="110" customHeight="true">
      <c r="A175" s="33" t="s">
        <v>228</v>
      </c>
      <c r="B175" s="34" t="str">
        <f>data!D90</f>
      </c>
    </row>
    <row r="176" ht="115" customHeight="true">
      <c r="A176" s="33">
        <v>2</v>
      </c>
      <c r="B176" s="34"/>
    </row>
    <row r="177" ht="110" customHeight="true">
      <c r="A177" s="33" t="s">
        <v>228</v>
      </c>
      <c r="B177" s="34" t="str">
        <f>data!D91</f>
      </c>
    </row>
    <row r="178" ht="115" customHeight="true">
      <c r="A178" s="33">
        <v>3</v>
      </c>
      <c r="B178" s="34"/>
    </row>
    <row r="179" ht="110" customHeight="true">
      <c r="A179" s="33" t="s">
        <v>234</v>
      </c>
      <c r="B179" s="34" t="str">
        <f>data!D92</f>
      </c>
    </row>
    <row r="180" ht="115" customHeight="true">
      <c r="A180" s="33">
        <v>1</v>
      </c>
      <c r="B180" s="34"/>
    </row>
    <row r="181" ht="110" customHeight="true">
      <c r="A181" s="33" t="s">
        <v>234</v>
      </c>
      <c r="B181" s="34" t="str">
        <f>data!D93</f>
      </c>
    </row>
    <row r="182" ht="115" customHeight="true">
      <c r="A182" s="33">
        <v>2</v>
      </c>
      <c r="B182" s="34"/>
    </row>
  </sheetData>
  <mergeCells count="91">
    <mergeCell ref="B1:B2"/>
    <mergeCell ref="B3:B4"/>
    <mergeCell ref="B5:B6"/>
    <mergeCell ref="B7:B8"/>
    <mergeCell ref="B9:B10"/>
    <mergeCell ref="B11:B12"/>
    <mergeCell ref="B13:B14"/>
    <mergeCell ref="B15:B16"/>
    <mergeCell ref="B17:B18"/>
    <mergeCell ref="B19:B20"/>
    <mergeCell ref="B21:B22"/>
    <mergeCell ref="B23:B24"/>
    <mergeCell ref="B25:B26"/>
    <mergeCell ref="B27:B28"/>
    <mergeCell ref="B29:B30"/>
    <mergeCell ref="B31:B32"/>
    <mergeCell ref="B33:B34"/>
    <mergeCell ref="B35:B36"/>
    <mergeCell ref="B37:B38"/>
    <mergeCell ref="B39:B40"/>
    <mergeCell ref="B41:B42"/>
    <mergeCell ref="B43:B44"/>
    <mergeCell ref="B45:B46"/>
    <mergeCell ref="B47:B48"/>
    <mergeCell ref="B49:B50"/>
    <mergeCell ref="B51:B52"/>
    <mergeCell ref="B53:B54"/>
    <mergeCell ref="B55:B56"/>
    <mergeCell ref="B57:B58"/>
    <mergeCell ref="B59:B60"/>
    <mergeCell ref="B61:B62"/>
    <mergeCell ref="B63:B64"/>
    <mergeCell ref="B65:B66"/>
    <mergeCell ref="B67:B68"/>
    <mergeCell ref="B69:B70"/>
    <mergeCell ref="B71:B72"/>
    <mergeCell ref="B73:B74"/>
    <mergeCell ref="B75:B76"/>
    <mergeCell ref="B77:B78"/>
    <mergeCell ref="B79:B80"/>
    <mergeCell ref="B81:B82"/>
    <mergeCell ref="B83:B84"/>
    <mergeCell ref="B85:B86"/>
    <mergeCell ref="B87:B88"/>
    <mergeCell ref="B89:B90"/>
    <mergeCell ref="B91:B92"/>
    <mergeCell ref="B93:B94"/>
    <mergeCell ref="B95:B96"/>
    <mergeCell ref="B97:B98"/>
    <mergeCell ref="B99:B100"/>
    <mergeCell ref="B101:B102"/>
    <mergeCell ref="B103:B104"/>
    <mergeCell ref="B105:B106"/>
    <mergeCell ref="B107:B108"/>
    <mergeCell ref="B109:B110"/>
    <mergeCell ref="B111:B112"/>
    <mergeCell ref="B113:B114"/>
    <mergeCell ref="B115:B116"/>
    <mergeCell ref="B117:B118"/>
    <mergeCell ref="B119:B120"/>
    <mergeCell ref="B121:B122"/>
    <mergeCell ref="B123:B124"/>
    <mergeCell ref="B125:B126"/>
    <mergeCell ref="B127:B128"/>
    <mergeCell ref="B129:B130"/>
    <mergeCell ref="B131:B132"/>
    <mergeCell ref="B133:B134"/>
    <mergeCell ref="B135:B136"/>
    <mergeCell ref="B137:B138"/>
    <mergeCell ref="B139:B140"/>
    <mergeCell ref="B141:B142"/>
    <mergeCell ref="B143:B144"/>
    <mergeCell ref="B145:B146"/>
    <mergeCell ref="B147:B148"/>
    <mergeCell ref="B149:B150"/>
    <mergeCell ref="B151:B152"/>
    <mergeCell ref="B153:B154"/>
    <mergeCell ref="B155:B156"/>
    <mergeCell ref="B157:B158"/>
    <mergeCell ref="B159:B160"/>
    <mergeCell ref="B161:B162"/>
    <mergeCell ref="B163:B164"/>
    <mergeCell ref="B165:B166"/>
    <mergeCell ref="B167:B168"/>
    <mergeCell ref="B169:B170"/>
    <mergeCell ref="B171:B172"/>
    <mergeCell ref="B173:B174"/>
    <mergeCell ref="B175:B176"/>
    <mergeCell ref="B177:B178"/>
    <mergeCell ref="B179:B180"/>
    <mergeCell ref="B181:B182"/>
  </mergeCells>
  <printOptions horizontalCentered="true" verticalCentered="true"/>
  <pageMargins left="0.25" right="0.25" top="0.75" bottom="0.75" header="0.3" footer="0.3"/>
  <pageSetup fitToHeight="0" fitToWidth="1" horizontalDpi="0" orientation="landscape" paperSize="8" verticalDpi="0"/>
  <rowBreaks count="30" manualBreakCount="30">
    <brk id="6" max="16383" man="true"/>
    <brk id="12" max="16383" man="true"/>
    <brk id="18" max="16383" man="true"/>
    <brk id="24" max="16383" man="true"/>
    <brk id="30" max="16383" man="true"/>
    <brk id="36" max="16383" man="true"/>
    <brk id="42" max="16383" man="true"/>
    <brk id="48" max="16383" man="true"/>
    <brk id="54" max="16383" man="true"/>
    <brk id="60" max="16383" man="true"/>
    <brk id="66" max="16383" man="true"/>
    <brk id="72" max="16383" man="true"/>
    <brk id="78" max="16383" man="true"/>
    <brk id="84" max="16383" man="true"/>
    <brk id="90" max="16383" man="true"/>
    <brk id="96" max="16383" man="true"/>
    <brk id="102" max="16383" man="true"/>
    <brk id="108" max="16383" man="true"/>
    <brk id="114" max="16383" man="true"/>
    <brk id="120" max="16383" man="true"/>
    <brk id="126" max="16383" man="true"/>
    <brk id="132" max="16383" man="true"/>
    <brk id="138" max="16383" man="true"/>
    <brk id="144" max="16383" man="true"/>
    <brk id="150" max="16383" man="true"/>
    <brk id="156" max="16383" man="true"/>
    <brk id="162" max="16383" man="true"/>
    <brk id="168" max="16383" man="true"/>
    <brk id="174" max="16383" man="true"/>
    <brk id="180" max="16383" man="true"/>
  </rowBreaks>
  <colBreak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065E12-1BC4-BF48-9DCD-AFB9407081DC}">
  <sheetPr>
    <pageSetUpPr fitToPage="true"/>
  </sheetPr>
  <dimension ref="A1"/>
  <sheetViews>
    <sheetView showGridLines="false" view="pageLayout" zoomScaleNormal="100" workbookViewId="0">
      <selection activeCell="E7" sqref="E7"/>
    </sheetView>
  </sheetViews>
  <sheetFormatPr baseColWidth="10" defaultColWidth="3.5" defaultRowHeight="13"/>
  <cols>
    <col customWidth="true" max="1" min="1" width="20.83203125"/>
    <col customWidth="true" max="2" min="2" width="10"/>
  </cols>
  <sheetData>
    <row r="1">
      <c r="A1" s="20" t="str">
        <f>IF(data!$B$1="","Shiaijo A",data!$B$1&amp;" - Shiaijo A")</f>
      </c>
      <c r="B1" s="20"/>
      <c r="C1" s="20"/>
      <c r="D1" s="20"/>
      <c r="E1" s="20"/>
      <c r="F1" s="20"/>
      <c r="G1" s="20"/>
      <c r="H1" s="20"/>
      <c r="I1" s="20"/>
      <c r="J1" s="20"/>
      <c r="K1" s="20"/>
      <c r="L1" s="20"/>
      <c r="M1" s="20"/>
      <c r="N1" s="20"/>
      <c r="O1" s="20"/>
      <c r="P1" s="20"/>
    </row>
    <row r="4">
      <c r="A4" s="29" t="str">
        <f>data!$A$5</f>
      </c>
    </row>
    <row r="5">
      <c r="A5" s="30" t="str">
        <f>"1. " &amp; data!$B$3</f>
      </c>
    </row>
    <row r="6">
      <c r="A6" s="31" t="str">
        <f>"2. " &amp; data!$B$4</f>
      </c>
      <c r="E6" s="28" t="str">
        <f>CONCATENATE("Pool A.1 ",'Pool Matches'!G10)</f>
      </c>
    </row>
    <row r="7">
      <c r="A7" s="32" t="str">
        <f>"3. " &amp; data!$B$5</f>
      </c>
      <c r="F7" s="27"/>
      <c r="G7" s="25"/>
    </row>
    <row r="8">
      <c r="A8" s="27"/>
      <c r="G8" s="26">
        <v>31</v>
      </c>
    </row>
    <row r="9">
      <c r="A9" s="29" t="str">
        <f>data!$A$8</f>
      </c>
      <c r="C9" s="28" t="str">
        <f>CONCATENATE("Pool C.1 ",'Pool Matches'!G32)</f>
      </c>
      <c r="G9" s="25"/>
      <c r="H9" s="27"/>
      <c r="I9" s="25"/>
    </row>
    <row r="10">
      <c r="A10" s="30" t="str">
        <f>"1. " &amp; data!$B$6</f>
      </c>
      <c r="D10" s="27"/>
      <c r="E10" s="26">
        <v>1</v>
      </c>
      <c r="F10" s="22"/>
      <c r="G10" s="25"/>
      <c r="I10" s="25"/>
    </row>
    <row r="11">
      <c r="A11" s="31" t="str">
        <f>"2. " &amp; data!$B$7</f>
      </c>
      <c r="C11" s="28" t="str">
        <f>CONCATENATE("Pool B.2 ",'Pool Matches'!G22)</f>
      </c>
      <c r="D11" s="22"/>
      <c r="E11" s="25"/>
      <c r="I11" s="25"/>
    </row>
    <row r="12">
      <c r="A12" s="32" t="str">
        <f>"3. " &amp; data!$B$8</f>
      </c>
      <c r="I12" s="26">
        <v>47</v>
      </c>
    </row>
    <row r="13">
      <c r="A13" s="27"/>
      <c r="C13" s="28" t="str">
        <f>CONCATENATE("Pool E.1 ",'Pool Matches'!G54)</f>
      </c>
      <c r="I13" s="25"/>
      <c r="J13" s="27"/>
      <c r="K13" s="25"/>
    </row>
    <row r="14">
      <c r="A14" s="29" t="str">
        <f>data!$A$11</f>
      </c>
      <c r="D14" s="27"/>
      <c r="E14" s="26">
        <v>2</v>
      </c>
      <c r="I14" s="25"/>
      <c r="K14" s="25"/>
    </row>
    <row r="15">
      <c r="A15" s="30" t="str">
        <f>"1. " &amp; data!$B$9</f>
      </c>
      <c r="C15" s="28" t="str">
        <f>CONCATENATE("Pool D.2 ",'Pool Matches'!G44)</f>
      </c>
      <c r="D15" s="22"/>
      <c r="E15" s="25"/>
      <c r="F15" s="27"/>
      <c r="G15" s="25"/>
      <c r="I15" s="25"/>
      <c r="K15" s="25"/>
    </row>
    <row r="16">
      <c r="A16" s="31" t="str">
        <f>"2. " &amp; data!$B$10</f>
      </c>
      <c r="G16" s="26">
        <v>32</v>
      </c>
      <c r="H16" s="22"/>
      <c r="I16" s="25"/>
      <c r="K16" s="25"/>
    </row>
    <row r="17">
      <c r="A17" s="32" t="str">
        <f>"3. " &amp; data!$B$11</f>
      </c>
      <c r="C17" s="28" t="str">
        <f>CONCATENATE("Pool G.1 ",'Pool Matches'!G76)</f>
      </c>
      <c r="G17" s="25"/>
      <c r="K17" s="25"/>
    </row>
    <row r="18">
      <c r="A18" s="27"/>
      <c r="D18" s="27"/>
      <c r="E18" s="26">
        <v>3</v>
      </c>
      <c r="F18" s="22"/>
      <c r="G18" s="25"/>
      <c r="K18" s="25"/>
    </row>
    <row r="19">
      <c r="A19" s="29" t="str">
        <f>data!$A$14</f>
      </c>
      <c r="C19" s="28" t="str">
        <f>CONCATENATE("Pool F.2 ",'Pool Matches'!G66)</f>
      </c>
      <c r="D19" s="22"/>
      <c r="E19" s="25"/>
      <c r="K19" s="25"/>
    </row>
    <row r="20">
      <c r="A20" s="30" t="str">
        <f>"1. " &amp; data!$B$12</f>
      </c>
      <c r="K20" s="26">
        <v>55</v>
      </c>
    </row>
    <row r="21">
      <c r="A21" s="31" t="str">
        <f>"2. " &amp; data!$B$13</f>
      </c>
      <c r="C21" s="28" t="str">
        <f>CONCATENATE("Pool I.1 ",'Pool Matches'!G98)</f>
      </c>
      <c r="K21" s="25"/>
    </row>
    <row r="22">
      <c r="A22" s="32" t="str">
        <f>"3. " &amp; data!$B$14</f>
      </c>
      <c r="D22" s="27"/>
      <c r="E22" s="26">
        <v>4</v>
      </c>
      <c r="K22" s="25"/>
    </row>
    <row r="23">
      <c r="A23" s="27"/>
      <c r="C23" s="28" t="str">
        <f>CONCATENATE("Pool H.2 ",'Pool Matches'!G88)</f>
      </c>
      <c r="D23" s="22"/>
      <c r="E23" s="25"/>
      <c r="F23" s="27"/>
      <c r="G23" s="25"/>
      <c r="K23" s="25"/>
    </row>
    <row r="24">
      <c r="A24" s="29" t="str">
        <f>data!$A$17</f>
      </c>
      <c r="G24" s="26">
        <v>33</v>
      </c>
      <c r="K24" s="25"/>
    </row>
    <row r="25">
      <c r="A25" s="30" t="str">
        <f>"1. " &amp; data!$B$15</f>
      </c>
      <c r="C25" s="28" t="str">
        <f>CONCATENATE("Pool K.1 ",'Pool Matches'!G120)</f>
      </c>
      <c r="G25" s="25"/>
      <c r="H25" s="27"/>
      <c r="I25" s="25"/>
      <c r="K25" s="25"/>
    </row>
    <row r="26">
      <c r="A26" s="31" t="str">
        <f>"2. " &amp; data!$B$16</f>
      </c>
      <c r="D26" s="27"/>
      <c r="E26" s="26">
        <v>5</v>
      </c>
      <c r="F26" s="22"/>
      <c r="G26" s="25"/>
      <c r="I26" s="25"/>
      <c r="K26" s="25"/>
    </row>
    <row r="27">
      <c r="A27" s="32" t="str">
        <f>"3. " &amp; data!$B$17</f>
      </c>
      <c r="C27" s="28" t="str">
        <f>CONCATENATE("Pool J.2 ",'Pool Matches'!G110)</f>
      </c>
      <c r="D27" s="22"/>
      <c r="E27" s="25"/>
      <c r="I27" s="25"/>
      <c r="K27" s="25"/>
    </row>
    <row r="28">
      <c r="A28" s="27"/>
      <c r="I28" s="26">
        <v>48</v>
      </c>
      <c r="J28" s="22"/>
      <c r="K28" s="25"/>
    </row>
    <row r="29">
      <c r="A29" s="29" t="str">
        <f>data!$A$20</f>
      </c>
      <c r="C29" s="28" t="str">
        <f>CONCATENATE("Pool M.1 ",'Pool Matches'!G142)</f>
      </c>
      <c r="I29" s="25"/>
    </row>
    <row r="30">
      <c r="A30" s="30" t="str">
        <f>"1. " &amp; data!$B$18</f>
      </c>
      <c r="D30" s="27"/>
      <c r="E30" s="26">
        <v>6</v>
      </c>
      <c r="I30" s="25"/>
    </row>
    <row r="31">
      <c r="A31" s="31" t="str">
        <f>"2. " &amp; data!$B$19</f>
      </c>
      <c r="C31" s="28" t="str">
        <f>CONCATENATE("Pool L.2 ",'Pool Matches'!G132)</f>
      </c>
      <c r="D31" s="22"/>
      <c r="E31" s="25"/>
      <c r="F31" s="27"/>
      <c r="G31" s="25"/>
      <c r="I31" s="25"/>
    </row>
    <row r="32">
      <c r="A32" s="32" t="str">
        <f>"3. " &amp; data!$B$20</f>
      </c>
      <c r="G32" s="26">
        <v>34</v>
      </c>
      <c r="H32" s="22"/>
      <c r="I32" s="25"/>
    </row>
    <row r="33">
      <c r="A33" s="27"/>
      <c r="C33" s="28" t="str">
        <f>CONCATENATE("Pool O.1 ",'Pool Matches'!G164)</f>
      </c>
      <c r="G33" s="25"/>
    </row>
    <row r="34">
      <c r="A34" s="29" t="str">
        <f>data!$A$23</f>
      </c>
      <c r="D34" s="27"/>
      <c r="E34" s="26">
        <v>7</v>
      </c>
      <c r="F34" s="22"/>
      <c r="G34" s="25"/>
    </row>
    <row r="35">
      <c r="A35" s="30" t="str">
        <f>"1. " &amp; data!$B$21</f>
      </c>
      <c r="C35" s="28" t="str">
        <f>CONCATENATE("Pool N.2 ",'Pool Matches'!G154)</f>
      </c>
      <c r="D35" s="22"/>
      <c r="E35" s="25"/>
    </row>
    <row r="36">
      <c r="A36" s="31" t="str">
        <f>"2. " &amp; data!$B$22</f>
      </c>
    </row>
    <row r="37">
      <c r="A37" s="32" t="str">
        <f>"3. " &amp; data!$B$23</f>
      </c>
    </row>
    <row r="38">
      <c r="A38" s="27"/>
    </row>
    <row r="39">
      <c r="A39" s="29" t="str">
        <f>data!$A$26</f>
      </c>
    </row>
    <row r="40">
      <c r="A40" s="30" t="str">
        <f>"1. " &amp; data!$B$24</f>
      </c>
    </row>
    <row r="41">
      <c r="A41" s="31" t="str">
        <f>"2. " &amp; data!$B$25</f>
      </c>
    </row>
    <row r="42">
      <c r="A42" s="32" t="str">
        <f>"3. " &amp; data!$B$26</f>
      </c>
    </row>
    <row r="43">
      <c r="A43" s="27"/>
    </row>
  </sheetData>
  <mergeCells count="1">
    <mergeCell ref="A1:P1"/>
  </mergeCells>
  <printOptions horizontalCentered="true" verticalCentered="true"/>
  <pageMargins left="0.25" right="0.25" top="0" bottom="0" header="0.3" footer="0.3"/>
  <pageSetup orientation="portrait" paperSize="9"/>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065E12-1BC4-BF48-9DCD-AFB9407081DC}">
  <sheetPr>
    <pageSetUpPr fitToPage="true"/>
  </sheetPr>
  <dimension ref="A1"/>
  <sheetViews>
    <sheetView showGridLines="false" view="pageLayout" zoomScaleNormal="100" workbookViewId="0">
      <selection activeCell="E7" sqref="E7"/>
    </sheetView>
  </sheetViews>
  <sheetFormatPr baseColWidth="10" defaultColWidth="3.5" defaultRowHeight="13"/>
  <cols>
    <col customWidth="true" max="1" min="1" width="20.83203125"/>
    <col customWidth="true" max="2" min="2" width="10"/>
  </cols>
  <sheetData>
    <row r="1">
      <c r="A1" s="20" t="str">
        <f>IF(data!$B$1="","Shiaijo A",data!$B$1&amp;" - Shiaijo A")</f>
      </c>
      <c r="B1" s="20"/>
      <c r="C1" s="20"/>
      <c r="D1" s="20"/>
      <c r="E1" s="20"/>
      <c r="F1" s="20"/>
      <c r="G1" s="20"/>
      <c r="H1" s="20"/>
      <c r="I1" s="20"/>
      <c r="J1" s="20"/>
      <c r="K1" s="20"/>
      <c r="L1" s="20"/>
      <c r="M1" s="20"/>
      <c r="N1" s="20"/>
      <c r="O1" s="20"/>
      <c r="P1" s="20"/>
    </row>
    <row r="4">
      <c r="A4" s="29" t="str">
        <f>data!$A$29</f>
      </c>
    </row>
    <row r="5">
      <c r="A5" s="30" t="str">
        <f>"1. " &amp; data!$B$27</f>
      </c>
      <c r="C5" s="28" t="str">
        <f>CONCATENATE("Pool Q.1 ",'Pool Matches'!O10)</f>
      </c>
    </row>
    <row r="6">
      <c r="A6" s="31" t="str">
        <f>"2. " &amp; data!$B$28</f>
      </c>
      <c r="D6" s="27"/>
      <c r="E6" s="26">
        <v>8</v>
      </c>
    </row>
    <row r="7">
      <c r="A7" s="32" t="str">
        <f>"3. " &amp; data!$B$29</f>
      </c>
      <c r="C7" s="28" t="str">
        <f>CONCATENATE("Pool P.2 ",'Pool Matches'!G174)</f>
      </c>
      <c r="D7" s="22"/>
      <c r="E7" s="25"/>
      <c r="F7" s="27"/>
      <c r="G7" s="25"/>
    </row>
    <row r="8">
      <c r="A8" s="27"/>
      <c r="G8" s="26">
        <v>35</v>
      </c>
    </row>
    <row r="9">
      <c r="A9" s="29" t="str">
        <f>data!$A$32</f>
      </c>
      <c r="C9" s="28" t="str">
        <f>CONCATENATE("Pool S.1 ",'Pool Matches'!O32)</f>
      </c>
      <c r="G9" s="25"/>
      <c r="H9" s="27"/>
      <c r="I9" s="25"/>
    </row>
    <row r="10">
      <c r="A10" s="30" t="str">
        <f>"1. " &amp; data!$B$30</f>
      </c>
      <c r="D10" s="27"/>
      <c r="E10" s="26">
        <v>9</v>
      </c>
      <c r="F10" s="22"/>
      <c r="G10" s="25"/>
      <c r="I10" s="25"/>
    </row>
    <row r="11">
      <c r="A11" s="31" t="str">
        <f>"2. " &amp; data!$B$31</f>
      </c>
      <c r="C11" s="28" t="str">
        <f>CONCATENATE("Pool R.2 ",'Pool Matches'!O22)</f>
      </c>
      <c r="D11" s="22"/>
      <c r="E11" s="25"/>
      <c r="I11" s="25"/>
    </row>
    <row r="12">
      <c r="A12" s="32" t="str">
        <f>"3. " &amp; data!$B$32</f>
      </c>
      <c r="I12" s="26">
        <v>49</v>
      </c>
    </row>
    <row r="13">
      <c r="A13" s="27"/>
      <c r="C13" s="28" t="str">
        <f>CONCATENATE("Pool U.1 ",'Pool Matches'!O54)</f>
      </c>
      <c r="I13" s="25"/>
      <c r="J13" s="27"/>
      <c r="K13" s="25"/>
    </row>
    <row r="14">
      <c r="A14" s="29" t="str">
        <f>data!$A$35</f>
      </c>
      <c r="D14" s="27"/>
      <c r="E14" s="26">
        <v>10</v>
      </c>
      <c r="I14" s="25"/>
      <c r="K14" s="25"/>
    </row>
    <row r="15">
      <c r="A15" s="30" t="str">
        <f>"1. " &amp; data!$B$33</f>
      </c>
      <c r="C15" s="28" t="str">
        <f>CONCATENATE("Pool T.2 ",'Pool Matches'!O44)</f>
      </c>
      <c r="D15" s="22"/>
      <c r="E15" s="25"/>
      <c r="F15" s="27"/>
      <c r="G15" s="25"/>
      <c r="I15" s="25"/>
      <c r="K15" s="25"/>
    </row>
    <row r="16">
      <c r="A16" s="31" t="str">
        <f>"2. " &amp; data!$B$34</f>
      </c>
      <c r="G16" s="26">
        <v>36</v>
      </c>
      <c r="H16" s="22"/>
      <c r="I16" s="25"/>
      <c r="K16" s="25"/>
    </row>
    <row r="17">
      <c r="A17" s="32" t="str">
        <f>"3. " &amp; data!$B$35</f>
      </c>
      <c r="C17" s="28" t="str">
        <f>CONCATENATE("Pool W.1 ",'Pool Matches'!O76)</f>
      </c>
      <c r="G17" s="25"/>
      <c r="K17" s="25"/>
    </row>
    <row r="18">
      <c r="A18" s="27"/>
      <c r="D18" s="27"/>
      <c r="E18" s="26">
        <v>11</v>
      </c>
      <c r="F18" s="22"/>
      <c r="G18" s="25"/>
      <c r="K18" s="25"/>
    </row>
    <row r="19">
      <c r="A19" s="29" t="str">
        <f>data!$A$38</f>
      </c>
      <c r="C19" s="28" t="str">
        <f>CONCATENATE("Pool V.2 ",'Pool Matches'!O66)</f>
      </c>
      <c r="D19" s="22"/>
      <c r="E19" s="25"/>
      <c r="K19" s="25"/>
    </row>
    <row r="20">
      <c r="A20" s="30" t="str">
        <f>"1. " &amp; data!$B$36</f>
      </c>
      <c r="K20" s="26">
        <v>56</v>
      </c>
    </row>
    <row r="21">
      <c r="A21" s="31" t="str">
        <f>"2. " &amp; data!$B$37</f>
      </c>
      <c r="C21" s="28" t="str">
        <f>CONCATENATE("Pool Y.1 ",'Pool Matches'!O98)</f>
      </c>
      <c r="K21" s="25"/>
    </row>
    <row r="22">
      <c r="A22" s="32" t="str">
        <f>"3. " &amp; data!$B$38</f>
      </c>
      <c r="D22" s="27"/>
      <c r="E22" s="26">
        <v>12</v>
      </c>
      <c r="K22" s="25"/>
    </row>
    <row r="23">
      <c r="A23" s="27"/>
      <c r="C23" s="28" t="str">
        <f>CONCATENATE("Pool X.2 ",'Pool Matches'!O88)</f>
      </c>
      <c r="D23" s="22"/>
      <c r="E23" s="25"/>
      <c r="F23" s="27"/>
      <c r="G23" s="25"/>
      <c r="K23" s="25"/>
    </row>
    <row r="24">
      <c r="A24" s="29" t="str">
        <f>data!$A$41</f>
      </c>
      <c r="G24" s="26">
        <v>37</v>
      </c>
      <c r="K24" s="25"/>
    </row>
    <row r="25">
      <c r="A25" s="30" t="str">
        <f>"1. " &amp; data!$B$39</f>
      </c>
      <c r="C25" s="28" t="str">
        <f>CONCATENATE("Pool AA.1 ",'Pool Matches'!O120)</f>
      </c>
      <c r="G25" s="25"/>
      <c r="H25" s="27"/>
      <c r="I25" s="25"/>
      <c r="K25" s="25"/>
    </row>
    <row r="26">
      <c r="A26" s="31" t="str">
        <f>"2. " &amp; data!$B$40</f>
      </c>
      <c r="D26" s="27"/>
      <c r="E26" s="26">
        <v>13</v>
      </c>
      <c r="F26" s="22"/>
      <c r="G26" s="25"/>
      <c r="I26" s="25"/>
      <c r="K26" s="25"/>
    </row>
    <row r="27">
      <c r="A27" s="32" t="str">
        <f>"3. " &amp; data!$B$41</f>
      </c>
      <c r="C27" s="28" t="str">
        <f>CONCATENATE("Pool Z.2 ",'Pool Matches'!O110)</f>
      </c>
      <c r="D27" s="22"/>
      <c r="E27" s="25"/>
      <c r="I27" s="25"/>
      <c r="K27" s="25"/>
    </row>
    <row r="28">
      <c r="A28" s="27"/>
      <c r="I28" s="26">
        <v>50</v>
      </c>
      <c r="J28" s="22"/>
      <c r="K28" s="25"/>
    </row>
    <row r="29">
      <c r="A29" s="29" t="str">
        <f>data!$A$44</f>
      </c>
      <c r="C29" s="28" t="str">
        <f>CONCATENATE("Pool CC.1 ",'Pool Matches'!O142)</f>
      </c>
      <c r="I29" s="25"/>
    </row>
    <row r="30">
      <c r="A30" s="30" t="str">
        <f>"1. " &amp; data!$B$42</f>
      </c>
      <c r="D30" s="27"/>
      <c r="E30" s="26">
        <v>14</v>
      </c>
      <c r="I30" s="25"/>
    </row>
    <row r="31">
      <c r="A31" s="31" t="str">
        <f>"2. " &amp; data!$B$43</f>
      </c>
      <c r="C31" s="28" t="str">
        <f>CONCATENATE("Pool BB.2 ",'Pool Matches'!O132)</f>
      </c>
      <c r="D31" s="22"/>
      <c r="E31" s="25"/>
      <c r="F31" s="27"/>
      <c r="G31" s="25"/>
      <c r="I31" s="25"/>
    </row>
    <row r="32">
      <c r="A32" s="32" t="str">
        <f>"3. " &amp; data!$B$44</f>
      </c>
      <c r="G32" s="26">
        <v>38</v>
      </c>
      <c r="H32" s="22"/>
      <c r="I32" s="25"/>
    </row>
    <row r="33">
      <c r="A33" s="27"/>
      <c r="C33" s="28" t="str">
        <f>CONCATENATE("Pool EE.1 ",'Pool Matches'!O164)</f>
      </c>
      <c r="G33" s="25"/>
    </row>
    <row r="34">
      <c r="A34" s="29" t="str">
        <f>data!$A$47</f>
      </c>
      <c r="D34" s="27"/>
      <c r="E34" s="26">
        <v>15</v>
      </c>
      <c r="F34" s="22"/>
      <c r="G34" s="25"/>
    </row>
    <row r="35">
      <c r="A35" s="30" t="str">
        <f>"1. " &amp; data!$B$45</f>
      </c>
      <c r="C35" s="28" t="str">
        <f>CONCATENATE("Pool DD.2 ",'Pool Matches'!O154)</f>
      </c>
      <c r="D35" s="22"/>
      <c r="E35" s="25"/>
    </row>
    <row r="36">
      <c r="A36" s="31" t="str">
        <f>"2. " &amp; data!$B$46</f>
      </c>
    </row>
    <row r="37">
      <c r="A37" s="32" t="str">
        <f>"3. " &amp; data!$B$47</f>
      </c>
    </row>
    <row r="38">
      <c r="A38" s="27"/>
    </row>
    <row r="39">
      <c r="A39" s="29" t="str">
        <f>data!$A$49</f>
      </c>
    </row>
    <row r="40">
      <c r="A40" s="30" t="str">
        <f>"1. " &amp; data!$B$48</f>
      </c>
    </row>
    <row r="41">
      <c r="A41" s="32" t="str">
        <f>"2. " &amp; data!$B$49</f>
      </c>
    </row>
    <row r="42">
      <c r="A42" s="27"/>
    </row>
  </sheetData>
  <mergeCells count="1">
    <mergeCell ref="A1:P1"/>
  </mergeCells>
  <printOptions horizontalCentered="true" verticalCentered="true"/>
  <pageMargins left="0.25" right="0.25" top="0" bottom="0" header="0.3" footer="0.3"/>
  <pageSetup orientation="portrait" paperSize="9"/>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065E12-1BC4-BF48-9DCD-AFB9407081DC}">
  <sheetPr>
    <pageSetUpPr fitToPage="true"/>
  </sheetPr>
  <dimension ref="A1"/>
  <sheetViews>
    <sheetView showGridLines="false" view="pageLayout" zoomScaleNormal="100" workbookViewId="0">
      <selection activeCell="E7" sqref="E7"/>
    </sheetView>
  </sheetViews>
  <sheetFormatPr baseColWidth="10" defaultColWidth="3.5" defaultRowHeight="13"/>
  <cols>
    <col customWidth="true" max="1" min="1" width="20.83203125"/>
    <col customWidth="true" max="2" min="2" width="10"/>
  </cols>
  <sheetData>
    <row r="1">
      <c r="A1" s="20" t="str">
        <f>IF(data!$B$1="","Shiaijo B",data!$B$1&amp;" - Shiaijo B")</f>
      </c>
      <c r="B1" s="20"/>
      <c r="C1" s="20"/>
      <c r="D1" s="20"/>
      <c r="E1" s="20"/>
      <c r="F1" s="20"/>
      <c r="G1" s="20"/>
      <c r="H1" s="20"/>
      <c r="I1" s="20"/>
      <c r="J1" s="20"/>
      <c r="K1" s="20"/>
      <c r="L1" s="20"/>
      <c r="M1" s="20"/>
      <c r="N1" s="20"/>
      <c r="O1" s="20"/>
      <c r="P1" s="20"/>
    </row>
    <row r="4">
      <c r="A4" s="29" t="str">
        <f>data!$A$52</f>
      </c>
    </row>
    <row r="5">
      <c r="A5" s="30" t="str">
        <f>"1. " &amp; data!$B$50</f>
      </c>
    </row>
    <row r="6">
      <c r="A6" s="31" t="str">
        <f>"2. " &amp; data!$B$51</f>
      </c>
      <c r="E6" s="28" t="str">
        <f>CONCATENATE("Pool B.1 ",'Pool Matches'!G21)</f>
      </c>
    </row>
    <row r="7">
      <c r="A7" s="32" t="str">
        <f>"3. " &amp; data!$B$52</f>
      </c>
      <c r="F7" s="27"/>
      <c r="G7" s="25"/>
    </row>
    <row r="8">
      <c r="A8" s="27"/>
      <c r="G8" s="26">
        <v>39</v>
      </c>
    </row>
    <row r="9">
      <c r="A9" s="29" t="str">
        <f>data!$A$55</f>
      </c>
      <c r="C9" s="28" t="str">
        <f>CONCATENATE("Pool A.2 ",'Pool Matches'!G11)</f>
      </c>
      <c r="G9" s="25"/>
      <c r="H9" s="27"/>
      <c r="I9" s="25"/>
    </row>
    <row r="10">
      <c r="A10" s="30" t="str">
        <f>"1. " &amp; data!$B$53</f>
      </c>
      <c r="D10" s="27"/>
      <c r="E10" s="26">
        <v>16</v>
      </c>
      <c r="F10" s="22"/>
      <c r="G10" s="25"/>
      <c r="I10" s="25"/>
    </row>
    <row r="11">
      <c r="A11" s="31" t="str">
        <f>"2. " &amp; data!$B$54</f>
      </c>
      <c r="C11" s="28" t="str">
        <f>CONCATENATE("Pool C.2 ",'Pool Matches'!G33)</f>
      </c>
      <c r="D11" s="22"/>
      <c r="E11" s="25"/>
      <c r="I11" s="25"/>
    </row>
    <row r="12">
      <c r="A12" s="32" t="str">
        <f>"3. " &amp; data!$B$55</f>
      </c>
      <c r="I12" s="26">
        <v>51</v>
      </c>
    </row>
    <row r="13">
      <c r="A13" s="27"/>
      <c r="C13" s="28" t="str">
        <f>CONCATENATE("Pool D.1 ",'Pool Matches'!G43)</f>
      </c>
      <c r="I13" s="25"/>
      <c r="J13" s="27"/>
      <c r="K13" s="25"/>
    </row>
    <row r="14">
      <c r="A14" s="29" t="str">
        <f>data!$A$58</f>
      </c>
      <c r="D14" s="27"/>
      <c r="E14" s="26">
        <v>17</v>
      </c>
      <c r="I14" s="25"/>
      <c r="K14" s="25"/>
    </row>
    <row r="15">
      <c r="A15" s="30" t="str">
        <f>"1. " &amp; data!$B$56</f>
      </c>
      <c r="C15" s="28" t="str">
        <f>CONCATENATE("Pool E.2 ",'Pool Matches'!G55)</f>
      </c>
      <c r="D15" s="22"/>
      <c r="E15" s="25"/>
      <c r="F15" s="27"/>
      <c r="G15" s="25"/>
      <c r="I15" s="25"/>
      <c r="K15" s="25"/>
    </row>
    <row r="16">
      <c r="A16" s="31" t="str">
        <f>"2. " &amp; data!$B$57</f>
      </c>
      <c r="G16" s="26">
        <v>40</v>
      </c>
      <c r="H16" s="22"/>
      <c r="I16" s="25"/>
      <c r="K16" s="25"/>
    </row>
    <row r="17">
      <c r="A17" s="32" t="str">
        <f>"3. " &amp; data!$B$58</f>
      </c>
      <c r="C17" s="28" t="str">
        <f>CONCATENATE("Pool F.1 ",'Pool Matches'!G65)</f>
      </c>
      <c r="G17" s="25"/>
      <c r="K17" s="25"/>
    </row>
    <row r="18">
      <c r="A18" s="27"/>
      <c r="D18" s="27"/>
      <c r="E18" s="26">
        <v>18</v>
      </c>
      <c r="F18" s="22"/>
      <c r="G18" s="25"/>
      <c r="K18" s="25"/>
    </row>
    <row r="19">
      <c r="A19" s="29" t="str">
        <f>data!$A$61</f>
      </c>
      <c r="C19" s="28" t="str">
        <f>CONCATENATE("Pool G.2 ",'Pool Matches'!G77)</f>
      </c>
      <c r="D19" s="22"/>
      <c r="E19" s="25"/>
      <c r="K19" s="25"/>
    </row>
    <row r="20">
      <c r="A20" s="30" t="str">
        <f>"1. " &amp; data!$B$59</f>
      </c>
      <c r="K20" s="26">
        <v>57</v>
      </c>
    </row>
    <row r="21">
      <c r="A21" s="31" t="str">
        <f>"2. " &amp; data!$B$60</f>
      </c>
      <c r="C21" s="28" t="str">
        <f>CONCATENATE("Pool H.1 ",'Pool Matches'!G87)</f>
      </c>
      <c r="K21" s="25"/>
    </row>
    <row r="22">
      <c r="A22" s="32" t="str">
        <f>"3. " &amp; data!$B$61</f>
      </c>
      <c r="D22" s="27"/>
      <c r="E22" s="26">
        <v>19</v>
      </c>
      <c r="K22" s="25"/>
    </row>
    <row r="23">
      <c r="A23" s="27"/>
      <c r="C23" s="28" t="str">
        <f>CONCATENATE("Pool I.2 ",'Pool Matches'!G99)</f>
      </c>
      <c r="D23" s="22"/>
      <c r="E23" s="25"/>
      <c r="F23" s="27"/>
      <c r="G23" s="25"/>
      <c r="K23" s="25"/>
    </row>
    <row r="24">
      <c r="A24" s="29" t="str">
        <f>data!$A$64</f>
      </c>
      <c r="G24" s="26">
        <v>41</v>
      </c>
      <c r="K24" s="25"/>
    </row>
    <row r="25">
      <c r="A25" s="30" t="str">
        <f>"1. " &amp; data!$B$62</f>
      </c>
      <c r="C25" s="28" t="str">
        <f>CONCATENATE("Pool J.1 ",'Pool Matches'!G109)</f>
      </c>
      <c r="G25" s="25"/>
      <c r="H25" s="27"/>
      <c r="I25" s="25"/>
      <c r="K25" s="25"/>
    </row>
    <row r="26">
      <c r="A26" s="31" t="str">
        <f>"2. " &amp; data!$B$63</f>
      </c>
      <c r="D26" s="27"/>
      <c r="E26" s="26">
        <v>20</v>
      </c>
      <c r="F26" s="22"/>
      <c r="G26" s="25"/>
      <c r="I26" s="25"/>
      <c r="K26" s="25"/>
    </row>
    <row r="27">
      <c r="A27" s="32" t="str">
        <f>"3. " &amp; data!$B$64</f>
      </c>
      <c r="C27" s="28" t="str">
        <f>CONCATENATE("Pool K.2 ",'Pool Matches'!G121)</f>
      </c>
      <c r="D27" s="22"/>
      <c r="E27" s="25"/>
      <c r="I27" s="25"/>
      <c r="K27" s="25"/>
    </row>
    <row r="28">
      <c r="A28" s="27"/>
      <c r="I28" s="26">
        <v>52</v>
      </c>
      <c r="J28" s="22"/>
      <c r="K28" s="25"/>
    </row>
    <row r="29">
      <c r="A29" s="29" t="str">
        <f>data!$A$67</f>
      </c>
      <c r="C29" s="28" t="str">
        <f>CONCATENATE("Pool L.1 ",'Pool Matches'!G131)</f>
      </c>
      <c r="I29" s="25"/>
    </row>
    <row r="30">
      <c r="A30" s="30" t="str">
        <f>"1. " &amp; data!$B$65</f>
      </c>
      <c r="D30" s="27"/>
      <c r="E30" s="26">
        <v>21</v>
      </c>
      <c r="I30" s="25"/>
    </row>
    <row r="31">
      <c r="A31" s="31" t="str">
        <f>"2. " &amp; data!$B$66</f>
      </c>
      <c r="C31" s="28" t="str">
        <f>CONCATENATE("Pool M.2 ",'Pool Matches'!G143)</f>
      </c>
      <c r="D31" s="22"/>
      <c r="E31" s="25"/>
      <c r="F31" s="27"/>
      <c r="G31" s="25"/>
      <c r="I31" s="25"/>
    </row>
    <row r="32">
      <c r="A32" s="32" t="str">
        <f>"3. " &amp; data!$B$67</f>
      </c>
      <c r="G32" s="26">
        <v>42</v>
      </c>
      <c r="H32" s="22"/>
      <c r="I32" s="25"/>
    </row>
    <row r="33">
      <c r="A33" s="27"/>
      <c r="C33" s="28" t="str">
        <f>CONCATENATE("Pool N.1 ",'Pool Matches'!G153)</f>
      </c>
      <c r="G33" s="25"/>
    </row>
    <row r="34">
      <c r="A34" s="29" t="str">
        <f>data!$A$70</f>
      </c>
      <c r="D34" s="27"/>
      <c r="E34" s="26">
        <v>22</v>
      </c>
      <c r="F34" s="22"/>
      <c r="G34" s="25"/>
    </row>
    <row r="35">
      <c r="A35" s="30" t="str">
        <f>"1. " &amp; data!$B$68</f>
      </c>
      <c r="C35" s="28" t="str">
        <f>CONCATENATE("Pool O.2 ",'Pool Matches'!G165)</f>
      </c>
      <c r="D35" s="22"/>
      <c r="E35" s="25"/>
    </row>
    <row r="36">
      <c r="A36" s="31" t="str">
        <f>"2. " &amp; data!$B$69</f>
      </c>
    </row>
    <row r="37">
      <c r="A37" s="32" t="str">
        <f>"3. " &amp; data!$B$70</f>
      </c>
    </row>
    <row r="38">
      <c r="A38" s="27"/>
    </row>
    <row r="39">
      <c r="A39" s="29" t="str">
        <f>data!$A$73</f>
      </c>
    </row>
    <row r="40">
      <c r="A40" s="30" t="str">
        <f>"1. " &amp; data!$B$71</f>
      </c>
    </row>
    <row r="41">
      <c r="A41" s="31" t="str">
        <f>"2. " &amp; data!$B$72</f>
      </c>
    </row>
    <row r="42">
      <c r="A42" s="32" t="str">
        <f>"3. " &amp; data!$B$73</f>
      </c>
    </row>
    <row r="43">
      <c r="A43" s="27"/>
    </row>
  </sheetData>
  <mergeCells count="1">
    <mergeCell ref="A1:P1"/>
  </mergeCells>
  <printOptions horizontalCentered="true" verticalCentered="true"/>
  <pageMargins left="0.25" right="0.25" top="0" bottom="0" header="0.3" footer="0.3"/>
  <pageSetup orientation="portrait" paperSize="9"/>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065E12-1BC4-BF48-9DCD-AFB9407081DC}">
  <sheetPr>
    <pageSetUpPr fitToPage="true"/>
  </sheetPr>
  <dimension ref="A1"/>
  <sheetViews>
    <sheetView showGridLines="false" view="pageLayout" zoomScaleNormal="100" workbookViewId="0">
      <selection activeCell="E7" sqref="E7"/>
    </sheetView>
  </sheetViews>
  <sheetFormatPr baseColWidth="10" defaultColWidth="3.5" defaultRowHeight="13"/>
  <cols>
    <col customWidth="true" max="1" min="1" width="20.83203125"/>
    <col customWidth="true" max="2" min="2" width="10"/>
  </cols>
  <sheetData>
    <row r="1">
      <c r="A1" s="20" t="str">
        <f>IF(data!$B$1="","Shiaijo B",data!$B$1&amp;" - Shiaijo B")</f>
      </c>
      <c r="B1" s="20"/>
      <c r="C1" s="20"/>
      <c r="D1" s="20"/>
      <c r="E1" s="20"/>
      <c r="F1" s="20"/>
      <c r="G1" s="20"/>
      <c r="H1" s="20"/>
      <c r="I1" s="20"/>
      <c r="J1" s="20"/>
      <c r="K1" s="20"/>
      <c r="L1" s="20"/>
      <c r="M1" s="20"/>
      <c r="N1" s="20"/>
      <c r="O1" s="20"/>
      <c r="P1" s="20"/>
    </row>
    <row r="4">
      <c r="A4" s="29" t="str">
        <f>data!$A$76</f>
      </c>
    </row>
    <row r="5">
      <c r="A5" s="30" t="str">
        <f>"1. " &amp; data!$B$74</f>
      </c>
      <c r="C5" s="28" t="str">
        <f>CONCATENATE("Pool P.1 ",'Pool Matches'!G173)</f>
      </c>
    </row>
    <row r="6">
      <c r="A6" s="31" t="str">
        <f>"2. " &amp; data!$B$75</f>
      </c>
      <c r="D6" s="27"/>
      <c r="E6" s="26">
        <v>23</v>
      </c>
    </row>
    <row r="7">
      <c r="A7" s="32" t="str">
        <f>"3. " &amp; data!$B$76</f>
      </c>
      <c r="C7" s="28" t="str">
        <f>CONCATENATE("Pool Q.2 ",'Pool Matches'!O11)</f>
      </c>
      <c r="D7" s="22"/>
      <c r="E7" s="25"/>
      <c r="F7" s="27"/>
      <c r="G7" s="25"/>
    </row>
    <row r="8">
      <c r="A8" s="27"/>
      <c r="G8" s="26">
        <v>43</v>
      </c>
    </row>
    <row r="9">
      <c r="A9" s="29" t="str">
        <f>data!$A$79</f>
      </c>
      <c r="C9" s="28" t="str">
        <f>CONCATENATE("Pool R.1 ",'Pool Matches'!O21)</f>
      </c>
      <c r="G9" s="25"/>
      <c r="H9" s="27"/>
      <c r="I9" s="25"/>
    </row>
    <row r="10">
      <c r="A10" s="30" t="str">
        <f>"1. " &amp; data!$B$77</f>
      </c>
      <c r="D10" s="27"/>
      <c r="E10" s="26">
        <v>24</v>
      </c>
      <c r="F10" s="22"/>
      <c r="G10" s="25"/>
      <c r="I10" s="25"/>
    </row>
    <row r="11">
      <c r="A11" s="31" t="str">
        <f>"2. " &amp; data!$B$78</f>
      </c>
      <c r="C11" s="28" t="str">
        <f>CONCATENATE("Pool S.2 ",'Pool Matches'!O33)</f>
      </c>
      <c r="D11" s="22"/>
      <c r="E11" s="25"/>
      <c r="I11" s="25"/>
    </row>
    <row r="12">
      <c r="A12" s="32" t="str">
        <f>"3. " &amp; data!$B$79</f>
      </c>
      <c r="I12" s="26">
        <v>53</v>
      </c>
    </row>
    <row r="13">
      <c r="A13" s="27"/>
      <c r="C13" s="28" t="str">
        <f>CONCATENATE("Pool T.1 ",'Pool Matches'!O43)</f>
      </c>
      <c r="I13" s="25"/>
      <c r="J13" s="27"/>
      <c r="K13" s="25"/>
    </row>
    <row r="14">
      <c r="A14" s="29" t="str">
        <f>data!$A$82</f>
      </c>
      <c r="D14" s="27"/>
      <c r="E14" s="26">
        <v>25</v>
      </c>
      <c r="I14" s="25"/>
      <c r="K14" s="25"/>
    </row>
    <row r="15">
      <c r="A15" s="30" t="str">
        <f>"1. " &amp; data!$B$80</f>
      </c>
      <c r="C15" s="28" t="str">
        <f>CONCATENATE("Pool U.2 ",'Pool Matches'!O55)</f>
      </c>
      <c r="D15" s="22"/>
      <c r="E15" s="25"/>
      <c r="F15" s="27"/>
      <c r="G15" s="25"/>
      <c r="I15" s="25"/>
      <c r="K15" s="25"/>
    </row>
    <row r="16">
      <c r="A16" s="31" t="str">
        <f>"2. " &amp; data!$B$81</f>
      </c>
      <c r="G16" s="26">
        <v>44</v>
      </c>
      <c r="H16" s="22"/>
      <c r="I16" s="25"/>
      <c r="K16" s="25"/>
    </row>
    <row r="17">
      <c r="A17" s="32" t="str">
        <f>"3. " &amp; data!$B$82</f>
      </c>
      <c r="C17" s="28" t="str">
        <f>CONCATENATE("Pool V.1 ",'Pool Matches'!O65)</f>
      </c>
      <c r="G17" s="25"/>
      <c r="K17" s="25"/>
    </row>
    <row r="18">
      <c r="A18" s="27"/>
      <c r="D18" s="27"/>
      <c r="E18" s="26">
        <v>26</v>
      </c>
      <c r="F18" s="22"/>
      <c r="G18" s="25"/>
      <c r="K18" s="25"/>
    </row>
    <row r="19">
      <c r="A19" s="29" t="str">
        <f>data!$A$85</f>
      </c>
      <c r="C19" s="28" t="str">
        <f>CONCATENATE("Pool W.2 ",'Pool Matches'!O77)</f>
      </c>
      <c r="D19" s="22"/>
      <c r="E19" s="25"/>
      <c r="K19" s="25"/>
    </row>
    <row r="20">
      <c r="A20" s="30" t="str">
        <f>"1. " &amp; data!$B$83</f>
      </c>
      <c r="K20" s="26">
        <v>58</v>
      </c>
    </row>
    <row r="21">
      <c r="A21" s="31" t="str">
        <f>"2. " &amp; data!$B$84</f>
      </c>
      <c r="C21" s="28" t="str">
        <f>CONCATENATE("Pool X.1 ",'Pool Matches'!O87)</f>
      </c>
      <c r="K21" s="25"/>
    </row>
    <row r="22">
      <c r="A22" s="32" t="str">
        <f>"3. " &amp; data!$B$85</f>
      </c>
      <c r="D22" s="27"/>
      <c r="E22" s="26">
        <v>27</v>
      </c>
      <c r="K22" s="25"/>
    </row>
    <row r="23">
      <c r="A23" s="27"/>
      <c r="C23" s="28" t="str">
        <f>CONCATENATE("Pool Y.2 ",'Pool Matches'!O99)</f>
      </c>
      <c r="D23" s="22"/>
      <c r="E23" s="25"/>
      <c r="F23" s="27"/>
      <c r="G23" s="25"/>
      <c r="K23" s="25"/>
    </row>
    <row r="24">
      <c r="A24" s="29" t="str">
        <f>data!$A$88</f>
      </c>
      <c r="G24" s="26">
        <v>45</v>
      </c>
      <c r="K24" s="25"/>
    </row>
    <row r="25">
      <c r="A25" s="30" t="str">
        <f>"1. " &amp; data!$B$86</f>
      </c>
      <c r="C25" s="28" t="str">
        <f>CONCATENATE("Pool Z.1 ",'Pool Matches'!O109)</f>
      </c>
      <c r="G25" s="25"/>
      <c r="H25" s="27"/>
      <c r="I25" s="25"/>
      <c r="K25" s="25"/>
    </row>
    <row r="26">
      <c r="A26" s="31" t="str">
        <f>"2. " &amp; data!$B$87</f>
      </c>
      <c r="D26" s="27"/>
      <c r="E26" s="26">
        <v>28</v>
      </c>
      <c r="F26" s="22"/>
      <c r="G26" s="25"/>
      <c r="I26" s="25"/>
      <c r="K26" s="25"/>
    </row>
    <row r="27">
      <c r="A27" s="32" t="str">
        <f>"3. " &amp; data!$B$88</f>
      </c>
      <c r="C27" s="28" t="str">
        <f>CONCATENATE("Pool AA.2 ",'Pool Matches'!O121)</f>
      </c>
      <c r="D27" s="22"/>
      <c r="E27" s="25"/>
      <c r="I27" s="25"/>
      <c r="K27" s="25"/>
    </row>
    <row r="28">
      <c r="A28" s="27"/>
      <c r="I28" s="26">
        <v>54</v>
      </c>
      <c r="J28" s="22"/>
      <c r="K28" s="25"/>
    </row>
    <row r="29">
      <c r="A29" s="29" t="str">
        <f>data!$A$91</f>
      </c>
      <c r="C29" s="28" t="str">
        <f>CONCATENATE("Pool BB.1 ",'Pool Matches'!O131)</f>
      </c>
      <c r="I29" s="25"/>
    </row>
    <row r="30">
      <c r="A30" s="30" t="str">
        <f>"1. " &amp; data!$B$89</f>
      </c>
      <c r="D30" s="27"/>
      <c r="E30" s="26">
        <v>29</v>
      </c>
      <c r="I30" s="25"/>
    </row>
    <row r="31">
      <c r="A31" s="31" t="str">
        <f>"2. " &amp; data!$B$90</f>
      </c>
      <c r="C31" s="28" t="str">
        <f>CONCATENATE("Pool CC.2 ",'Pool Matches'!O143)</f>
      </c>
      <c r="D31" s="22"/>
      <c r="E31" s="25"/>
      <c r="F31" s="27"/>
      <c r="G31" s="25"/>
      <c r="I31" s="25"/>
    </row>
    <row r="32">
      <c r="A32" s="32" t="str">
        <f>"3. " &amp; data!$B$91</f>
      </c>
      <c r="G32" s="26">
        <v>46</v>
      </c>
      <c r="H32" s="22"/>
      <c r="I32" s="25"/>
    </row>
    <row r="33">
      <c r="A33" s="27"/>
      <c r="C33" s="28" t="str">
        <f>CONCATENATE("Pool DD.1 ",'Pool Matches'!O153)</f>
      </c>
      <c r="G33" s="25"/>
    </row>
    <row r="34">
      <c r="A34" s="29" t="str">
        <f>data!$A$93</f>
      </c>
      <c r="D34" s="27"/>
      <c r="E34" s="26">
        <v>30</v>
      </c>
      <c r="F34" s="22"/>
      <c r="G34" s="25"/>
    </row>
    <row r="35">
      <c r="A35" s="30" t="str">
        <f>"1. " &amp; data!$B$92</f>
      </c>
      <c r="C35" s="28" t="str">
        <f>CONCATENATE("Pool EE.2 ",'Pool Matches'!O165)</f>
      </c>
      <c r="D35" s="22"/>
      <c r="E35" s="25"/>
    </row>
    <row r="36">
      <c r="A36" s="32" t="str">
        <f>"2. " &amp; data!$B$93</f>
      </c>
    </row>
    <row r="37">
      <c r="A37" s="27"/>
    </row>
  </sheetData>
  <mergeCells count="1">
    <mergeCell ref="A1:P1"/>
  </mergeCells>
  <printOptions horizontalCentered="true" verticalCentered="true"/>
  <pageMargins left="0.25" right="0.25" top="0" bottom="0" header="0.3" footer="0.3"/>
  <pageSetup orientation="portrait" paperSize="9"/>
</worksheet>
</file>

<file path=xl/worksheets/sheet14.xml><?xml version="1.0" encoding="utf-8"?>
<worksheet xmlns="http://schemas.openxmlformats.org/spreadsheetml/2006/main">
  <dimension ref="A1"/>
  <sheetViews>
    <sheetView tabSelected="true" workbookViewId="0"/>
  </sheetViews>
  <cols>
    <col customWidth="true" max="1" min="1" width="90"/>
  </cols>
  <sheetData>
    <row r="1" ht="390" customHeight="true">
      <c r="A1" s="35" t="s">
        <v>246</v>
      </c>
    </row>
    <row r="2" ht="390" customHeight="true">
      <c r="A2" s="35" t="s">
        <v>247</v>
      </c>
    </row>
    <row r="3" ht="390" customHeight="true">
      <c r="A3" s="35" t="s">
        <v>248</v>
      </c>
    </row>
    <row r="4" ht="390" customHeight="true">
      <c r="A4" s="35" t="s">
        <v>249</v>
      </c>
    </row>
    <row r="5" ht="390" customHeight="true">
      <c r="A5" s="35" t="s">
        <v>250</v>
      </c>
    </row>
    <row r="6" ht="390" customHeight="true">
      <c r="A6" s="35" t="s">
        <v>251</v>
      </c>
    </row>
    <row r="7" ht="390" customHeight="true">
      <c r="A7" s="35" t="s">
        <v>252</v>
      </c>
    </row>
    <row r="8" ht="390" customHeight="true">
      <c r="A8" s="35" t="s">
        <v>253</v>
      </c>
    </row>
    <row r="9" ht="390" customHeight="true">
      <c r="A9" s="35" t="s">
        <v>254</v>
      </c>
    </row>
    <row r="10" ht="390" customHeight="true">
      <c r="A10" s="35" t="s">
        <v>255</v>
      </c>
    </row>
    <row r="11" ht="390" customHeight="true">
      <c r="A11" s="35" t="s">
        <v>256</v>
      </c>
    </row>
    <row r="12" ht="390" customHeight="true">
      <c r="A12" s="35" t="s">
        <v>257</v>
      </c>
    </row>
    <row r="13" ht="390" customHeight="true">
      <c r="A13" s="35" t="s">
        <v>258</v>
      </c>
    </row>
    <row r="14" ht="390" customHeight="true">
      <c r="A14" s="35" t="s">
        <v>259</v>
      </c>
    </row>
    <row r="15" ht="390" customHeight="true">
      <c r="A15" s="35" t="s">
        <v>260</v>
      </c>
    </row>
    <row r="16" ht="390" customHeight="true">
      <c r="A16" s="35" t="s">
        <v>261</v>
      </c>
    </row>
    <row r="17" ht="390" customHeight="true">
      <c r="A17" s="35" t="s">
        <v>262</v>
      </c>
    </row>
    <row r="18" ht="390" customHeight="true">
      <c r="A18" s="35" t="s">
        <v>263</v>
      </c>
    </row>
    <row r="19" ht="390" customHeight="true">
      <c r="A19" s="35" t="s">
        <v>264</v>
      </c>
    </row>
    <row r="20" ht="390" customHeight="true">
      <c r="A20" s="35" t="s">
        <v>265</v>
      </c>
    </row>
    <row r="21" ht="390" customHeight="true">
      <c r="A21" s="35" t="s">
        <v>266</v>
      </c>
    </row>
    <row r="22" ht="390" customHeight="true">
      <c r="A22" s="35" t="s">
        <v>267</v>
      </c>
    </row>
    <row r="23" ht="390" customHeight="true">
      <c r="A23" s="35" t="s">
        <v>268</v>
      </c>
    </row>
    <row r="24" ht="390" customHeight="true">
      <c r="A24" s="35" t="s">
        <v>269</v>
      </c>
    </row>
    <row r="25" ht="390" customHeight="true">
      <c r="A25" s="35" t="s">
        <v>270</v>
      </c>
    </row>
    <row r="26" ht="390" customHeight="true">
      <c r="A26" s="35" t="s">
        <v>271</v>
      </c>
    </row>
    <row r="27" ht="390" customHeight="true">
      <c r="A27" s="35" t="s">
        <v>272</v>
      </c>
    </row>
    <row r="28" ht="390" customHeight="true">
      <c r="A28" s="35" t="s">
        <v>273</v>
      </c>
    </row>
    <row r="29" ht="390" customHeight="true">
      <c r="A29" s="35" t="s">
        <v>274</v>
      </c>
    </row>
    <row r="30" ht="390" customHeight="true">
      <c r="A30" s="35" t="s">
        <v>275</v>
      </c>
    </row>
    <row r="31" ht="390" customHeight="true">
      <c r="A31" s="35" t="s">
        <v>276</v>
      </c>
    </row>
    <row r="32" ht="390" customHeight="true">
      <c r="A32" s="35" t="s">
        <v>277</v>
      </c>
    </row>
    <row r="33" ht="390" customHeight="true">
      <c r="A33" s="35" t="s">
        <v>278</v>
      </c>
    </row>
    <row r="34" ht="390" customHeight="true">
      <c r="A34" s="35" t="s">
        <v>279</v>
      </c>
    </row>
    <row r="35" ht="390" customHeight="true">
      <c r="A35" s="35" t="s">
        <v>280</v>
      </c>
    </row>
    <row r="36" ht="390" customHeight="true">
      <c r="A36" s="35" t="s">
        <v>281</v>
      </c>
    </row>
    <row r="37" ht="390" customHeight="true">
      <c r="A37" s="35" t="s">
        <v>282</v>
      </c>
    </row>
    <row r="38" ht="390" customHeight="true">
      <c r="A38" s="35" t="s">
        <v>283</v>
      </c>
    </row>
    <row r="39" ht="390" customHeight="true">
      <c r="A39" s="35" t="s">
        <v>284</v>
      </c>
    </row>
    <row r="40" ht="390" customHeight="true">
      <c r="A40" s="35" t="s">
        <v>285</v>
      </c>
    </row>
    <row r="41" ht="390" customHeight="true">
      <c r="A41" s="35" t="s">
        <v>286</v>
      </c>
    </row>
    <row r="42" ht="390" customHeight="true">
      <c r="A42" s="35" t="s">
        <v>287</v>
      </c>
    </row>
    <row r="43" ht="390" customHeight="true">
      <c r="A43" s="35" t="s">
        <v>288</v>
      </c>
    </row>
    <row r="44" ht="390" customHeight="true">
      <c r="A44" s="35" t="s">
        <v>289</v>
      </c>
    </row>
    <row r="45" ht="390" customHeight="true">
      <c r="A45" s="35" t="s">
        <v>290</v>
      </c>
    </row>
    <row r="46" ht="390" customHeight="true">
      <c r="A46" s="35" t="s">
        <v>291</v>
      </c>
    </row>
    <row r="47" ht="390" customHeight="true">
      <c r="A47" s="35" t="s">
        <v>292</v>
      </c>
    </row>
    <row r="48" ht="390" customHeight="true">
      <c r="A48" s="35" t="s">
        <v>293</v>
      </c>
    </row>
    <row r="49" ht="390" customHeight="true">
      <c r="A49" s="35" t="s">
        <v>294</v>
      </c>
    </row>
    <row r="50" ht="390" customHeight="true">
      <c r="A50" s="35" t="s">
        <v>295</v>
      </c>
    </row>
    <row r="51" ht="390" customHeight="true">
      <c r="A51" s="35" t="s">
        <v>296</v>
      </c>
    </row>
    <row r="52" ht="390" customHeight="true">
      <c r="A52" s="35" t="s">
        <v>297</v>
      </c>
    </row>
    <row r="53" ht="390" customHeight="true">
      <c r="A53" s="35" t="s">
        <v>298</v>
      </c>
    </row>
    <row r="54" ht="390" customHeight="true">
      <c r="A54" s="35" t="s">
        <v>299</v>
      </c>
    </row>
    <row r="55" ht="390" customHeight="true">
      <c r="A55" s="35" t="s">
        <v>300</v>
      </c>
    </row>
    <row r="56" ht="390" customHeight="true">
      <c r="A56" s="35" t="s">
        <v>301</v>
      </c>
    </row>
    <row r="57" ht="390" customHeight="true">
      <c r="A57" s="35" t="s">
        <v>302</v>
      </c>
    </row>
    <row r="58" ht="390" customHeight="true">
      <c r="A58" s="35" t="s">
        <v>303</v>
      </c>
    </row>
    <row r="59" ht="390" customHeight="true">
      <c r="A59" s="35" t="s">
        <v>304</v>
      </c>
    </row>
    <row r="60" ht="390" customHeight="true">
      <c r="A60" s="35" t="s">
        <v>305</v>
      </c>
    </row>
    <row r="61" ht="390" customHeight="true">
      <c r="A61" s="35" t="s">
        <v>306</v>
      </c>
    </row>
    <row r="62" ht="390" customHeight="true">
      <c r="A62" s="35" t="s">
        <v>307</v>
      </c>
    </row>
    <row r="63" ht="390" customHeight="true">
      <c r="A63" s="35" t="s">
        <v>308</v>
      </c>
    </row>
    <row r="64" ht="390" customHeight="true">
      <c r="A64" s="35" t="s">
        <v>309</v>
      </c>
    </row>
    <row r="65" ht="390" customHeight="true">
      <c r="A65" s="35" t="s">
        <v>310</v>
      </c>
    </row>
    <row r="66" ht="390" customHeight="true">
      <c r="A66" s="35" t="s">
        <v>311</v>
      </c>
    </row>
    <row r="67" ht="390" customHeight="true">
      <c r="A67" s="35" t="s">
        <v>312</v>
      </c>
    </row>
    <row r="68" ht="390" customHeight="true">
      <c r="A68" s="35" t="s">
        <v>313</v>
      </c>
    </row>
    <row r="69" ht="390" customHeight="true">
      <c r="A69" s="35" t="s">
        <v>314</v>
      </c>
    </row>
    <row r="70" ht="390" customHeight="true">
      <c r="A70" s="35" t="s">
        <v>315</v>
      </c>
    </row>
    <row r="71" ht="390" customHeight="true">
      <c r="A71" s="35" t="s">
        <v>316</v>
      </c>
    </row>
    <row r="72" ht="390" customHeight="true">
      <c r="A72" s="35" t="s">
        <v>317</v>
      </c>
    </row>
    <row r="73" ht="390" customHeight="true">
      <c r="A73" s="35" t="s">
        <v>318</v>
      </c>
    </row>
    <row r="74" ht="390" customHeight="true">
      <c r="A74" s="35" t="s">
        <v>319</v>
      </c>
    </row>
    <row r="75" ht="390" customHeight="true">
      <c r="A75" s="35" t="s">
        <v>320</v>
      </c>
    </row>
    <row r="76" ht="390" customHeight="true">
      <c r="A76" s="35" t="s">
        <v>321</v>
      </c>
    </row>
    <row r="77" ht="390" customHeight="true">
      <c r="A77" s="35" t="s">
        <v>322</v>
      </c>
    </row>
    <row r="78" ht="390" customHeight="true">
      <c r="A78" s="35" t="s">
        <v>323</v>
      </c>
    </row>
    <row r="79" ht="390" customHeight="true">
      <c r="A79" s="35" t="s">
        <v>324</v>
      </c>
    </row>
    <row r="80" ht="390" customHeight="true">
      <c r="A80" s="35" t="s">
        <v>325</v>
      </c>
    </row>
    <row r="81" ht="390" customHeight="true">
      <c r="A81" s="35" t="s">
        <v>326</v>
      </c>
    </row>
    <row r="82" ht="390" customHeight="true">
      <c r="A82" s="35" t="s">
        <v>327</v>
      </c>
    </row>
    <row r="83" ht="390" customHeight="true">
      <c r="A83" s="35" t="s">
        <v>328</v>
      </c>
    </row>
    <row r="84" ht="390" customHeight="true">
      <c r="A84" s="35" t="s">
        <v>329</v>
      </c>
    </row>
    <row r="85" ht="390" customHeight="true">
      <c r="A85" s="35" t="s">
        <v>330</v>
      </c>
    </row>
    <row r="86" ht="390" customHeight="true">
      <c r="A86" s="35" t="s">
        <v>331</v>
      </c>
    </row>
    <row r="87" ht="390" customHeight="true">
      <c r="A87" s="35" t="s">
        <v>332</v>
      </c>
    </row>
    <row r="88" ht="390" customHeight="true">
      <c r="A88" s="35" t="s">
        <v>333</v>
      </c>
    </row>
    <row r="89" ht="390" customHeight="true">
      <c r="A89" s="35" t="s">
        <v>334</v>
      </c>
    </row>
    <row r="90" ht="390" customHeight="true">
      <c r="A90" s="35" t="s">
        <v>335</v>
      </c>
    </row>
    <row r="91" ht="390" customHeight="true">
      <c r="A91" s="35" t="s">
        <v>336</v>
      </c>
    </row>
  </sheetData>
  <pageMargins left="0.1" right="0.1" top="0.1" bottom="0.1" header="0.1" footer="0.1"/>
  <pageSetup orientation="portrait" paperSize="9"/>
  <rowBreaks count="45" manualBreakCount="45">
    <brk id="2" max="16383" man="true"/>
    <brk id="4" max="16383" man="true"/>
    <brk id="6" max="16383" man="true"/>
    <brk id="8" max="16383" man="true"/>
    <brk id="10" max="16383" man="true"/>
    <brk id="12" max="16383" man="true"/>
    <brk id="14" max="16383" man="true"/>
    <brk id="16" max="16383" man="true"/>
    <brk id="18" max="16383" man="true"/>
    <brk id="20" max="16383" man="true"/>
    <brk id="22" max="16383" man="true"/>
    <brk id="24" max="16383" man="true"/>
    <brk id="26" max="16383" man="true"/>
    <brk id="28" max="16383" man="true"/>
    <brk id="30" max="16383" man="true"/>
    <brk id="32" max="16383" man="true"/>
    <brk id="34" max="16383" man="true"/>
    <brk id="36" max="16383" man="true"/>
    <brk id="38" max="16383" man="true"/>
    <brk id="40" max="16383" man="true"/>
    <brk id="42" max="16383" man="true"/>
    <brk id="44" max="16383" man="true"/>
    <brk id="46" max="16383" man="true"/>
    <brk id="48" max="16383" man="true"/>
    <brk id="50" max="16383" man="true"/>
    <brk id="52" max="16383" man="true"/>
    <brk id="54" max="16383" man="true"/>
    <brk id="56" max="16383" man="true"/>
    <brk id="58" max="16383" man="true"/>
    <brk id="60" max="16383" man="true"/>
    <brk id="62" max="16383" man="true"/>
    <brk id="64" max="16383" man="true"/>
    <brk id="66" max="16383" man="true"/>
    <brk id="68" max="16383" man="true"/>
    <brk id="70" max="16383" man="true"/>
    <brk id="72" max="16383" man="true"/>
    <brk id="74" max="16383" man="true"/>
    <brk id="76" max="16383" man="true"/>
    <brk id="78" max="16383" man="true"/>
    <brk id="80" max="16383" man="true"/>
    <brk id="82" max="16383" man="true"/>
    <brk id="84" max="16383" man="true"/>
    <brk id="86" max="16383" man="true"/>
    <brk id="88" max="16383" man="true"/>
    <brk id="90" max="16383" man="true"/>
  </rowBreaks>
  <col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7</vt:i4>
      </vt:variant>
      <vt:variant>
        <vt:lpstr>Named Ranges</vt:lpstr>
      </vt:variant>
      <vt:variant>
        <vt:i4>1</vt:i4>
      </vt:variant>
    </vt:vector>
  </HeadingPairs>
  <TitlesOfParts>
    <vt:vector size="8" baseType="lpstr">
      <vt:lpstr>data</vt:lpstr>
      <vt:lpstr>Time Estimator</vt:lpstr>
      <vt:lpstr>Pool Draw</vt:lpstr>
      <vt:lpstr>Pool Matches</vt:lpstr>
      <vt:lpstr>Elimination Matches</vt:lpstr>
      <vt:lpstr>Names to Print</vt:lpstr>
      <vt:lpstr>Tree</vt:lpstr>
      <vt:lpstr>Tree!Print_Area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Utilizador</dc:creator>
  <cp:lastModifiedBy>Ricardo Oliveira</cp:lastModifiedBy>
  <dcterms:created xsi:type="dcterms:W3CDTF">2008-05-30T21:10:50Z</dcterms:created>
  <dcterms:modified xsi:type="dcterms:W3CDTF">2023-11-12T16:34:03Z</dcterms:modified>
</cp:coreProperties>
</file>