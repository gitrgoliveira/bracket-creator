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<sst xmlns="http://schemas.openxmlformats.org/spreadsheetml/2006/main" count="55" uniqueCount="55">
  <si>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</si>
  <si>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</si>
  <si>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</si>
  <si>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</si>
  <si>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</si>
  <si>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</si>
  <si>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</si>
  <si>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</si>
  <si>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</si>
  <si>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</si>
  <si>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</si>
  <si>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</si>
  <si>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</si>
  <si>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</si>
  <si>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</si>
  <si>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</si>
  <si>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</si>
  <si>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</si>
  <si>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</si>
  <si>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</si>
  <si>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</si>
  <si>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</si>
  <si>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</si>
  <si>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</si>
  <si>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</si>
  <si>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</si>
  <si>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</si>
  <si>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</si>
  <si>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</si>
  <si>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</si>
  <si>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</si>
  <si>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</si>
  <si>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</si>
  <si>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</si>
  <si>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</si>
  <si>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IV</t>
  </si>
  <si>
    <t>PW</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</si>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</sst>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25" t="s">
        <v>49</v>
      </c>
      <c r="F14" s="25"/>
      <c r="G14" s="25"/>
      <c r="H14" s="24" t="str">
        <f>H2</f>
      </c>
    </row>
    <row r="15">
      <c r="E15" s="25" t="s">
        <v>50</v>
      </c>
      <c r="F15" s="25"/>
      <c r="G15" s="25"/>
      <c r="H15" s="24" t="str">
        <f>H8</f>
      </c>
    </row>
    <row r="16">
      <c r="E16" s="25" t="s">
        <v>51</v>
      </c>
      <c r="F16" s="25"/>
      <c r="G16" s="25"/>
      <c r="H16" s="24" t="str">
        <f>H14+H15</f>
      </c>
    </row>
    <row r="17">
      <c r="E17" s="25" t="s">
        <v>52</v>
      </c>
      <c r="F17" s="25"/>
      <c r="G17" s="25"/>
      <c r="H17" s="24" t="str">
        <f>H16/A14</f>
      </c>
    </row>
    <row r="18">
      <c r="E18" s="11" t="s">
        <v>53</v>
      </c>
      <c r="F18" s="11"/>
      <c r="G18" s="11"/>
      <c r="H18" s="26">
        <v>0.375</v>
      </c>
    </row>
    <row r="19">
      <c r="E19" s="11" t="s">
        <v>54</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22"/>
      <c r="E4" s="19"/>
      <c r="F4" s="19"/>
      <c r="G4" s="19" t="str">
        <f>'data'!$B$6</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'data'!$B$7</f>
      </c>
      <c r="B11" s="19" t="s">
        <v>35</v>
      </c>
      <c r="C11" s="19" t="s">
        <v>36</v>
      </c>
      <c r="D11" s="19"/>
      <c r="E11" s="19" t="s">
        <v>36</v>
      </c>
      <c r="F11" s="19" t="s">
        <v>35</v>
      </c>
      <c r="G11" s="19" t="str">
        <f>'data'!$B$6</f>
      </c>
    </row>
    <row r="12">
      <c r="A12" s="19" t="s">
        <v>37</v>
      </c>
      <c r="B12" s="19"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12" s="19"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12" s="19"/>
      <c r="E12" s="19"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12" s="19"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12" s="19" t="s">
        <v>37</v>
      </c>
    </row>
    <row r="15">
      <c r="F15" t="s">
        <v>38</v>
      </c>
      <c r="G15" s="23"/>
    </row>
    <row r="16">
      <c r="F16" t="s">
        <v>39</v>
      </c>
      <c r="G16" s="23"/>
    </row>
    <row r="18">
      <c r="A18" s="11" t="s">
        <v>40</v>
      </c>
      <c r="B18" s="11"/>
      <c r="C18" s="11"/>
      <c r="D18" s="11"/>
      <c r="E18" s="11"/>
      <c r="F18" s="11"/>
      <c r="G18" s="11"/>
    </row>
    <row r="19">
      <c r="A19" s="21" t="s">
        <v>32</v>
      </c>
      <c r="D19" s="19" t="s">
        <v>33</v>
      </c>
      <c r="G19" s="20" t="s">
        <v>34</v>
      </c>
    </row>
    <row r="20">
      <c r="A20" s="19" t="str">
        <f>'data'!$B$12</f>
      </c>
      <c r="B20" s="19"/>
      <c r="C20" s="19"/>
      <c r="D20" s="22"/>
      <c r="E20" s="19"/>
      <c r="F20" s="19"/>
      <c r="G20" s="19" t="str">
        <f>'data'!$B$11</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'data'!$B$12</f>
      </c>
      <c r="B27" s="19" t="s">
        <v>35</v>
      </c>
      <c r="C27" s="19" t="s">
        <v>36</v>
      </c>
      <c r="D27" s="19"/>
      <c r="E27" s="19" t="s">
        <v>36</v>
      </c>
      <c r="F27" s="19" t="s">
        <v>35</v>
      </c>
      <c r="G27" s="19" t="str">
        <f>'data'!$B$11</f>
      </c>
    </row>
    <row r="28">
      <c r="A28" s="19" t="s">
        <v>37</v>
      </c>
      <c r="B28" s="19" t="str">
        <f>IF(UPPER(D21)="X",0,IF((LEN(SUBSTITUTE(SUBSTITUTE(SUBSTITUTE(B21," ",""),"0",""),"-","")) +LEN(SUBSTITUTE(SUBSTITUTE(SUBSTITUTE(C21," ",""),"0",""),"-","")) )&gt;(LEN(SUBSTITUTE(SUBSTITUTE(SUBSTITUTE(E21," ",""),"0",""),"-","")) +LEN(SUBSTITUTE(SUBSTITUTE(SUBSTITUTE(F21," ",""),"0",""),"-","")) ),1,0))+IF(UPPER(D22)="X",0,IF((LEN(SUBSTITUTE(SUBSTITUTE(SUBSTITUTE(B22," ",""),"0",""),"-","")) +LEN(SUBSTITUTE(SUBSTITUTE(SUBSTITUTE(C22," ",""),"0",""),"-","")) )&gt;(LEN(SUBSTITUTE(SUBSTITUTE(SUBSTITUTE(E22," ",""),"0",""),"-","")) +LEN(SUBSTITUTE(SUBSTITUTE(SUBSTITUTE(F22," ",""),"0",""),"-","")) ),1,0))+IF(UPPER(D23)="X",0,IF((LEN(SUBSTITUTE(SUBSTITUTE(SUBSTITUTE(B23," ",""),"0",""),"-","")) +LEN(SUBSTITUTE(SUBSTITUTE(SUBSTITUTE(C23," ",""),"0",""),"-","")) )&gt;(LEN(SUBSTITUTE(SUBSTITUTE(SUBSTITUTE(E23," ",""),"0",""),"-","")) +LEN(SUBSTITUTE(SUBSTITUTE(SUBSTITUTE(F23," ",""),"0",""),"-","")) ),1,0))+IF(UPPER(D24)="X",0,IF((LEN(SUBSTITUTE(SUBSTITUTE(SUBSTITUTE(B24," ",""),"0",""),"-","")) +LEN(SUBSTITUTE(SUBSTITUTE(SUBSTITUTE(C24," ",""),"0",""),"-","")) )&gt;(LEN(SUBSTITUTE(SUBSTITUTE(SUBSTITUTE(E24," ",""),"0",""),"-","")) +LEN(SUBSTITUTE(SUBSTITUTE(SUBSTITUTE(F24," ",""),"0",""),"-","")) ),1,0))+IF(UPPER(D25)="X",0,IF((LEN(SUBSTITUTE(SUBSTITUTE(SUBSTITUTE(B25," ",""),"0",""),"-","")) +LEN(SUBSTITUTE(SUBSTITUTE(SUBSTITUTE(C25," ",""),"0",""),"-","")) )&gt;(LEN(SUBSTITUTE(SUBSTITUTE(SUBSTITUTE(E25," ",""),"0",""),"-","")) +LEN(SUBSTITUTE(SUBSTITUTE(SUBSTITUTE(F25," ",""),"0",""),"-","")) ),1,0))</f>
      </c>
      <c r="C28" s="19" t="str">
        <f>LEN(SUBSTITUTE(SUBSTITUTE(SUBSTITUTE(B21," ",""),"0",""),"-","")) +LEN(SUBSTITUTE(SUBSTITUTE(SUBSTITUTE(C21," ",""),"0",""),"-","")) +LEN(SUBSTITUTE(SUBSTITUTE(SUBSTITUTE(B22," ",""),"0",""),"-","")) +LEN(SUBSTITUTE(SUBSTITUTE(SUBSTITUTE(C22," ",""),"0",""),"-","")) +LEN(SUBSTITUTE(SUBSTITUTE(SUBSTITUTE(B23," ",""),"0",""),"-","")) +LEN(SUBSTITUTE(SUBSTITUTE(SUBSTITUTE(C23," ",""),"0",""),"-","")) +LEN(SUBSTITUTE(SUBSTITUTE(SUBSTITUTE(B24," ",""),"0",""),"-","")) +LEN(SUBSTITUTE(SUBSTITUTE(SUBSTITUTE(C24," ",""),"0",""),"-","")) +LEN(SUBSTITUTE(SUBSTITUTE(SUBSTITUTE(B25," ",""),"0",""),"-","")) +LEN(SUBSTITUTE(SUBSTITUTE(SUBSTITUTE(C25," ",""),"0",""),"-","")) </f>
      </c>
      <c r="D28" s="19"/>
      <c r="E28" s="19" t="str">
        <f>LEN(SUBSTITUTE(SUBSTITUTE(SUBSTITUTE(E21," ",""),"0",""),"-","")) +LEN(SUBSTITUTE(SUBSTITUTE(SUBSTITUTE(F21," ",""),"0",""),"-","")) +LEN(SUBSTITUTE(SUBSTITUTE(SUBSTITUTE(E22," ",""),"0",""),"-","")) +LEN(SUBSTITUTE(SUBSTITUTE(SUBSTITUTE(F22," ",""),"0",""),"-","")) +LEN(SUBSTITUTE(SUBSTITUTE(SUBSTITUTE(E23," ",""),"0",""),"-","")) +LEN(SUBSTITUTE(SUBSTITUTE(SUBSTITUTE(F23," ",""),"0",""),"-","")) +LEN(SUBSTITUTE(SUBSTITUTE(SUBSTITUTE(E24," ",""),"0",""),"-","")) +LEN(SUBSTITUTE(SUBSTITUTE(SUBSTITUTE(F24," ",""),"0",""),"-","")) +LEN(SUBSTITUTE(SUBSTITUTE(SUBSTITUTE(E25," ",""),"0",""),"-","")) +LEN(SUBSTITUTE(SUBSTITUTE(SUBSTITUTE(F25," ",""),"0",""),"-","")) </f>
      </c>
      <c r="F28" s="19" t="str">
        <f>IF(UPPER(D21)="X",0,IF((LEN(SUBSTITUTE(SUBSTITUTE(SUBSTITUTE(E21," ",""),"0",""),"-","")) +LEN(SUBSTITUTE(SUBSTITUTE(SUBSTITUTE(F21," ",""),"0",""),"-","")) )&gt;(LEN(SUBSTITUTE(SUBSTITUTE(SUBSTITUTE(B21," ",""),"0",""),"-","")) +LEN(SUBSTITUTE(SUBSTITUTE(SUBSTITUTE(C21," ",""),"0",""),"-","")) ),1,0))+IF(UPPER(D22)="X",0,IF((LEN(SUBSTITUTE(SUBSTITUTE(SUBSTITUTE(E22," ",""),"0",""),"-","")) +LEN(SUBSTITUTE(SUBSTITUTE(SUBSTITUTE(F22," ",""),"0",""),"-","")) )&gt;(LEN(SUBSTITUTE(SUBSTITUTE(SUBSTITUTE(B22," ",""),"0",""),"-","")) +LEN(SUBSTITUTE(SUBSTITUTE(SUBSTITUTE(C22," ",""),"0",""),"-","")) ),1,0))+IF(UPPER(D23)="X",0,IF((LEN(SUBSTITUTE(SUBSTITUTE(SUBSTITUTE(E23," ",""),"0",""),"-","")) +LEN(SUBSTITUTE(SUBSTITUTE(SUBSTITUTE(F23," ",""),"0",""),"-","")) )&gt;(LEN(SUBSTITUTE(SUBSTITUTE(SUBSTITUTE(B23," ",""),"0",""),"-","")) +LEN(SUBSTITUTE(SUBSTITUTE(SUBSTITUTE(C23," ",""),"0",""),"-","")) ),1,0))+IF(UPPER(D24)="X",0,IF((LEN(SUBSTITUTE(SUBSTITUTE(SUBSTITUTE(E24," ",""),"0",""),"-","")) +LEN(SUBSTITUTE(SUBSTITUTE(SUBSTITUTE(F24," ",""),"0",""),"-","")) )&gt;(LEN(SUBSTITUTE(SUBSTITUTE(SUBSTITUTE(B24," ",""),"0",""),"-","")) +LEN(SUBSTITUTE(SUBSTITUTE(SUBSTITUTE(C24," ",""),"0",""),"-","")) ),1,0))+IF(UPPER(D25)="X",0,IF((LEN(SUBSTITUTE(SUBSTITUTE(SUBSTITUTE(E25," ",""),"0",""),"-","")) +LEN(SUBSTITUTE(SUBSTITUTE(SUBSTITUTE(F25," ",""),"0",""),"-","")) )&gt;(LEN(SUBSTITUTE(SUBSTITUTE(SUBSTITUTE(B25," ",""),"0",""),"-","")) +LEN(SUBSTITUTE(SUBSTITUTE(SUBSTITUTE(C25," ",""),"0",""),"-","")) ),1,0))</f>
      </c>
      <c r="G28" s="19" t="s">
        <v>37</v>
      </c>
    </row>
    <row r="31">
      <c r="F31" t="s">
        <v>38</v>
      </c>
      <c r="G31" s="23"/>
    </row>
    <row r="32">
      <c r="F32" t="s">
        <v>39</v>
      </c>
      <c r="G32" s="23"/>
    </row>
    <row r="39">
      <c r="A39" s="11" t="s">
        <v>41</v>
      </c>
      <c r="B39" s="11"/>
      <c r="C39" s="11"/>
      <c r="D39" s="11"/>
      <c r="E39" s="11"/>
      <c r="F39" s="11"/>
      <c r="G39" s="11"/>
    </row>
    <row r="40">
      <c r="A40" s="21" t="s">
        <v>32</v>
      </c>
      <c r="D40" s="19" t="s">
        <v>33</v>
      </c>
      <c r="G40" s="20" t="s">
        <v>34</v>
      </c>
    </row>
    <row r="41">
      <c r="A41" s="19" t="str">
        <f>'data'!$B$4</f>
      </c>
      <c r="B41" s="19"/>
      <c r="C41" s="19"/>
      <c r="D41" s="22"/>
      <c r="E41" s="19"/>
      <c r="F41" s="19"/>
      <c r="G41" s="19" t="str">
        <f>'data'!$B$3</f>
      </c>
    </row>
    <row r="42">
      <c r="A42" s="19">
        <v>1</v>
      </c>
      <c r="B42" s="22"/>
      <c r="C42" s="22"/>
      <c r="D42" s="22"/>
      <c r="E42" s="22"/>
      <c r="F42" s="22"/>
      <c r="G42" s="19">
        <v>1</v>
      </c>
    </row>
    <row r="43">
      <c r="A43" s="19">
        <v>2</v>
      </c>
      <c r="B43" s="22"/>
      <c r="C43" s="22"/>
      <c r="D43" s="22"/>
      <c r="E43" s="22"/>
      <c r="F43" s="22"/>
      <c r="G43" s="19">
        <v>2</v>
      </c>
    </row>
    <row r="44">
      <c r="A44" s="19">
        <v>3</v>
      </c>
      <c r="B44" s="22"/>
      <c r="C44" s="22"/>
      <c r="D44" s="22"/>
      <c r="E44" s="22"/>
      <c r="F44" s="22"/>
      <c r="G44" s="19">
        <v>3</v>
      </c>
    </row>
    <row r="45">
      <c r="A45" s="19">
        <v>4</v>
      </c>
      <c r="B45" s="22"/>
      <c r="C45" s="22"/>
      <c r="D45" s="22"/>
      <c r="E45" s="22"/>
      <c r="F45" s="22"/>
      <c r="G45" s="19">
        <v>4</v>
      </c>
    </row>
    <row r="46">
      <c r="A46" s="19">
        <v>5</v>
      </c>
      <c r="B46" s="22"/>
      <c r="C46" s="22"/>
      <c r="D46" s="22"/>
      <c r="E46" s="22"/>
      <c r="F46" s="22"/>
      <c r="G46" s="19">
        <v>5</v>
      </c>
    </row>
    <row r="48">
      <c r="A48" s="19" t="str">
        <f>'data'!$B$4</f>
      </c>
      <c r="B48" s="19" t="s">
        <v>35</v>
      </c>
      <c r="C48" s="19" t="s">
        <v>36</v>
      </c>
      <c r="D48" s="19"/>
      <c r="E48" s="19" t="s">
        <v>36</v>
      </c>
      <c r="F48" s="19" t="s">
        <v>35</v>
      </c>
      <c r="G48" s="19" t="str">
        <f>'data'!$B$3</f>
      </c>
    </row>
    <row r="49">
      <c r="A49" s="19" t="s">
        <v>37</v>
      </c>
      <c r="B49" s="19" t="str">
        <f>IF(UPPER(D42)="X",0,IF((LEN(SUBSTITUTE(SUBSTITUTE(SUBSTITUTE(B42," ",""),"0",""),"-","")) +LEN(SUBSTITUTE(SUBSTITUTE(SUBSTITUTE(C42," ",""),"0",""),"-","")) )&gt;(LEN(SUBSTITUTE(SUBSTITUTE(SUBSTITUTE(E42," ",""),"0",""),"-","")) +LEN(SUBSTITUTE(SUBSTITUTE(SUBSTITUTE(F42," ",""),"0",""),"-","")) ),1,0))+IF(UPPER(D43)="X",0,IF((LEN(SUBSTITUTE(SUBSTITUTE(SUBSTITUTE(B43," ",""),"0",""),"-","")) +LEN(SUBSTITUTE(SUBSTITUTE(SUBSTITUTE(C43," ",""),"0",""),"-","")) )&gt;(LEN(SUBSTITUTE(SUBSTITUTE(SUBSTITUTE(E43," ",""),"0",""),"-","")) +LEN(SUBSTITUTE(SUBSTITUTE(SUBSTITUTE(F43," ",""),"0",""),"-","")) ),1,0))+IF(UPPER(D44)="X",0,IF((LEN(SUBSTITUTE(SUBSTITUTE(SUBSTITUTE(B44," ",""),"0",""),"-","")) +LEN(SUBSTITUTE(SUBSTITUTE(SUBSTITUTE(C44," ",""),"0",""),"-","")) )&gt;(LEN(SUBSTITUTE(SUBSTITUTE(SUBSTITUTE(E44," ",""),"0",""),"-","")) +LEN(SUBSTITUTE(SUBSTITUTE(SUBSTITUTE(F44," ",""),"0",""),"-","")) ),1,0))+IF(UPPER(D45)="X",0,IF((LEN(SUBSTITUTE(SUBSTITUTE(SUBSTITUTE(B45," ",""),"0",""),"-","")) +LEN(SUBSTITUTE(SUBSTITUTE(SUBSTITUTE(C45," ",""),"0",""),"-","")) )&gt;(LEN(SUBSTITUTE(SUBSTITUTE(SUBSTITUTE(E45," ",""),"0",""),"-","")) +LEN(SUBSTITUTE(SUBSTITUTE(SUBSTITUTE(F45," ",""),"0",""),"-","")) ),1,0))+IF(UPPER(D46)="X",0,IF((LEN(SUBSTITUTE(SUBSTITUTE(SUBSTITUTE(B46," ",""),"0",""),"-","")) +LEN(SUBSTITUTE(SUBSTITUTE(SUBSTITUTE(C46," ",""),"0",""),"-","")) )&gt;(LEN(SUBSTITUTE(SUBSTITUTE(SUBSTITUTE(E46," ",""),"0",""),"-","")) +LEN(SUBSTITUTE(SUBSTITUTE(SUBSTITUTE(F46," ",""),"0",""),"-","")) ),1,0))</f>
      </c>
      <c r="C49" s="19" t="str">
        <f>LEN(SUBSTITUTE(SUBSTITUTE(SUBSTITUTE(B42," ",""),"0",""),"-","")) +LEN(SUBSTITUTE(SUBSTITUTE(SUBSTITUTE(C42," ",""),"0",""),"-","")) +LEN(SUBSTITUTE(SUBSTITUTE(SUBSTITUTE(B43," ",""),"0",""),"-","")) +LEN(SUBSTITUTE(SUBSTITUTE(SUBSTITUTE(C43," ",""),"0",""),"-","")) +LEN(SUBSTITUTE(SUBSTITUTE(SUBSTITUTE(B44," ",""),"0",""),"-","")) +LEN(SUBSTITUTE(SUBSTITUTE(SUBSTITUTE(C44," ",""),"0",""),"-","")) +LEN(SUBSTITUTE(SUBSTITUTE(SUBSTITUTE(B45," ",""),"0",""),"-","")) +LEN(SUBSTITUTE(SUBSTITUTE(SUBSTITUTE(C45," ",""),"0",""),"-","")) +LEN(SUBSTITUTE(SUBSTITUTE(SUBSTITUTE(B46," ",""),"0",""),"-","")) +LEN(SUBSTITUTE(SUBSTITUTE(SUBSTITUTE(C46," ",""),"0",""),"-","")) </f>
      </c>
      <c r="D49" s="19"/>
      <c r="E49" s="19" t="str">
        <f>LEN(SUBSTITUTE(SUBSTITUTE(SUBSTITUTE(E42," ",""),"0",""),"-","")) +LEN(SUBSTITUTE(SUBSTITUTE(SUBSTITUTE(F42," ",""),"0",""),"-","")) +LEN(SUBSTITUTE(SUBSTITUTE(SUBSTITUTE(E43," ",""),"0",""),"-","")) +LEN(SUBSTITUTE(SUBSTITUTE(SUBSTITUTE(F43," ",""),"0",""),"-","")) +LEN(SUBSTITUTE(SUBSTITUTE(SUBSTITUTE(E44," ",""),"0",""),"-","")) +LEN(SUBSTITUTE(SUBSTITUTE(SUBSTITUTE(F44," ",""),"0",""),"-","")) +LEN(SUBSTITUTE(SUBSTITUTE(SUBSTITUTE(E45," ",""),"0",""),"-","")) +LEN(SUBSTITUTE(SUBSTITUTE(SUBSTITUTE(F45," ",""),"0",""),"-","")) +LEN(SUBSTITUTE(SUBSTITUTE(SUBSTITUTE(E46," ",""),"0",""),"-","")) +LEN(SUBSTITUTE(SUBSTITUTE(SUBSTITUTE(F46," ",""),"0",""),"-","")) </f>
      </c>
      <c r="F49" s="19" t="str">
        <f>IF(UPPER(D42)="X",0,IF((LEN(SUBSTITUTE(SUBSTITUTE(SUBSTITUTE(E42," ",""),"0",""),"-","")) +LEN(SUBSTITUTE(SUBSTITUTE(SUBSTITUTE(F42," ",""),"0",""),"-","")) )&gt;(LEN(SUBSTITUTE(SUBSTITUTE(SUBSTITUTE(B42," ",""),"0",""),"-","")) +LEN(SUBSTITUTE(SUBSTITUTE(SUBSTITUTE(C42," ",""),"0",""),"-","")) ),1,0))+IF(UPPER(D43)="X",0,IF((LEN(SUBSTITUTE(SUBSTITUTE(SUBSTITUTE(E43," ",""),"0",""),"-","")) +LEN(SUBSTITUTE(SUBSTITUTE(SUBSTITUTE(F43," ",""),"0",""),"-","")) )&gt;(LEN(SUBSTITUTE(SUBSTITUTE(SUBSTITUTE(B43," ",""),"0",""),"-","")) +LEN(SUBSTITUTE(SUBSTITUTE(SUBSTITUTE(C43," ",""),"0",""),"-","")) ),1,0))+IF(UPPER(D44)="X",0,IF((LEN(SUBSTITUTE(SUBSTITUTE(SUBSTITUTE(E44," ",""),"0",""),"-","")) +LEN(SUBSTITUTE(SUBSTITUTE(SUBSTITUTE(F44," ",""),"0",""),"-","")) )&gt;(LEN(SUBSTITUTE(SUBSTITUTE(SUBSTITUTE(B44," ",""),"0",""),"-","")) +LEN(SUBSTITUTE(SUBSTITUTE(SUBSTITUTE(C44," ",""),"0",""),"-","")) ),1,0))+IF(UPPER(D45)="X",0,IF((LEN(SUBSTITUTE(SUBSTITUTE(SUBSTITUTE(E45," ",""),"0",""),"-","")) +LEN(SUBSTITUTE(SUBSTITUTE(SUBSTITUTE(F45," ",""),"0",""),"-","")) )&gt;(LEN(SUBSTITUTE(SUBSTITUTE(SUBSTITUTE(B45," ",""),"0",""),"-","")) +LEN(SUBSTITUTE(SUBSTITUTE(SUBSTITUTE(C45," ",""),"0",""),"-","")) ),1,0))+IF(UPPER(D46)="X",0,IF((LEN(SUBSTITUTE(SUBSTITUTE(SUBSTITUTE(E46," ",""),"0",""),"-","")) +LEN(SUBSTITUTE(SUBSTITUTE(SUBSTITUTE(F46," ",""),"0",""),"-","")) )&gt;(LEN(SUBSTITUTE(SUBSTITUTE(SUBSTITUTE(B46," ",""),"0",""),"-","")) +LEN(SUBSTITUTE(SUBSTITUTE(SUBSTITUTE(C46," ",""),"0",""),"-","")) ),1,0))</f>
      </c>
      <c r="G49" s="19" t="s">
        <v>37</v>
      </c>
    </row>
    <row r="52">
      <c r="F52" t="s">
        <v>38</v>
      </c>
      <c r="G52" s="23"/>
    </row>
    <row r="53">
      <c r="F53" t="s">
        <v>39</v>
      </c>
      <c r="G53" s="23"/>
    </row>
    <row r="55">
      <c r="A55" s="11" t="s">
        <v>42</v>
      </c>
      <c r="B55" s="11"/>
      <c r="C55" s="11"/>
      <c r="D55" s="11"/>
      <c r="E55" s="11"/>
      <c r="F55" s="11"/>
      <c r="G55" s="11"/>
    </row>
    <row r="56">
      <c r="A56" s="21" t="s">
        <v>32</v>
      </c>
      <c r="D56" s="19" t="s">
        <v>33</v>
      </c>
      <c r="G56" s="20" t="s">
        <v>34</v>
      </c>
    </row>
    <row r="57">
      <c r="A57" s="19" t="str">
        <f>CONCATENATE("M 1 ",G15)</f>
      </c>
      <c r="B57" s="19"/>
      <c r="C57" s="19"/>
      <c r="D57" s="22"/>
      <c r="E57" s="19"/>
      <c r="F57" s="19"/>
      <c r="G57" s="19" t="str">
        <f>'data'!$B$5</f>
      </c>
    </row>
    <row r="58">
      <c r="A58" s="19">
        <v>1</v>
      </c>
      <c r="B58" s="22"/>
      <c r="C58" s="22"/>
      <c r="D58" s="22"/>
      <c r="E58" s="22"/>
      <c r="F58" s="22"/>
      <c r="G58" s="19">
        <v>1</v>
      </c>
    </row>
    <row r="59">
      <c r="A59" s="19">
        <v>2</v>
      </c>
      <c r="B59" s="22"/>
      <c r="C59" s="22"/>
      <c r="D59" s="22"/>
      <c r="E59" s="22"/>
      <c r="F59" s="22"/>
      <c r="G59" s="19">
        <v>2</v>
      </c>
    </row>
    <row r="60">
      <c r="A60" s="19">
        <v>3</v>
      </c>
      <c r="B60" s="22"/>
      <c r="C60" s="22"/>
      <c r="D60" s="22"/>
      <c r="E60" s="22"/>
      <c r="F60" s="22"/>
      <c r="G60" s="19">
        <v>3</v>
      </c>
    </row>
    <row r="61">
      <c r="A61" s="19">
        <v>4</v>
      </c>
      <c r="B61" s="22"/>
      <c r="C61" s="22"/>
      <c r="D61" s="22"/>
      <c r="E61" s="22"/>
      <c r="F61" s="22"/>
      <c r="G61" s="19">
        <v>4</v>
      </c>
    </row>
    <row r="62">
      <c r="A62" s="19">
        <v>5</v>
      </c>
      <c r="B62" s="22"/>
      <c r="C62" s="22"/>
      <c r="D62" s="22"/>
      <c r="E62" s="22"/>
      <c r="F62" s="22"/>
      <c r="G62" s="19">
        <v>5</v>
      </c>
    </row>
    <row r="64">
      <c r="A64" s="19" t="str">
        <f>CONCATENATE("M 1 ",G15)</f>
      </c>
      <c r="B64" s="19" t="s">
        <v>35</v>
      </c>
      <c r="C64" s="19" t="s">
        <v>36</v>
      </c>
      <c r="D64" s="19"/>
      <c r="E64" s="19" t="s">
        <v>36</v>
      </c>
      <c r="F64" s="19" t="s">
        <v>35</v>
      </c>
      <c r="G64" s="19" t="str">
        <f>'data'!$B$5</f>
      </c>
    </row>
    <row r="65">
      <c r="A65" s="19" t="s">
        <v>37</v>
      </c>
      <c r="B65" s="19" t="str">
        <f>IF(UPPER(D58)="X",0,IF((LEN(SUBSTITUTE(SUBSTITUTE(SUBSTITUTE(B58," ",""),"0",""),"-","")) +LEN(SUBSTITUTE(SUBSTITUTE(SUBSTITUTE(C58," ",""),"0",""),"-","")) )&gt;(LEN(SUBSTITUTE(SUBSTITUTE(SUBSTITUTE(E58," ",""),"0",""),"-","")) +LEN(SUBSTITUTE(SUBSTITUTE(SUBSTITUTE(F58," ",""),"0",""),"-","")) ),1,0))+IF(UPPER(D59)="X",0,IF((LEN(SUBSTITUTE(SUBSTITUTE(SUBSTITUTE(B59," ",""),"0",""),"-","")) +LEN(SUBSTITUTE(SUBSTITUTE(SUBSTITUTE(C59," ",""),"0",""),"-","")) )&gt;(LEN(SUBSTITUTE(SUBSTITUTE(SUBSTITUTE(E59," ",""),"0",""),"-","")) +LEN(SUBSTITUTE(SUBSTITUTE(SUBSTITUTE(F59," ",""),"0",""),"-","")) ),1,0))+IF(UPPER(D60)="X",0,IF((LEN(SUBSTITUTE(SUBSTITUTE(SUBSTITUTE(B60," ",""),"0",""),"-","")) +LEN(SUBSTITUTE(SUBSTITUTE(SUBSTITUTE(C60," ",""),"0",""),"-","")) )&gt;(LEN(SUBSTITUTE(SUBSTITUTE(SUBSTITUTE(E60," ",""),"0",""),"-","")) +LEN(SUBSTITUTE(SUBSTITUTE(SUBSTITUTE(F60," ",""),"0",""),"-","")) ),1,0))+IF(UPPER(D61)="X",0,IF((LEN(SUBSTITUTE(SUBSTITUTE(SUBSTITUTE(B61," ",""),"0",""),"-","")) +LEN(SUBSTITUTE(SUBSTITUTE(SUBSTITUTE(C61," ",""),"0",""),"-","")) )&gt;(LEN(SUBSTITUTE(SUBSTITUTE(SUBSTITUTE(E61," ",""),"0",""),"-","")) +LEN(SUBSTITUTE(SUBSTITUTE(SUBSTITUTE(F61," ",""),"0",""),"-","")) ),1,0))+IF(UPPER(D62)="X",0,IF((LEN(SUBSTITUTE(SUBSTITUTE(SUBSTITUTE(B62," ",""),"0",""),"-","")) +LEN(SUBSTITUTE(SUBSTITUTE(SUBSTITUTE(C62," ",""),"0",""),"-","")) )&gt;(LEN(SUBSTITUTE(SUBSTITUTE(SUBSTITUTE(E62," ",""),"0",""),"-","")) +LEN(SUBSTITUTE(SUBSTITUTE(SUBSTITUTE(F62," ",""),"0",""),"-","")) ),1,0))</f>
      </c>
      <c r="C65" s="19" t="str">
        <f>LEN(SUBSTITUTE(SUBSTITUTE(SUBSTITUTE(B58," ",""),"0",""),"-","")) +LEN(SUBSTITUTE(SUBSTITUTE(SUBSTITUTE(C58," ",""),"0",""),"-","")) +LEN(SUBSTITUTE(SUBSTITUTE(SUBSTITUTE(B59," ",""),"0",""),"-","")) +LEN(SUBSTITUTE(SUBSTITUTE(SUBSTITUTE(C59," ",""),"0",""),"-","")) +LEN(SUBSTITUTE(SUBSTITUTE(SUBSTITUTE(B60," ",""),"0",""),"-","")) +LEN(SUBSTITUTE(SUBSTITUTE(SUBSTITUTE(C60," ",""),"0",""),"-","")) +LEN(SUBSTITUTE(SUBSTITUTE(SUBSTITUTE(B61," ",""),"0",""),"-","")) +LEN(SUBSTITUTE(SUBSTITUTE(SUBSTITUTE(C61," ",""),"0",""),"-","")) +LEN(SUBSTITUTE(SUBSTITUTE(SUBSTITUTE(B62," ",""),"0",""),"-","")) +LEN(SUBSTITUTE(SUBSTITUTE(SUBSTITUTE(C62," ",""),"0",""),"-","")) </f>
      </c>
      <c r="D65" s="19"/>
      <c r="E65" s="19" t="str">
        <f>LEN(SUBSTITUTE(SUBSTITUTE(SUBSTITUTE(E58," ",""),"0",""),"-","")) +LEN(SUBSTITUTE(SUBSTITUTE(SUBSTITUTE(F58," ",""),"0",""),"-","")) +LEN(SUBSTITUTE(SUBSTITUTE(SUBSTITUTE(E59," ",""),"0",""),"-","")) +LEN(SUBSTITUTE(SUBSTITUTE(SUBSTITUTE(F59," ",""),"0",""),"-","")) +LEN(SUBSTITUTE(SUBSTITUTE(SUBSTITUTE(E60," ",""),"0",""),"-","")) +LEN(SUBSTITUTE(SUBSTITUTE(SUBSTITUTE(F60," ",""),"0",""),"-","")) +LEN(SUBSTITUTE(SUBSTITUTE(SUBSTITUTE(E61," ",""),"0",""),"-","")) +LEN(SUBSTITUTE(SUBSTITUTE(SUBSTITUTE(F61," ",""),"0",""),"-","")) +LEN(SUBSTITUTE(SUBSTITUTE(SUBSTITUTE(E62," ",""),"0",""),"-","")) +LEN(SUBSTITUTE(SUBSTITUTE(SUBSTITUTE(F62," ",""),"0",""),"-","")) </f>
      </c>
      <c r="F65" s="19" t="str">
        <f>IF(UPPER(D58)="X",0,IF((LEN(SUBSTITUTE(SUBSTITUTE(SUBSTITUTE(E58," ",""),"0",""),"-","")) +LEN(SUBSTITUTE(SUBSTITUTE(SUBSTITUTE(F58," ",""),"0",""),"-","")) )&gt;(LEN(SUBSTITUTE(SUBSTITUTE(SUBSTITUTE(B58," ",""),"0",""),"-","")) +LEN(SUBSTITUTE(SUBSTITUTE(SUBSTITUTE(C58," ",""),"0",""),"-","")) ),1,0))+IF(UPPER(D59)="X",0,IF((LEN(SUBSTITUTE(SUBSTITUTE(SUBSTITUTE(E59," ",""),"0",""),"-","")) +LEN(SUBSTITUTE(SUBSTITUTE(SUBSTITUTE(F59," ",""),"0",""),"-","")) )&gt;(LEN(SUBSTITUTE(SUBSTITUTE(SUBSTITUTE(B59," ",""),"0",""),"-","")) +LEN(SUBSTITUTE(SUBSTITUTE(SUBSTITUTE(C59," ",""),"0",""),"-","")) ),1,0))+IF(UPPER(D60)="X",0,IF((LEN(SUBSTITUTE(SUBSTITUTE(SUBSTITUTE(E60," ",""),"0",""),"-","")) +LEN(SUBSTITUTE(SUBSTITUTE(SUBSTITUTE(F60," ",""),"0",""),"-","")) )&gt;(LEN(SUBSTITUTE(SUBSTITUTE(SUBSTITUTE(B60," ",""),"0",""),"-","")) +LEN(SUBSTITUTE(SUBSTITUTE(SUBSTITUTE(C60," ",""),"0",""),"-","")) ),1,0))+IF(UPPER(D61)="X",0,IF((LEN(SUBSTITUTE(SUBSTITUTE(SUBSTITUTE(E61," ",""),"0",""),"-","")) +LEN(SUBSTITUTE(SUBSTITUTE(SUBSTITUTE(F61," ",""),"0",""),"-","")) )&gt;(LEN(SUBSTITUTE(SUBSTITUTE(SUBSTITUTE(B61," ",""),"0",""),"-","")) +LEN(SUBSTITUTE(SUBSTITUTE(SUBSTITUTE(C61," ",""),"0",""),"-","")) ),1,0))+IF(UPPER(D62)="X",0,IF((LEN(SUBSTITUTE(SUBSTITUTE(SUBSTITUTE(E62," ",""),"0",""),"-","")) +LEN(SUBSTITUTE(SUBSTITUTE(SUBSTITUTE(F62," ",""),"0",""),"-","")) )&gt;(LEN(SUBSTITUTE(SUBSTITUTE(SUBSTITUTE(B62," ",""),"0",""),"-","")) +LEN(SUBSTITUTE(SUBSTITUTE(SUBSTITUTE(C62," ",""),"0",""),"-","")) ),1,0))</f>
      </c>
      <c r="G65" s="19" t="s">
        <v>37</v>
      </c>
    </row>
    <row r="68">
      <c r="F68" t="s">
        <v>38</v>
      </c>
      <c r="G68" s="23"/>
    </row>
    <row r="69">
      <c r="F69" t="s">
        <v>39</v>
      </c>
      <c r="G69" s="23"/>
    </row>
    <row r="71">
      <c r="A71" s="11" t="s">
        <v>43</v>
      </c>
      <c r="B71" s="11"/>
      <c r="C71" s="11"/>
      <c r="D71" s="11"/>
      <c r="E71" s="11"/>
      <c r="F71" s="11"/>
      <c r="G71" s="11"/>
    </row>
    <row r="72">
      <c r="A72" s="21" t="s">
        <v>32</v>
      </c>
      <c r="D72" s="19" t="s">
        <v>33</v>
      </c>
      <c r="G72" s="20" t="s">
        <v>34</v>
      </c>
    </row>
    <row r="73">
      <c r="A73" s="19" t="str">
        <f>'data'!$B$9</f>
      </c>
      <c r="B73" s="19"/>
      <c r="C73" s="19"/>
      <c r="D73" s="22"/>
      <c r="E73" s="19"/>
      <c r="F73" s="19"/>
      <c r="G73" s="19" t="str">
        <f>'data'!$B$8</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'data'!$B$9</f>
      </c>
      <c r="B80" s="19" t="s">
        <v>35</v>
      </c>
      <c r="C80" s="19" t="s">
        <v>36</v>
      </c>
      <c r="D80" s="19"/>
      <c r="E80" s="19" t="s">
        <v>36</v>
      </c>
      <c r="F80" s="19" t="s">
        <v>35</v>
      </c>
      <c r="G80" s="19" t="str">
        <f>'data'!$B$8</f>
      </c>
    </row>
    <row r="81">
      <c r="A81" s="19" t="s">
        <v>37</v>
      </c>
      <c r="B81" s="19" t="str">
        <f>IF(UPPER(D74)="X",0,IF((LEN(SUBSTITUTE(SUBSTITUTE(SUBSTITUTE(B74," ",""),"0",""),"-","")) +LEN(SUBSTITUTE(SUBSTITUTE(SUBSTITUTE(C74," ",""),"0",""),"-","")) )&gt;(LEN(SUBSTITUTE(SUBSTITUTE(SUBSTITUTE(E74," ",""),"0",""),"-","")) +LEN(SUBSTITUTE(SUBSTITUTE(SUBSTITUTE(F74," ",""),"0",""),"-","")) ),1,0))+IF(UPPER(D75)="X",0,IF((LEN(SUBSTITUTE(SUBSTITUTE(SUBSTITUTE(B75," ",""),"0",""),"-","")) +LEN(SUBSTITUTE(SUBSTITUTE(SUBSTITUTE(C75," ",""),"0",""),"-","")) )&gt;(LEN(SUBSTITUTE(SUBSTITUTE(SUBSTITUTE(E75," ",""),"0",""),"-","")) +LEN(SUBSTITUTE(SUBSTITUTE(SUBSTITUTE(F75," ",""),"0",""),"-","")) ),1,0))+IF(UPPER(D76)="X",0,IF((LEN(SUBSTITUTE(SUBSTITUTE(SUBSTITUTE(B76," ",""),"0",""),"-","")) +LEN(SUBSTITUTE(SUBSTITUTE(SUBSTITUTE(C76," ",""),"0",""),"-","")) )&gt;(LEN(SUBSTITUTE(SUBSTITUTE(SUBSTITUTE(E76," ",""),"0",""),"-","")) +LEN(SUBSTITUTE(SUBSTITUTE(SUBSTITUTE(F76," ",""),"0",""),"-","")) ),1,0))+IF(UPPER(D77)="X",0,IF((LEN(SUBSTITUTE(SUBSTITUTE(SUBSTITUTE(B77," ",""),"0",""),"-","")) +LEN(SUBSTITUTE(SUBSTITUTE(SUBSTITUTE(C77," ",""),"0",""),"-","")) )&gt;(LEN(SUBSTITUTE(SUBSTITUTE(SUBSTITUTE(E77," ",""),"0",""),"-","")) +LEN(SUBSTITUTE(SUBSTITUTE(SUBSTITUTE(F77," ",""),"0",""),"-","")) ),1,0))+IF(UPPER(D78)="X",0,IF((LEN(SUBSTITUTE(SUBSTITUTE(SUBSTITUTE(B78," ",""),"0",""),"-","")) +LEN(SUBSTITUTE(SUBSTITUTE(SUBSTITUTE(C78," ",""),"0",""),"-","")) )&gt;(LEN(SUBSTITUTE(SUBSTITUTE(SUBSTITUTE(E78," ",""),"0",""),"-","")) +LEN(SUBSTITUTE(SUBSTITUTE(SUBSTITUTE(F78," ",""),"0",""),"-","")) ),1,0))</f>
      </c>
      <c r="C81" s="19" t="str">
        <f>LEN(SUBSTITUTE(SUBSTITUTE(SUBSTITUTE(B74," ",""),"0",""),"-","")) +LEN(SUBSTITUTE(SUBSTITUTE(SUBSTITUTE(C74," ",""),"0",""),"-","")) +LEN(SUBSTITUTE(SUBSTITUTE(SUBSTITUTE(B75," ",""),"0",""),"-","")) +LEN(SUBSTITUTE(SUBSTITUTE(SUBSTITUTE(C75," ",""),"0",""),"-","")) +LEN(SUBSTITUTE(SUBSTITUTE(SUBSTITUTE(B76," ",""),"0",""),"-","")) +LEN(SUBSTITUTE(SUBSTITUTE(SUBSTITUTE(C76," ",""),"0",""),"-","")) +LEN(SUBSTITUTE(SUBSTITUTE(SUBSTITUTE(B77," ",""),"0",""),"-","")) +LEN(SUBSTITUTE(SUBSTITUTE(SUBSTITUTE(C77," ",""),"0",""),"-","")) +LEN(SUBSTITUTE(SUBSTITUTE(SUBSTITUTE(B78," ",""),"0",""),"-","")) +LEN(SUBSTITUTE(SUBSTITUTE(SUBSTITUTE(C78," ",""),"0",""),"-","")) </f>
      </c>
      <c r="D81" s="19"/>
      <c r="E81" s="19" t="str">
        <f>LEN(SUBSTITUTE(SUBSTITUTE(SUBSTITUTE(E74," ",""),"0",""),"-","")) +LEN(SUBSTITUTE(SUBSTITUTE(SUBSTITUTE(F74," ",""),"0",""),"-","")) +LEN(SUBSTITUTE(SUBSTITUTE(SUBSTITUTE(E75," ",""),"0",""),"-","")) +LEN(SUBSTITUTE(SUBSTITUTE(SUBSTITUTE(F75," ",""),"0",""),"-","")) +LEN(SUBSTITUTE(SUBSTITUTE(SUBSTITUTE(E76," ",""),"0",""),"-","")) +LEN(SUBSTITUTE(SUBSTITUTE(SUBSTITUTE(F76," ",""),"0",""),"-","")) +LEN(SUBSTITUTE(SUBSTITUTE(SUBSTITUTE(E77," ",""),"0",""),"-","")) +LEN(SUBSTITUTE(SUBSTITUTE(SUBSTITUTE(F77," ",""),"0",""),"-","")) +LEN(SUBSTITUTE(SUBSTITUTE(SUBSTITUTE(E78," ",""),"0",""),"-","")) +LEN(SUBSTITUTE(SUBSTITUTE(SUBSTITUTE(F78," ",""),"0",""),"-","")) </f>
      </c>
      <c r="F81" s="19" t="str">
        <f>IF(UPPER(D74)="X",0,IF((LEN(SUBSTITUTE(SUBSTITUTE(SUBSTITUTE(E74," ",""),"0",""),"-","")) +LEN(SUBSTITUTE(SUBSTITUTE(SUBSTITUTE(F74," ",""),"0",""),"-","")) )&gt;(LEN(SUBSTITUTE(SUBSTITUTE(SUBSTITUTE(B74," ",""),"0",""),"-","")) +LEN(SUBSTITUTE(SUBSTITUTE(SUBSTITUTE(C74," ",""),"0",""),"-","")) ),1,0))+IF(UPPER(D75)="X",0,IF((LEN(SUBSTITUTE(SUBSTITUTE(SUBSTITUTE(E75," ",""),"0",""),"-","")) +LEN(SUBSTITUTE(SUBSTITUTE(SUBSTITUTE(F75," ",""),"0",""),"-","")) )&gt;(LEN(SUBSTITUTE(SUBSTITUTE(SUBSTITUTE(B75," ",""),"0",""),"-","")) +LEN(SUBSTITUTE(SUBSTITUTE(SUBSTITUTE(C75," ",""),"0",""),"-","")) ),1,0))+IF(UPPER(D76)="X",0,IF((LEN(SUBSTITUTE(SUBSTITUTE(SUBSTITUTE(E76," ",""),"0",""),"-","")) +LEN(SUBSTITUTE(SUBSTITUTE(SUBSTITUTE(F76," ",""),"0",""),"-","")) )&gt;(LEN(SUBSTITUTE(SUBSTITUTE(SUBSTITUTE(B76," ",""),"0",""),"-","")) +LEN(SUBSTITUTE(SUBSTITUTE(SUBSTITUTE(C76," ",""),"0",""),"-","")) ),1,0))+IF(UPPER(D77)="X",0,IF((LEN(SUBSTITUTE(SUBSTITUTE(SUBSTITUTE(E77," ",""),"0",""),"-","")) +LEN(SUBSTITUTE(SUBSTITUTE(SUBSTITUTE(F77," ",""),"0",""),"-","")) )&gt;(LEN(SUBSTITUTE(SUBSTITUTE(SUBSTITUTE(B77," ",""),"0",""),"-","")) +LEN(SUBSTITUTE(SUBSTITUTE(SUBSTITUTE(C77," ",""),"0",""),"-","")) ),1,0))+IF(UPPER(D78)="X",0,IF((LEN(SUBSTITUTE(SUBSTITUTE(SUBSTITUTE(E78," ",""),"0",""),"-","")) +LEN(SUBSTITUTE(SUBSTITUTE(SUBSTITUTE(F78," ",""),"0",""),"-","")) )&gt;(LEN(SUBSTITUTE(SUBSTITUTE(SUBSTITUTE(B78," ",""),"0",""),"-","")) +LEN(SUBSTITUTE(SUBSTITUTE(SUBSTITUTE(C78," ",""),"0",""),"-","")) ),1,0))</f>
      </c>
      <c r="G81" s="19" t="s">
        <v>37</v>
      </c>
    </row>
    <row r="84">
      <c r="F84" t="s">
        <v>38</v>
      </c>
      <c r="G84" s="23"/>
    </row>
    <row r="85">
      <c r="F85" t="s">
        <v>39</v>
      </c>
      <c r="G85" s="23"/>
    </row>
    <row r="87">
      <c r="A87" s="11" t="s">
        <v>44</v>
      </c>
      <c r="B87" s="11"/>
      <c r="C87" s="11"/>
      <c r="D87" s="11"/>
      <c r="E87" s="11"/>
      <c r="F87" s="11"/>
      <c r="G87" s="11"/>
    </row>
    <row r="88">
      <c r="A88" s="21" t="s">
        <v>32</v>
      </c>
      <c r="D88" s="19" t="s">
        <v>33</v>
      </c>
      <c r="G88" s="20" t="s">
        <v>34</v>
      </c>
    </row>
    <row r="89">
      <c r="A89" s="19" t="str">
        <f>CONCATENATE("M 2 ",G31)</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2 ",G31)</f>
      </c>
      <c r="B96" s="19" t="s">
        <v>35</v>
      </c>
      <c r="C96" s="19" t="s">
        <v>36</v>
      </c>
      <c r="D96" s="19"/>
      <c r="E96" s="19" t="s">
        <v>36</v>
      </c>
      <c r="F96" s="19" t="s">
        <v>35</v>
      </c>
      <c r="G96" s="19" t="str">
        <f>'data'!$B$10</f>
      </c>
    </row>
    <row r="97">
      <c r="A97" s="19" t="s">
        <v>37</v>
      </c>
      <c r="B97" s="19" t="str">
        <f>IF(UPPER(D90)="X",0,IF((LEN(SUBSTITUTE(SUBSTITUTE(SUBSTITUTE(B90," ",""),"0",""),"-","")) +LEN(SUBSTITUTE(SUBSTITUTE(SUBSTITUTE(C90," ",""),"0",""),"-","")) )&gt;(LEN(SUBSTITUTE(SUBSTITUTE(SUBSTITUTE(E90," ",""),"0",""),"-","")) +LEN(SUBSTITUTE(SUBSTITUTE(SUBSTITUTE(F90," ",""),"0",""),"-","")) ),1,0))+IF(UPPER(D91)="X",0,IF((LEN(SUBSTITUTE(SUBSTITUTE(SUBSTITUTE(B91," ",""),"0",""),"-","")) +LEN(SUBSTITUTE(SUBSTITUTE(SUBSTITUTE(C91," ",""),"0",""),"-","")) )&gt;(LEN(SUBSTITUTE(SUBSTITUTE(SUBSTITUTE(E91," ",""),"0",""),"-","")) +LEN(SUBSTITUTE(SUBSTITUTE(SUBSTITUTE(F91," ",""),"0",""),"-","")) ),1,0))+IF(UPPER(D92)="X",0,IF((LEN(SUBSTITUTE(SUBSTITUTE(SUBSTITUTE(B92," ",""),"0",""),"-","")) +LEN(SUBSTITUTE(SUBSTITUTE(SUBSTITUTE(C92," ",""),"0",""),"-","")) )&gt;(LEN(SUBSTITUTE(SUBSTITUTE(SUBSTITUTE(E92," ",""),"0",""),"-","")) +LEN(SUBSTITUTE(SUBSTITUTE(SUBSTITUTE(F92," ",""),"0",""),"-","")) ),1,0))+IF(UPPER(D93)="X",0,IF((LEN(SUBSTITUTE(SUBSTITUTE(SUBSTITUTE(B93," ",""),"0",""),"-","")) +LEN(SUBSTITUTE(SUBSTITUTE(SUBSTITUTE(C93," ",""),"0",""),"-","")) )&gt;(LEN(SUBSTITUTE(SUBSTITUTE(SUBSTITUTE(E93," ",""),"0",""),"-","")) +LEN(SUBSTITUTE(SUBSTITUTE(SUBSTITUTE(F93," ",""),"0",""),"-","")) ),1,0))+IF(UPPER(D94)="X",0,IF((LEN(SUBSTITUTE(SUBSTITUTE(SUBSTITUTE(B94," ",""),"0",""),"-","")) +LEN(SUBSTITUTE(SUBSTITUTE(SUBSTITUTE(C94," ",""),"0",""),"-","")) )&gt;(LEN(SUBSTITUTE(SUBSTITUTE(SUBSTITUTE(E94," ",""),"0",""),"-","")) +LEN(SUBSTITUTE(SUBSTITUTE(SUBSTITUTE(F94," ",""),"0",""),"-","")) ),1,0))</f>
      </c>
      <c r="C97" s="19" t="str">
        <f>LEN(SUBSTITUTE(SUBSTITUTE(SUBSTITUTE(B90," ",""),"0",""),"-","")) +LEN(SUBSTITUTE(SUBSTITUTE(SUBSTITUTE(C90," ",""),"0",""),"-","")) +LEN(SUBSTITUTE(SUBSTITUTE(SUBSTITUTE(B91," ",""),"0",""),"-","")) +LEN(SUBSTITUTE(SUBSTITUTE(SUBSTITUTE(C91," ",""),"0",""),"-","")) +LEN(SUBSTITUTE(SUBSTITUTE(SUBSTITUTE(B92," ",""),"0",""),"-","")) +LEN(SUBSTITUTE(SUBSTITUTE(SUBSTITUTE(C92," ",""),"0",""),"-","")) +LEN(SUBSTITUTE(SUBSTITUTE(SUBSTITUTE(B93," ",""),"0",""),"-","")) +LEN(SUBSTITUTE(SUBSTITUTE(SUBSTITUTE(C93," ",""),"0",""),"-","")) +LEN(SUBSTITUTE(SUBSTITUTE(SUBSTITUTE(B94," ",""),"0",""),"-","")) +LEN(SUBSTITUTE(SUBSTITUTE(SUBSTITUTE(C94," ",""),"0",""),"-","")) </f>
      </c>
      <c r="D97" s="19"/>
      <c r="E97" s="19" t="str">
        <f>LEN(SUBSTITUTE(SUBSTITUTE(SUBSTITUTE(E90," ",""),"0",""),"-","")) +LEN(SUBSTITUTE(SUBSTITUTE(SUBSTITUTE(F90," ",""),"0",""),"-","")) +LEN(SUBSTITUTE(SUBSTITUTE(SUBSTITUTE(E91," ",""),"0",""),"-","")) +LEN(SUBSTITUTE(SUBSTITUTE(SUBSTITUTE(F91," ",""),"0",""),"-","")) +LEN(SUBSTITUTE(SUBSTITUTE(SUBSTITUTE(E92," ",""),"0",""),"-","")) +LEN(SUBSTITUTE(SUBSTITUTE(SUBSTITUTE(F92," ",""),"0",""),"-","")) +LEN(SUBSTITUTE(SUBSTITUTE(SUBSTITUTE(E93," ",""),"0",""),"-","")) +LEN(SUBSTITUTE(SUBSTITUTE(SUBSTITUTE(F93," ",""),"0",""),"-","")) +LEN(SUBSTITUTE(SUBSTITUTE(SUBSTITUTE(E94," ",""),"0",""),"-","")) +LEN(SUBSTITUTE(SUBSTITUTE(SUBSTITUTE(F94," ",""),"0",""),"-","")) </f>
      </c>
      <c r="F97" s="19" t="str">
        <f>IF(UPPER(D90)="X",0,IF((LEN(SUBSTITUTE(SUBSTITUTE(SUBSTITUTE(E90," ",""),"0",""),"-","")) +LEN(SUBSTITUTE(SUBSTITUTE(SUBSTITUTE(F90," ",""),"0",""),"-","")) )&gt;(LEN(SUBSTITUTE(SUBSTITUTE(SUBSTITUTE(B90," ",""),"0",""),"-","")) +LEN(SUBSTITUTE(SUBSTITUTE(SUBSTITUTE(C90," ",""),"0",""),"-","")) ),1,0))+IF(UPPER(D91)="X",0,IF((LEN(SUBSTITUTE(SUBSTITUTE(SUBSTITUTE(E91," ",""),"0",""),"-","")) +LEN(SUBSTITUTE(SUBSTITUTE(SUBSTITUTE(F91," ",""),"0",""),"-","")) )&gt;(LEN(SUBSTITUTE(SUBSTITUTE(SUBSTITUTE(B91," ",""),"0",""),"-","")) +LEN(SUBSTITUTE(SUBSTITUTE(SUBSTITUTE(C91," ",""),"0",""),"-","")) ),1,0))+IF(UPPER(D92)="X",0,IF((LEN(SUBSTITUTE(SUBSTITUTE(SUBSTITUTE(E92," ",""),"0",""),"-","")) +LEN(SUBSTITUTE(SUBSTITUTE(SUBSTITUTE(F92," ",""),"0",""),"-","")) )&gt;(LEN(SUBSTITUTE(SUBSTITUTE(SUBSTITUTE(B92," ",""),"0",""),"-","")) +LEN(SUBSTITUTE(SUBSTITUTE(SUBSTITUTE(C92," ",""),"0",""),"-","")) ),1,0))+IF(UPPER(D93)="X",0,IF((LEN(SUBSTITUTE(SUBSTITUTE(SUBSTITUTE(E93," ",""),"0",""),"-","")) +LEN(SUBSTITUTE(SUBSTITUTE(SUBSTITUTE(F93," ",""),"0",""),"-","")) )&gt;(LEN(SUBSTITUTE(SUBSTITUTE(SUBSTITUTE(B93," ",""),"0",""),"-","")) +LEN(SUBSTITUTE(SUBSTITUTE(SUBSTITUTE(C93," ",""),"0",""),"-","")) ),1,0))+IF(UPPER(D94)="X",0,IF((LEN(SUBSTITUTE(SUBSTITUTE(SUBSTITUTE(E94," ",""),"0",""),"-","")) +LEN(SUBSTITUTE(SUBSTITUTE(SUBSTITUTE(F94," ",""),"0",""),"-","")) )&gt;(LEN(SUBSTITUTE(SUBSTITUTE(SUBSTITUTE(B94," ",""),"0",""),"-","")) +LEN(SUBSTITUTE(SUBSTITUTE(SUBSTITUTE(C94," ",""),"0",""),"-","")) ),1,0))</f>
      </c>
      <c r="G97" s="19" t="s">
        <v>37</v>
      </c>
    </row>
    <row r="100">
      <c r="F100" t="s">
        <v>38</v>
      </c>
      <c r="G100" s="23"/>
    </row>
    <row r="101">
      <c r="F101" t="s">
        <v>39</v>
      </c>
      <c r="G101" s="23"/>
    </row>
    <row r="108">
      <c r="A108" s="11" t="s">
        <v>45</v>
      </c>
      <c r="B108" s="11"/>
      <c r="C108" s="11"/>
      <c r="D108" s="11"/>
      <c r="E108" s="11"/>
      <c r="F108" s="11"/>
      <c r="G108" s="11"/>
    </row>
    <row r="109">
      <c r="A109" s="21" t="s">
        <v>32</v>
      </c>
      <c r="D109" s="19" t="s">
        <v>33</v>
      </c>
      <c r="G109" s="20" t="s">
        <v>34</v>
      </c>
    </row>
    <row r="110">
      <c r="A110" s="19" t="str">
        <f>CONCATENATE("M 4 ",G68)</f>
      </c>
      <c r="B110" s="19"/>
      <c r="C110" s="19"/>
      <c r="D110" s="22"/>
      <c r="E110" s="19"/>
      <c r="F110" s="19"/>
      <c r="G110" s="19" t="str">
        <f>CONCATENATE("M 3 ",G52)</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4 ",G68)</f>
      </c>
      <c r="B117" s="19" t="s">
        <v>35</v>
      </c>
      <c r="C117" s="19" t="s">
        <v>36</v>
      </c>
      <c r="D117" s="19"/>
      <c r="E117" s="19" t="s">
        <v>36</v>
      </c>
      <c r="F117" s="19" t="s">
        <v>35</v>
      </c>
      <c r="G117" s="19" t="str">
        <f>CONCATENATE("M 3 ",G52)</f>
      </c>
    </row>
    <row r="118">
      <c r="A118" s="19" t="s">
        <v>37</v>
      </c>
      <c r="B118" s="19" t="str">
        <f>IF(UPPER(D111)="X",0,IF((LEN(SUBSTITUTE(SUBSTITUTE(SUBSTITUTE(B111," ",""),"0",""),"-","")) +LEN(SUBSTITUTE(SUBSTITUTE(SUBSTITUTE(C111," ",""),"0",""),"-","")) )&gt;(LEN(SUBSTITUTE(SUBSTITUTE(SUBSTITUTE(E111," ",""),"0",""),"-","")) +LEN(SUBSTITUTE(SUBSTITUTE(SUBSTITUTE(F111," ",""),"0",""),"-","")) ),1,0))+IF(UPPER(D112)="X",0,IF((LEN(SUBSTITUTE(SUBSTITUTE(SUBSTITUTE(B112," ",""),"0",""),"-","")) +LEN(SUBSTITUTE(SUBSTITUTE(SUBSTITUTE(C112," ",""),"0",""),"-","")) )&gt;(LEN(SUBSTITUTE(SUBSTITUTE(SUBSTITUTE(E112," ",""),"0",""),"-","")) +LEN(SUBSTITUTE(SUBSTITUTE(SUBSTITUTE(F112," ",""),"0",""),"-","")) ),1,0))+IF(UPPER(D113)="X",0,IF((LEN(SUBSTITUTE(SUBSTITUTE(SUBSTITUTE(B113," ",""),"0",""),"-","")) +LEN(SUBSTITUTE(SUBSTITUTE(SUBSTITUTE(C113," ",""),"0",""),"-","")) )&gt;(LEN(SUBSTITUTE(SUBSTITUTE(SUBSTITUTE(E113," ",""),"0",""),"-","")) +LEN(SUBSTITUTE(SUBSTITUTE(SUBSTITUTE(F113," ",""),"0",""),"-","")) ),1,0))+IF(UPPER(D114)="X",0,IF((LEN(SUBSTITUTE(SUBSTITUTE(SUBSTITUTE(B114," ",""),"0",""),"-","")) +LEN(SUBSTITUTE(SUBSTITUTE(SUBSTITUTE(C114," ",""),"0",""),"-","")) )&gt;(LEN(SUBSTITUTE(SUBSTITUTE(SUBSTITUTE(E114," ",""),"0",""),"-","")) +LEN(SUBSTITUTE(SUBSTITUTE(SUBSTITUTE(F114," ",""),"0",""),"-","")) ),1,0))+IF(UPPER(D115)="X",0,IF((LEN(SUBSTITUTE(SUBSTITUTE(SUBSTITUTE(B115," ",""),"0",""),"-","")) +LEN(SUBSTITUTE(SUBSTITUTE(SUBSTITUTE(C115," ",""),"0",""),"-","")) )&gt;(LEN(SUBSTITUTE(SUBSTITUTE(SUBSTITUTE(E115," ",""),"0",""),"-","")) +LEN(SUBSTITUTE(SUBSTITUTE(SUBSTITUTE(F115," ",""),"0",""),"-","")) ),1,0))</f>
      </c>
      <c r="C118" s="19" t="str">
        <f>LEN(SUBSTITUTE(SUBSTITUTE(SUBSTITUTE(B111," ",""),"0",""),"-","")) +LEN(SUBSTITUTE(SUBSTITUTE(SUBSTITUTE(C111," ",""),"0",""),"-","")) +LEN(SUBSTITUTE(SUBSTITUTE(SUBSTITUTE(B112," ",""),"0",""),"-","")) +LEN(SUBSTITUTE(SUBSTITUTE(SUBSTITUTE(C112," ",""),"0",""),"-","")) +LEN(SUBSTITUTE(SUBSTITUTE(SUBSTITUTE(B113," ",""),"0",""),"-","")) +LEN(SUBSTITUTE(SUBSTITUTE(SUBSTITUTE(C113," ",""),"0",""),"-","")) +LEN(SUBSTITUTE(SUBSTITUTE(SUBSTITUTE(B114," ",""),"0",""),"-","")) +LEN(SUBSTITUTE(SUBSTITUTE(SUBSTITUTE(C114," ",""),"0",""),"-","")) +LEN(SUBSTITUTE(SUBSTITUTE(SUBSTITUTE(B115," ",""),"0",""),"-","")) +LEN(SUBSTITUTE(SUBSTITUTE(SUBSTITUTE(C115," ",""),"0",""),"-","")) </f>
      </c>
      <c r="D118" s="19"/>
      <c r="E118" s="19" t="str">
        <f>LEN(SUBSTITUTE(SUBSTITUTE(SUBSTITUTE(E111," ",""),"0",""),"-","")) +LEN(SUBSTITUTE(SUBSTITUTE(SUBSTITUTE(F111," ",""),"0",""),"-","")) +LEN(SUBSTITUTE(SUBSTITUTE(SUBSTITUTE(E112," ",""),"0",""),"-","")) +LEN(SUBSTITUTE(SUBSTITUTE(SUBSTITUTE(F112," ",""),"0",""),"-","")) +LEN(SUBSTITUTE(SUBSTITUTE(SUBSTITUTE(E113," ",""),"0",""),"-","")) +LEN(SUBSTITUTE(SUBSTITUTE(SUBSTITUTE(F113," ",""),"0",""),"-","")) +LEN(SUBSTITUTE(SUBSTITUTE(SUBSTITUTE(E114," ",""),"0",""),"-","")) +LEN(SUBSTITUTE(SUBSTITUTE(SUBSTITUTE(F114," ",""),"0",""),"-","")) +LEN(SUBSTITUTE(SUBSTITUTE(SUBSTITUTE(E115," ",""),"0",""),"-","")) +LEN(SUBSTITUTE(SUBSTITUTE(SUBSTITUTE(F115," ",""),"0",""),"-","")) </f>
      </c>
      <c r="F118" s="19" t="str">
        <f>IF(UPPER(D111)="X",0,IF((LEN(SUBSTITUTE(SUBSTITUTE(SUBSTITUTE(E111," ",""),"0",""),"-","")) +LEN(SUBSTITUTE(SUBSTITUTE(SUBSTITUTE(F111," ",""),"0",""),"-","")) )&gt;(LEN(SUBSTITUTE(SUBSTITUTE(SUBSTITUTE(B111," ",""),"0",""),"-","")) +LEN(SUBSTITUTE(SUBSTITUTE(SUBSTITUTE(C111," ",""),"0",""),"-","")) ),1,0))+IF(UPPER(D112)="X",0,IF((LEN(SUBSTITUTE(SUBSTITUTE(SUBSTITUTE(E112," ",""),"0",""),"-","")) +LEN(SUBSTITUTE(SUBSTITUTE(SUBSTITUTE(F112," ",""),"0",""),"-","")) )&gt;(LEN(SUBSTITUTE(SUBSTITUTE(SUBSTITUTE(B112," ",""),"0",""),"-","")) +LEN(SUBSTITUTE(SUBSTITUTE(SUBSTITUTE(C112," ",""),"0",""),"-","")) ),1,0))+IF(UPPER(D113)="X",0,IF((LEN(SUBSTITUTE(SUBSTITUTE(SUBSTITUTE(E113," ",""),"0",""),"-","")) +LEN(SUBSTITUTE(SUBSTITUTE(SUBSTITUTE(F113," ",""),"0",""),"-","")) )&gt;(LEN(SUBSTITUTE(SUBSTITUTE(SUBSTITUTE(B113," ",""),"0",""),"-","")) +LEN(SUBSTITUTE(SUBSTITUTE(SUBSTITUTE(C113," ",""),"0",""),"-","")) ),1,0))+IF(UPPER(D114)="X",0,IF((LEN(SUBSTITUTE(SUBSTITUTE(SUBSTITUTE(E114," ",""),"0",""),"-","")) +LEN(SUBSTITUTE(SUBSTITUTE(SUBSTITUTE(F114," ",""),"0",""),"-","")) )&gt;(LEN(SUBSTITUTE(SUBSTITUTE(SUBSTITUTE(B114," ",""),"0",""),"-","")) +LEN(SUBSTITUTE(SUBSTITUTE(SUBSTITUTE(C114," ",""),"0",""),"-","")) ),1,0))+IF(UPPER(D115)="X",0,IF((LEN(SUBSTITUTE(SUBSTITUTE(SUBSTITUTE(E115," ",""),"0",""),"-","")) +LEN(SUBSTITUTE(SUBSTITUTE(SUBSTITUTE(F115," ",""),"0",""),"-","")) )&gt;(LEN(SUBSTITUTE(SUBSTITUTE(SUBSTITUTE(B115," ",""),"0",""),"-","")) +LEN(SUBSTITUTE(SUBSTITUTE(SUBSTITUTE(C115," ",""),"0",""),"-","")) ),1,0))</f>
      </c>
      <c r="G118" s="19" t="s">
        <v>37</v>
      </c>
    </row>
    <row r="121">
      <c r="F121" t="s">
        <v>38</v>
      </c>
      <c r="G121" s="23"/>
    </row>
    <row r="122">
      <c r="F122" t="s">
        <v>39</v>
      </c>
      <c r="G122" s="23"/>
    </row>
    <row r="124">
      <c r="A124" s="11" t="s">
        <v>46</v>
      </c>
      <c r="B124" s="11"/>
      <c r="C124" s="11"/>
      <c r="D124" s="11"/>
      <c r="E124" s="11"/>
      <c r="F124" s="11"/>
      <c r="G124" s="11"/>
    </row>
    <row r="125">
      <c r="A125" s="21" t="s">
        <v>32</v>
      </c>
      <c r="D125" s="19" t="s">
        <v>33</v>
      </c>
      <c r="G125" s="20" t="s">
        <v>34</v>
      </c>
    </row>
    <row r="126">
      <c r="A126" s="19" t="str">
        <f>CONCATENATE("M 6 ",G100)</f>
      </c>
      <c r="B126" s="19"/>
      <c r="C126" s="19"/>
      <c r="D126" s="22"/>
      <c r="E126" s="19"/>
      <c r="F126" s="19"/>
      <c r="G126" s="19" t="str">
        <f>CONCATENATE("M 5 ",G84)</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35</v>
      </c>
      <c r="C133" s="19" t="s">
        <v>36</v>
      </c>
      <c r="D133" s="19"/>
      <c r="E133" s="19" t="s">
        <v>36</v>
      </c>
      <c r="F133" s="19" t="s">
        <v>35</v>
      </c>
      <c r="G133" s="19" t="str">
        <f>CONCATENATE("M 5 ",G84)</f>
      </c>
    </row>
    <row r="134">
      <c r="A134" s="19" t="s">
        <v>37</v>
      </c>
      <c r="B134" s="19" t="str">
        <f>IF(UPPER(D127)="X",0,IF((LEN(SUBSTITUTE(SUBSTITUTE(SUBSTITUTE(B127," ",""),"0",""),"-","")) +LEN(SUBSTITUTE(SUBSTITUTE(SUBSTITUTE(C127," ",""),"0",""),"-","")) )&gt;(LEN(SUBSTITUTE(SUBSTITUTE(SUBSTITUTE(E127," ",""),"0",""),"-","")) +LEN(SUBSTITUTE(SUBSTITUTE(SUBSTITUTE(F127," ",""),"0",""),"-","")) ),1,0))+IF(UPPER(D128)="X",0,IF((LEN(SUBSTITUTE(SUBSTITUTE(SUBSTITUTE(B128," ",""),"0",""),"-","")) +LEN(SUBSTITUTE(SUBSTITUTE(SUBSTITUTE(C128," ",""),"0",""),"-","")) )&gt;(LEN(SUBSTITUTE(SUBSTITUTE(SUBSTITUTE(E128," ",""),"0",""),"-","")) +LEN(SUBSTITUTE(SUBSTITUTE(SUBSTITUTE(F128," ",""),"0",""),"-","")) ),1,0))+IF(UPPER(D129)="X",0,IF((LEN(SUBSTITUTE(SUBSTITUTE(SUBSTITUTE(B129," ",""),"0",""),"-","")) +LEN(SUBSTITUTE(SUBSTITUTE(SUBSTITUTE(C129," ",""),"0",""),"-","")) )&gt;(LEN(SUBSTITUTE(SUBSTITUTE(SUBSTITUTE(E129," ",""),"0",""),"-","")) +LEN(SUBSTITUTE(SUBSTITUTE(SUBSTITUTE(F129," ",""),"0",""),"-","")) ),1,0))+IF(UPPER(D130)="X",0,IF((LEN(SUBSTITUTE(SUBSTITUTE(SUBSTITUTE(B130," ",""),"0",""),"-","")) +LEN(SUBSTITUTE(SUBSTITUTE(SUBSTITUTE(C130," ",""),"0",""),"-","")) )&gt;(LEN(SUBSTITUTE(SUBSTITUTE(SUBSTITUTE(E130," ",""),"0",""),"-","")) +LEN(SUBSTITUTE(SUBSTITUTE(SUBSTITUTE(F130," ",""),"0",""),"-","")) ),1,0))+IF(UPPER(D131)="X",0,IF((LEN(SUBSTITUTE(SUBSTITUTE(SUBSTITUTE(B131," ",""),"0",""),"-","")) +LEN(SUBSTITUTE(SUBSTITUTE(SUBSTITUTE(C131," ",""),"0",""),"-","")) )&gt;(LEN(SUBSTITUTE(SUBSTITUTE(SUBSTITUTE(E131," ",""),"0",""),"-","")) +LEN(SUBSTITUTE(SUBSTITUTE(SUBSTITUTE(F131," ",""),"0",""),"-","")) ),1,0))</f>
      </c>
      <c r="C134" s="19" t="str">
        <f>LEN(SUBSTITUTE(SUBSTITUTE(SUBSTITUTE(B127," ",""),"0",""),"-","")) +LEN(SUBSTITUTE(SUBSTITUTE(SUBSTITUTE(C127," ",""),"0",""),"-","")) +LEN(SUBSTITUTE(SUBSTITUTE(SUBSTITUTE(B128," ",""),"0",""),"-","")) +LEN(SUBSTITUTE(SUBSTITUTE(SUBSTITUTE(C128," ",""),"0",""),"-","")) +LEN(SUBSTITUTE(SUBSTITUTE(SUBSTITUTE(B129," ",""),"0",""),"-","")) +LEN(SUBSTITUTE(SUBSTITUTE(SUBSTITUTE(C129," ",""),"0",""),"-","")) +LEN(SUBSTITUTE(SUBSTITUTE(SUBSTITUTE(B130," ",""),"0",""),"-","")) +LEN(SUBSTITUTE(SUBSTITUTE(SUBSTITUTE(C130," ",""),"0",""),"-","")) +LEN(SUBSTITUTE(SUBSTITUTE(SUBSTITUTE(B131," ",""),"0",""),"-","")) +LEN(SUBSTITUTE(SUBSTITUTE(SUBSTITUTE(C131," ",""),"0",""),"-","")) </f>
      </c>
      <c r="D134" s="19"/>
      <c r="E134" s="19" t="str">
        <f>LEN(SUBSTITUTE(SUBSTITUTE(SUBSTITUTE(E127," ",""),"0",""),"-","")) +LEN(SUBSTITUTE(SUBSTITUTE(SUBSTITUTE(F127," ",""),"0",""),"-","")) +LEN(SUBSTITUTE(SUBSTITUTE(SUBSTITUTE(E128," ",""),"0",""),"-","")) +LEN(SUBSTITUTE(SUBSTITUTE(SUBSTITUTE(F128," ",""),"0",""),"-","")) +LEN(SUBSTITUTE(SUBSTITUTE(SUBSTITUTE(E129," ",""),"0",""),"-","")) +LEN(SUBSTITUTE(SUBSTITUTE(SUBSTITUTE(F129," ",""),"0",""),"-","")) +LEN(SUBSTITUTE(SUBSTITUTE(SUBSTITUTE(E130," ",""),"0",""),"-","")) +LEN(SUBSTITUTE(SUBSTITUTE(SUBSTITUTE(F130," ",""),"0",""),"-","")) +LEN(SUBSTITUTE(SUBSTITUTE(SUBSTITUTE(E131," ",""),"0",""),"-","")) +LEN(SUBSTITUTE(SUBSTITUTE(SUBSTITUTE(F131," ",""),"0",""),"-","")) </f>
      </c>
      <c r="F134" s="19" t="str">
        <f>IF(UPPER(D127)="X",0,IF((LEN(SUBSTITUTE(SUBSTITUTE(SUBSTITUTE(E127," ",""),"0",""),"-","")) +LEN(SUBSTITUTE(SUBSTITUTE(SUBSTITUTE(F127," ",""),"0",""),"-","")) )&gt;(LEN(SUBSTITUTE(SUBSTITUTE(SUBSTITUTE(B127," ",""),"0",""),"-","")) +LEN(SUBSTITUTE(SUBSTITUTE(SUBSTITUTE(C127," ",""),"0",""),"-","")) ),1,0))+IF(UPPER(D128)="X",0,IF((LEN(SUBSTITUTE(SUBSTITUTE(SUBSTITUTE(E128," ",""),"0",""),"-","")) +LEN(SUBSTITUTE(SUBSTITUTE(SUBSTITUTE(F128," ",""),"0",""),"-","")) )&gt;(LEN(SUBSTITUTE(SUBSTITUTE(SUBSTITUTE(B128," ",""),"0",""),"-","")) +LEN(SUBSTITUTE(SUBSTITUTE(SUBSTITUTE(C128," ",""),"0",""),"-","")) ),1,0))+IF(UPPER(D129)="X",0,IF((LEN(SUBSTITUTE(SUBSTITUTE(SUBSTITUTE(E129," ",""),"0",""),"-","")) +LEN(SUBSTITUTE(SUBSTITUTE(SUBSTITUTE(F129," ",""),"0",""),"-","")) )&gt;(LEN(SUBSTITUTE(SUBSTITUTE(SUBSTITUTE(B129," ",""),"0",""),"-","")) +LEN(SUBSTITUTE(SUBSTITUTE(SUBSTITUTE(C129," ",""),"0",""),"-","")) ),1,0))+IF(UPPER(D130)="X",0,IF((LEN(SUBSTITUTE(SUBSTITUTE(SUBSTITUTE(E130," ",""),"0",""),"-","")) +LEN(SUBSTITUTE(SUBSTITUTE(SUBSTITUTE(F130," ",""),"0",""),"-","")) )&gt;(LEN(SUBSTITUTE(SUBSTITUTE(SUBSTITUTE(B130," ",""),"0",""),"-","")) +LEN(SUBSTITUTE(SUBSTITUTE(SUBSTITUTE(C130," ",""),"0",""),"-","")) ),1,0))+IF(UPPER(D131)="X",0,IF((LEN(SUBSTITUTE(SUBSTITUTE(SUBSTITUTE(E131," ",""),"0",""),"-","")) +LEN(SUBSTITUTE(SUBSTITUTE(SUBSTITUTE(F131," ",""),"0",""),"-","")) )&gt;(LEN(SUBSTITUTE(SUBSTITUTE(SUBSTITUTE(B131," ",""),"0",""),"-","")) +LEN(SUBSTITUTE(SUBSTITUTE(SUBSTITUTE(C131," ",""),"0",""),"-","")) ),1,0))</f>
      </c>
      <c r="G134" s="19" t="s">
        <v>37</v>
      </c>
    </row>
    <row r="137">
      <c r="F137" t="s">
        <v>38</v>
      </c>
      <c r="G137" s="23"/>
    </row>
    <row r="138">
      <c r="F138" t="s">
        <v>39</v>
      </c>
      <c r="G138" s="23"/>
    </row>
    <row r="145">
      <c r="A145" s="11" t="s">
        <v>47</v>
      </c>
      <c r="B145" s="11"/>
      <c r="C145" s="11"/>
      <c r="D145" s="11"/>
      <c r="E145" s="11"/>
      <c r="F145" s="11"/>
      <c r="G145" s="11"/>
    </row>
    <row r="146">
      <c r="A146" s="21" t="s">
        <v>32</v>
      </c>
      <c r="D146" s="19" t="s">
        <v>33</v>
      </c>
      <c r="G146" s="20" t="s">
        <v>34</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35</v>
      </c>
      <c r="C154" s="19" t="s">
        <v>36</v>
      </c>
      <c r="D154" s="19"/>
      <c r="E154" s="19" t="s">
        <v>36</v>
      </c>
      <c r="F154" s="19" t="s">
        <v>35</v>
      </c>
      <c r="G154" s="19" t="str">
        <f>CONCATENATE("M 7 ",G121)</f>
      </c>
    </row>
    <row r="155">
      <c r="A155" s="19" t="s">
        <v>37</v>
      </c>
      <c r="B155" s="19" t="str">
        <f>IF(UPPER(D148)="X",0,IF((LEN(SUBSTITUTE(SUBSTITUTE(SUBSTITUTE(B148," ",""),"0",""),"-","")) +LEN(SUBSTITUTE(SUBSTITUTE(SUBSTITUTE(C148," ",""),"0",""),"-","")) )&gt;(LEN(SUBSTITUTE(SUBSTITUTE(SUBSTITUTE(E148," ",""),"0",""),"-","")) +LEN(SUBSTITUTE(SUBSTITUTE(SUBSTITUTE(F148," ",""),"0",""),"-","")) ),1,0))+IF(UPPER(D149)="X",0,IF((LEN(SUBSTITUTE(SUBSTITUTE(SUBSTITUTE(B149," ",""),"0",""),"-","")) +LEN(SUBSTITUTE(SUBSTITUTE(SUBSTITUTE(C149," ",""),"0",""),"-","")) )&gt;(LEN(SUBSTITUTE(SUBSTITUTE(SUBSTITUTE(E149," ",""),"0",""),"-","")) +LEN(SUBSTITUTE(SUBSTITUTE(SUBSTITUTE(F149," ",""),"0",""),"-","")) ),1,0))+IF(UPPER(D150)="X",0,IF((LEN(SUBSTITUTE(SUBSTITUTE(SUBSTITUTE(B150," ",""),"0",""),"-","")) +LEN(SUBSTITUTE(SUBSTITUTE(SUBSTITUTE(C150," ",""),"0",""),"-","")) )&gt;(LEN(SUBSTITUTE(SUBSTITUTE(SUBSTITUTE(E150," ",""),"0",""),"-","")) +LEN(SUBSTITUTE(SUBSTITUTE(SUBSTITUTE(F150," ",""),"0",""),"-","")) ),1,0))+IF(UPPER(D151)="X",0,IF((LEN(SUBSTITUTE(SUBSTITUTE(SUBSTITUTE(B151," ",""),"0",""),"-","")) +LEN(SUBSTITUTE(SUBSTITUTE(SUBSTITUTE(C151," ",""),"0",""),"-","")) )&gt;(LEN(SUBSTITUTE(SUBSTITUTE(SUBSTITUTE(E151," ",""),"0",""),"-","")) +LEN(SUBSTITUTE(SUBSTITUTE(SUBSTITUTE(F151," ",""),"0",""),"-","")) ),1,0))+IF(UPPER(D152)="X",0,IF((LEN(SUBSTITUTE(SUBSTITUTE(SUBSTITUTE(B152," ",""),"0",""),"-","")) +LEN(SUBSTITUTE(SUBSTITUTE(SUBSTITUTE(C152," ",""),"0",""),"-","")) )&gt;(LEN(SUBSTITUTE(SUBSTITUTE(SUBSTITUTE(E152," ",""),"0",""),"-","")) +LEN(SUBSTITUTE(SUBSTITUTE(SUBSTITUTE(F152," ",""),"0",""),"-","")) ),1,0))</f>
      </c>
      <c r="C155" s="19" t="str">
        <f>LEN(SUBSTITUTE(SUBSTITUTE(SUBSTITUTE(B148," ",""),"0",""),"-","")) +LEN(SUBSTITUTE(SUBSTITUTE(SUBSTITUTE(C148," ",""),"0",""),"-","")) +LEN(SUBSTITUTE(SUBSTITUTE(SUBSTITUTE(B149," ",""),"0",""),"-","")) +LEN(SUBSTITUTE(SUBSTITUTE(SUBSTITUTE(C149," ",""),"0",""),"-","")) +LEN(SUBSTITUTE(SUBSTITUTE(SUBSTITUTE(B150," ",""),"0",""),"-","")) +LEN(SUBSTITUTE(SUBSTITUTE(SUBSTITUTE(C150," ",""),"0",""),"-","")) +LEN(SUBSTITUTE(SUBSTITUTE(SUBSTITUTE(B151," ",""),"0",""),"-","")) +LEN(SUBSTITUTE(SUBSTITUTE(SUBSTITUTE(C151," ",""),"0",""),"-","")) +LEN(SUBSTITUTE(SUBSTITUTE(SUBSTITUTE(B152," ",""),"0",""),"-","")) +LEN(SUBSTITUTE(SUBSTITUTE(SUBSTITUTE(C152," ",""),"0",""),"-","")) </f>
      </c>
      <c r="D155" s="19"/>
      <c r="E155" s="19" t="str">
        <f>LEN(SUBSTITUTE(SUBSTITUTE(SUBSTITUTE(E148," ",""),"0",""),"-","")) +LEN(SUBSTITUTE(SUBSTITUTE(SUBSTITUTE(F148," ",""),"0",""),"-","")) +LEN(SUBSTITUTE(SUBSTITUTE(SUBSTITUTE(E149," ",""),"0",""),"-","")) +LEN(SUBSTITUTE(SUBSTITUTE(SUBSTITUTE(F149," ",""),"0",""),"-","")) +LEN(SUBSTITUTE(SUBSTITUTE(SUBSTITUTE(E150," ",""),"0",""),"-","")) +LEN(SUBSTITUTE(SUBSTITUTE(SUBSTITUTE(F150," ",""),"0",""),"-","")) +LEN(SUBSTITUTE(SUBSTITUTE(SUBSTITUTE(E151," ",""),"0",""),"-","")) +LEN(SUBSTITUTE(SUBSTITUTE(SUBSTITUTE(F151," ",""),"0",""),"-","")) +LEN(SUBSTITUTE(SUBSTITUTE(SUBSTITUTE(E152," ",""),"0",""),"-","")) +LEN(SUBSTITUTE(SUBSTITUTE(SUBSTITUTE(F152," ",""),"0",""),"-","")) </f>
      </c>
      <c r="F155" s="19" t="str">
        <f>IF(UPPER(D148)="X",0,IF((LEN(SUBSTITUTE(SUBSTITUTE(SUBSTITUTE(E148," ",""),"0",""),"-","")) +LEN(SUBSTITUTE(SUBSTITUTE(SUBSTITUTE(F148," ",""),"0",""),"-","")) )&gt;(LEN(SUBSTITUTE(SUBSTITUTE(SUBSTITUTE(B148," ",""),"0",""),"-","")) +LEN(SUBSTITUTE(SUBSTITUTE(SUBSTITUTE(C148," ",""),"0",""),"-","")) ),1,0))+IF(UPPER(D149)="X",0,IF((LEN(SUBSTITUTE(SUBSTITUTE(SUBSTITUTE(E149," ",""),"0",""),"-","")) +LEN(SUBSTITUTE(SUBSTITUTE(SUBSTITUTE(F149," ",""),"0",""),"-","")) )&gt;(LEN(SUBSTITUTE(SUBSTITUTE(SUBSTITUTE(B149," ",""),"0",""),"-","")) +LEN(SUBSTITUTE(SUBSTITUTE(SUBSTITUTE(C149," ",""),"0",""),"-","")) ),1,0))+IF(UPPER(D150)="X",0,IF((LEN(SUBSTITUTE(SUBSTITUTE(SUBSTITUTE(E150," ",""),"0",""),"-","")) +LEN(SUBSTITUTE(SUBSTITUTE(SUBSTITUTE(F150," ",""),"0",""),"-","")) )&gt;(LEN(SUBSTITUTE(SUBSTITUTE(SUBSTITUTE(B150," ",""),"0",""),"-","")) +LEN(SUBSTITUTE(SUBSTITUTE(SUBSTITUTE(C150," ",""),"0",""),"-","")) ),1,0))+IF(UPPER(D151)="X",0,IF((LEN(SUBSTITUTE(SUBSTITUTE(SUBSTITUTE(E151," ",""),"0",""),"-","")) +LEN(SUBSTITUTE(SUBSTITUTE(SUBSTITUTE(F151," ",""),"0",""),"-","")) )&gt;(LEN(SUBSTITUTE(SUBSTITUTE(SUBSTITUTE(B151," ",""),"0",""),"-","")) +LEN(SUBSTITUTE(SUBSTITUTE(SUBSTITUTE(C151," ",""),"0",""),"-","")) ),1,0))+IF(UPPER(D152)="X",0,IF((LEN(SUBSTITUTE(SUBSTITUTE(SUBSTITUTE(E152," ",""),"0",""),"-","")) +LEN(SUBSTITUTE(SUBSTITUTE(SUBSTITUTE(F152," ",""),"0",""),"-","")) )&gt;(LEN(SUBSTITUTE(SUBSTITUTE(SUBSTITUTE(B152," ",""),"0",""),"-","")) +LEN(SUBSTITUTE(SUBSTITUTE(SUBSTITUTE(C152," ",""),"0",""),"-","")) ),1,0))</f>
      </c>
      <c r="G155" s="19" t="s">
        <v>37</v>
      </c>
    </row>
    <row r="158">
      <c r="F158" t="s">
        <v>38</v>
      </c>
      <c r="G158" s="23"/>
    </row>
    <row r="159">
      <c r="F159" t="s">
        <v>39</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