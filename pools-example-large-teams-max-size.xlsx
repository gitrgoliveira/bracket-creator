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Matches'!$A$1:$P$527</definedName>
  </definedNames>
  <calcPr calcId="122211"/>
</workbook>
</file>

<file path=xl/sharedStrings.xml><?xml version="1.0" encoding="utf-8"?>
<sst xmlns="http://schemas.openxmlformats.org/spreadsheetml/2006/main" count="416" uniqueCount="416">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</sst>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409</v>
      </c>
      <c r="F13" s="13"/>
      <c r="G13" s="13"/>
      <c r="H13" s="13"/>
    </row>
    <row r="14">
      <c r="A14">
        <v>2</v>
      </c>
      <c r="E14" s="32" t="s">
        <v>410</v>
      </c>
      <c r="F14" s="32"/>
      <c r="G14" s="32"/>
      <c r="H14" s="31" t="str">
        <f>H2</f>
      </c>
    </row>
    <row r="15">
      <c r="E15" s="32" t="s">
        <v>411</v>
      </c>
      <c r="F15" s="32"/>
      <c r="G15" s="32"/>
      <c r="H15" s="31" t="str">
        <f>H8</f>
      </c>
    </row>
    <row r="16">
      <c r="E16" s="32" t="s">
        <v>412</v>
      </c>
      <c r="F16" s="32"/>
      <c r="G16" s="32"/>
      <c r="H16" s="31" t="str">
        <f>H14+H15</f>
      </c>
    </row>
    <row r="17">
      <c r="E17" s="32" t="s">
        <v>413</v>
      </c>
      <c r="F17" s="32"/>
      <c r="G17" s="32"/>
      <c r="H17" s="31" t="str">
        <f>H16/A14</f>
      </c>
    </row>
    <row r="18">
      <c r="E18" s="13" t="s">
        <v>414</v>
      </c>
      <c r="F18" s="13"/>
      <c r="G18" s="13"/>
      <c r="H18" s="33">
        <v>0.375</v>
      </c>
    </row>
    <row r="19">
      <c r="E19" s="13" t="s">
        <v>415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239</v>
      </c>
      <c r="B11" s="14"/>
      <c r="C11" s="14"/>
      <c r="D11" s="14" t="s">
        <v>240</v>
      </c>
      <c r="E11" s="14"/>
      <c r="F11" s="14"/>
      <c r="G11" s="16" t="s">
        <v>241</v>
      </c>
      <c r="I11" s="17" t="s">
        <v>239</v>
      </c>
      <c r="J11" s="14"/>
      <c r="K11" s="14"/>
      <c r="L11" s="14" t="s">
        <v>240</v>
      </c>
      <c r="M11" s="14"/>
      <c r="N11" s="14"/>
      <c r="O11" s="16" t="s">
        <v>241</v>
      </c>
    </row>
    <row r="12">
      <c r="A12" s="14" t="str">
        <f>'data'!$B$5</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'data'!$B$3</f>
      </c>
      <c r="I12" s="14" t="str">
        <f>'data'!$B$52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239</v>
      </c>
      <c r="B19" s="14"/>
      <c r="C19" s="14"/>
      <c r="D19" s="14" t="s">
        <v>240</v>
      </c>
      <c r="E19" s="14"/>
      <c r="F19" s="14"/>
      <c r="G19" s="16" t="s">
        <v>241</v>
      </c>
      <c r="I19" s="17" t="s">
        <v>239</v>
      </c>
      <c r="J19" s="14"/>
      <c r="K19" s="14"/>
      <c r="L19" s="14" t="s">
        <v>240</v>
      </c>
      <c r="M19" s="14"/>
      <c r="N19" s="14"/>
      <c r="O19" s="16" t="s">
        <v>241</v>
      </c>
    </row>
    <row r="20">
      <c r="A20" s="14" t="str">
        <f>'data'!$B$5</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'data'!$B$4</f>
      </c>
      <c r="I20" s="14" t="str">
        <f>'data'!$B$52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242</v>
      </c>
      <c r="B28" s="13" t="s">
        <v>243</v>
      </c>
      <c r="C28" s="13" t="s">
        <v>244</v>
      </c>
      <c r="D28" s="13" t="s">
        <v>245</v>
      </c>
      <c r="E28" s="13"/>
      <c r="F28" s="13"/>
      <c r="G28" s="13" t="s">
        <v>246</v>
      </c>
      <c r="I28" s="13" t="s">
        <v>242</v>
      </c>
      <c r="J28" s="13" t="s">
        <v>243</v>
      </c>
      <c r="K28" s="13" t="s">
        <v>244</v>
      </c>
      <c r="L28" s="13" t="s">
        <v>245</v>
      </c>
      <c r="M28" s="13"/>
      <c r="N28" s="13"/>
      <c r="O28" s="13" t="s">
        <v>246</v>
      </c>
    </row>
    <row r="29">
      <c r="A29" s="14" t="str">
        <f>'data'!$B$3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247</v>
      </c>
      <c r="C33" s="13" t="s">
        <v>248</v>
      </c>
      <c r="D33" s="13" t="s">
        <v>249</v>
      </c>
      <c r="E33" s="13" t="s">
        <v>250</v>
      </c>
      <c r="F33" s="13" t="s">
        <v>251</v>
      </c>
      <c r="I33" s="13"/>
      <c r="J33" s="13" t="s">
        <v>247</v>
      </c>
      <c r="K33" s="13" t="s">
        <v>248</v>
      </c>
      <c r="L33" s="13" t="s">
        <v>249</v>
      </c>
      <c r="M33" s="13" t="s">
        <v>250</v>
      </c>
      <c r="N33" s="13" t="s">
        <v>251</v>
      </c>
    </row>
    <row r="34">
      <c r="A34" s="14" t="str">
        <f>'data'!$B$3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252</v>
      </c>
      <c r="N39" s="13"/>
      <c r="O39" s="13" t="s">
        <v>252</v>
      </c>
    </row>
    <row r="40">
      <c r="F40" t="s">
        <v>253</v>
      </c>
      <c r="G40" s="19" t="str">
        <f>IFERROR(INDEX($A$29:$A$36, MATCH(1, $G$29:$G$36, 0)), "-")</f>
      </c>
      <c r="N40" t="s">
        <v>253</v>
      </c>
      <c r="O40" s="19" t="str">
        <f>IFERROR(INDEX($I$29:$I$36, MATCH(1, $O$29:$O$36, 0)), "-")</f>
      </c>
    </row>
    <row r="41">
      <c r="F41" t="s">
        <v>254</v>
      </c>
      <c r="G41" s="19" t="str">
        <f>IFERROR(INDEX($A$29:$A$36, MATCH(2, $G$29:$G$36, 0)), "-")</f>
      </c>
      <c r="N41" t="s">
        <v>254</v>
      </c>
      <c r="O41" s="19" t="str">
        <f>IFERROR(INDEX($I$29:$I$36, MATCH(2, $O$29:$O$36, 0)), "-")</f>
      </c>
    </row>
    <row r="42">
      <c r="F42" t="s">
        <v>255</v>
      </c>
      <c r="G42" s="19" t="str">
        <f>IFERROR(INDEX($A$29:$A$36, MATCH(3, $G$29:$G$36, 0)), "-")</f>
      </c>
      <c r="N42" t="s">
        <v>255</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239</v>
      </c>
      <c r="B46" s="14"/>
      <c r="C46" s="14"/>
      <c r="D46" s="14" t="s">
        <v>240</v>
      </c>
      <c r="E46" s="14"/>
      <c r="F46" s="14"/>
      <c r="G46" s="16" t="s">
        <v>241</v>
      </c>
      <c r="I46" s="17" t="s">
        <v>239</v>
      </c>
      <c r="J46" s="14"/>
      <c r="K46" s="14"/>
      <c r="L46" s="14" t="s">
        <v>240</v>
      </c>
      <c r="M46" s="14"/>
      <c r="N46" s="14"/>
      <c r="O46" s="16" t="s">
        <v>241</v>
      </c>
    </row>
    <row r="47">
      <c r="A47" s="14" t="str">
        <f>'data'!$B$7</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",""),"0",""),"-",""))),1,0))+IF(UPPER(D52)="X",0,IF((LEN(SUBSTITUTE(SUBSTITUTE(SUBSTITUTE(B52," ",""),"0",""),"-",""))+LEN(SUBSTITUTE(SUBSTITUTE(SUBSTITUTE(C52," ",""),"0",""),"-","")))&gt;(LEN(SUBSTITUTE(SUBSTITUTE(SUBSTITUTE(E52," ",""),"0",""),"-",""))+LEN(SUBSTITUTE(SUBSTITUTE(SUBSTITUTE(F52," ",""),"0",""),"-",""))),1,0))</f>
      </c>
      <c r="C47" s="14" t="str">
        <f>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",""),"0",""),"-",""))+LEN(SUBSTITUTE(SUBSTITUTE(SUBSTITUTE(B52," ",""),"0",""),"-",""))+LEN(SUBSTITUTE(SUBSTITUTE(SUBSTITUTE(C52," ",""),"0",""),"-",""))</f>
      </c>
      <c r="D47" s="18"/>
      <c r="E47" s="14" t="str">
        <f>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",""),"0",""),"-",""))+LEN(SUBSTITUTE(SUBSTITUTE(SUBSTITUTE(E52," ",""),"0",""),"-",""))+LEN(SUBSTITUTE(SUBSTITUTE(SUBSTITUTE(F52,"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",""),"0",""),"-",""))),1,0))+IF(UPPER(D52)="X",0,IF((LEN(SUBSTITUTE(SUBSTITUTE(SUBSTITUTE(E52," ",""),"0",""),"-",""))+LEN(SUBSTITUTE(SUBSTITUTE(SUBSTITUTE(F52," ",""),"0",""),"-","")))&gt;(LEN(SUBSTITUTE(SUBSTITUTE(SUBSTITUTE(B52," ",""),"0",""),"-",""))+LEN(SUBSTITUTE(SUBSTITUTE(SUBSTITUTE(C52," ",""),"0",""),"-",""))),1,0))</f>
      </c>
      <c r="G47" s="14" t="str">
        <f>'data'!$B$6</f>
      </c>
      <c r="I47" s="14" t="str">
        <f>'data'!$B$54</f>
      </c>
      <c r="J47" s="14" t="str">
        <f>IF(UPPER(L48)="X",0,IF((LEN(SUBSTITUTE(SUBSTITUTE(SUBSTITUTE(J48," ",""),"0",""),"-",""))+LEN(SUBSTITUTE(SUBSTITUTE(SUBSTITUTE(K48," ",""),"0",""),"-","")))&gt;(LEN(SUBSTITUTE(SUBSTITUTE(SUBSTITUTE(M48," ",""),"0",""),"-",""))+LEN(SUBSTITUTE(SUBSTITUTE(SUBSTITUTE(N48," ",""),"0",""),"-",""))),1,0))+IF(UPPER(L49)="X",0,IF((LEN(SUBSTITUTE(SUBSTITUTE(SUBSTITUTE(J49," ",""),"0",""),"-",""))+LEN(SUBSTITUTE(SUBSTITUTE(SUBSTITUTE(K49," ",""),"0",""),"-","")))&gt;(LEN(SUBSTITUTE(SUBSTITUTE(SUBSTITUTE(M49," ",""),"0",""),"-",""))+LEN(SUBSTITUTE(SUBSTITUTE(SUBSTITUTE(N49," ",""),"0",""),"-",""))),1,0))+IF(UPPER(L50)="X",0,IF((LEN(SUBSTITUTE(SUBSTITUTE(SUBSTITUTE(J50," ",""),"0",""),"-",""))+LEN(SUBSTITUTE(SUBSTITUTE(SUBSTITUTE(K50," ",""),"0",""),"-","")))&gt;(LEN(SUBSTITUTE(SUBSTITUTE(SUBSTITUTE(M50," ",""),"0",""),"-",""))+LEN(SUBSTITUTE(SUBSTITUTE(SUBSTITUTE(N50," ",""),"0",""),"-",""))),1,0))+IF(UPPER(L51)="X",0,IF((LEN(SUBSTITUTE(SUBSTITUTE(SUBSTITUTE(J51," ",""),"0",""),"-",""))+LEN(SUBSTITUTE(SUBSTITUTE(SUBSTITUTE(K51," ",""),"0",""),"-","")))&gt;(LEN(SUBSTITUTE(SUBSTITUTE(SUBSTITUTE(M51," ",""),"0",""),"-",""))+LEN(SUBSTITUTE(SUBSTITUTE(SUBSTITUTE(N51," ",""),"0",""),"-",""))),1,0))+IF(UPPER(L52)="X",0,IF((LEN(SUBSTITUTE(SUBSTITUTE(SUBSTITUTE(J52," ",""),"0",""),"-",""))+LEN(SUBSTITUTE(SUBSTITUTE(SUBSTITUTE(K52," ",""),"0",""),"-","")))&gt;(LEN(SUBSTITUTE(SUBSTITUTE(SUBSTITUTE(M52," ",""),"0",""),"-",""))+LEN(SUBSTITUTE(SUBSTITUTE(SUBSTITUTE(N52," ",""),"0",""),"-",""))),1,0))</f>
      </c>
      <c r="K47" s="14" t="str">
        <f>LEN(SUBSTITUTE(SUBSTITUTE(SUBSTITUTE(J48," ",""),"0",""),"-",""))+LEN(SUBSTITUTE(SUBSTITUTE(SUBSTITUTE(K48," ",""),"0",""),"-",""))+LEN(SUBSTITUTE(SUBSTITUTE(SUBSTITUTE(J49," ",""),"0",""),"-",""))+LEN(SUBSTITUTE(SUBSTITUTE(SUBSTITUTE(K49," ",""),"0",""),"-",""))+LEN(SUBSTITUTE(SUBSTITUTE(SUBSTITUTE(J50," ",""),"0",""),"-",""))+LEN(SUBSTITUTE(SUBSTITUTE(SUBSTITUTE(K50," ",""),"0",""),"-",""))+LEN(SUBSTITUTE(SUBSTITUTE(SUBSTITUTE(J51," ",""),"0",""),"-",""))+LEN(SUBSTITUTE(SUBSTITUTE(SUBSTITUTE(K51," ",""),"0",""),"-",""))+LEN(SUBSTITUTE(SUBSTITUTE(SUBSTITUTE(J52," ",""),"0",""),"-",""))+LEN(SUBSTITUTE(SUBSTITUTE(SUBSTITUTE(K52," ",""),"0",""),"-",""))</f>
      </c>
      <c r="L47" s="18"/>
      <c r="M47" s="14" t="str">
        <f>LEN(SUBSTITUTE(SUBSTITUTE(SUBSTITUTE(M48," ",""),"0",""),"-",""))+LEN(SUBSTITUTE(SUBSTITUTE(SUBSTITUTE(N48," ",""),"0",""),"-",""))+LEN(SUBSTITUTE(SUBSTITUTE(SUBSTITUTE(M49," ",""),"0",""),"-",""))+LEN(SUBSTITUTE(SUBSTITUTE(SUBSTITUTE(N49," ",""),"0",""),"-",""))+LEN(SUBSTITUTE(SUBSTITUTE(SUBSTITUTE(M50," ",""),"0",""),"-",""))+LEN(SUBSTITUTE(SUBSTITUTE(SUBSTITUTE(N50," ",""),"0",""),"-",""))+LEN(SUBSTITUTE(SUBSTITUTE(SUBSTITUTE(M51," ",""),"0",""),"-",""))+LEN(SUBSTITUTE(SUBSTITUTE(SUBSTITUTE(N51," ",""),"0",""),"-",""))+LEN(SUBSTITUTE(SUBSTITUTE(SUBSTITUTE(M52," ",""),"0",""),"-",""))+LEN(SUBSTITUTE(SUBSTITUTE(SUBSTITUTE(N52," ",""),"0",""),"-",""))</f>
      </c>
      <c r="N47" s="14" t="str">
        <f>IF(UPPER(L48)="X",0,IF((LEN(SUBSTITUTE(SUBSTITUTE(SUBSTITUTE(M48," ",""),"0",""),"-",""))+LEN(SUBSTITUTE(SUBSTITUTE(SUBSTITUTE(N48," ",""),"0",""),"-","")))&gt;(LEN(SUBSTITUTE(SUBSTITUTE(SUBSTITUTE(J48," ",""),"0",""),"-",""))+LEN(SUBSTITUTE(SUBSTITUTE(SUBSTITUTE(K48," ",""),"0",""),"-",""))),1,0))+IF(UPPER(L49)="X",0,IF((LEN(SUBSTITUTE(SUBSTITUTE(SUBSTITUTE(M49," ",""),"0",""),"-",""))+LEN(SUBSTITUTE(SUBSTITUTE(SUBSTITUTE(N49," ",""),"0",""),"-","")))&gt;(LEN(SUBSTITUTE(SUBSTITUTE(SUBSTITUTE(J49," ",""),"0",""),"-",""))+LEN(SUBSTITUTE(SUBSTITUTE(SUBSTITUTE(K49," ",""),"0",""),"-",""))),1,0))+IF(UPPER(L50)="X",0,IF((LEN(SUBSTITUTE(SUBSTITUTE(SUBSTITUTE(M50," ",""),"0",""),"-",""))+LEN(SUBSTITUTE(SUBSTITUTE(SUBSTITUTE(N50," ",""),"0",""),"-","")))&gt;(LEN(SUBSTITUTE(SUBSTITUTE(SUBSTITUTE(J50," ",""),"0",""),"-",""))+LEN(SUBSTITUTE(SUBSTITUTE(SUBSTITUTE(K50," ",""),"0",""),"-",""))),1,0))+IF(UPPER(L51)="X",0,IF((LEN(SUBSTITUTE(SUBSTITUTE(SUBSTITUTE(M51," ",""),"0",""),"-",""))+LEN(SUBSTITUTE(SUBSTITUTE(SUBSTITUTE(N51," ",""),"0",""),"-","")))&gt;(LEN(SUBSTITUTE(SUBSTITUTE(SUBSTITUTE(J51," ",""),"0",""),"-",""))+LEN(SUBSTITUTE(SUBSTITUTE(SUBSTITUTE(K51," ",""),"0",""),"-",""))),1,0))+IF(UPPER(L52)="X",0,IF((LEN(SUBSTITUTE(SUBSTITUTE(SUBSTITUTE(M52," ",""),"0",""),"-",""))+LEN(SUBSTITUTE(SUBSTITUTE(SUBSTITUTE(N52," ",""),"0",""),"-","")))&gt;(LEN(SUBSTITUTE(SUBSTITUTE(SUBSTITUTE(J52," ",""),"0",""),"-",""))+LEN(SUBSTITUTE(SUBSTITUTE(SUBSTITUTE(K52," ",""),"0",""),"-",""))),1,0))</f>
      </c>
      <c r="O47" s="14" t="str">
        <f>'data'!$B$53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239</v>
      </c>
      <c r="B54" s="14"/>
      <c r="C54" s="14"/>
      <c r="D54" s="14" t="s">
        <v>240</v>
      </c>
      <c r="E54" s="14"/>
      <c r="F54" s="14"/>
      <c r="G54" s="16" t="s">
        <v>241</v>
      </c>
      <c r="I54" s="17" t="s">
        <v>239</v>
      </c>
      <c r="J54" s="14"/>
      <c r="K54" s="14"/>
      <c r="L54" s="14" t="s">
        <v>240</v>
      </c>
      <c r="M54" s="14"/>
      <c r="N54" s="14"/>
      <c r="O54" s="16" t="s">
        <v>241</v>
      </c>
    </row>
    <row r="55">
      <c r="A55" s="14" t="str">
        <f>'data'!$B$8</f>
      </c>
      <c r="B55" s="14" t="str">
        <f>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f>
      </c>
      <c r="C55" s="14" t="str">
        <f>LEN(SUBSTITUTE(SUBSTITUTE(SUBSTITUTE(B56," ",""),"0",""),"-",""))+LEN(SUBSTITUTE(SUBSTITUTE(SUBSTITUTE(C56," ",""),"0",""),"-",""))+LEN(SUBSTITUTE(SUBSTITUTE(SUBSTITUTE(B57," ",""),"0",""),"-",""))+LEN(SUBSTITUTE(SUBSTITUTE(SUBSTITUTE(C57," ",""),"0",""),"-",""))+LEN(SUBSTITUTE(SUBSTITUTE(SUBSTITUTE(B58," ",""),"0",""),"-",""))+LEN(SUBSTITUTE(SUBSTITUTE(SUBSTITUTE(C58," ",""),"0",""),"-",""))+LEN(SUBSTITUTE(SUBSTITUTE(SUBSTITUTE(B59," ",""),"0",""),"-",""))+LEN(SUBSTITUTE(SUBSTITUTE(SUBSTITUTE(C59," ",""),"0",""),"-",""))+LEN(SUBSTITUTE(SUBSTITUTE(SUBSTITUTE(B60," ",""),"0",""),"-",""))+LEN(SUBSTITUTE(SUBSTITUTE(SUBSTITUTE(C60," ",""),"0",""),"-",""))</f>
      </c>
      <c r="D55" s="18"/>
      <c r="E55" s="14" t="str">
        <f>LEN(SUBSTITUTE(SUBSTITUTE(SUBSTITUTE(E56," ",""),"0",""),"-",""))+LEN(SUBSTITUTE(SUBSTITUTE(SUBSTITUTE(F56," ",""),"0",""),"-",""))+LEN(SUBSTITUTE(SUBSTITUTE(SUBSTITUTE(E57," ",""),"0",""),"-",""))+LEN(SUBSTITUTE(SUBSTITUTE(SUBSTITUTE(F57," ",""),"0",""),"-",""))+LEN(SUBSTITUTE(SUBSTITUTE(SUBSTITUTE(E58," ",""),"0",""),"-",""))+LEN(SUBSTITUTE(SUBSTITUTE(SUBSTITUTE(F58," ",""),"0",""),"-",""))+LEN(SUBSTITUTE(SUBSTITUTE(SUBSTITUTE(E59," ",""),"0",""),"-",""))+LEN(SUBSTITUTE(SUBSTITUTE(SUBSTITUTE(F59," ",""),"0",""),"-",""))+LEN(SUBSTITUTE(SUBSTITUTE(SUBSTITUTE(E60," ",""),"0",""),"-",""))+LEN(SUBSTITUTE(SUBSTITUTE(SUBSTITUTE(F60," ",""),"0",""),"-",""))</f>
      </c>
      <c r="F55" s="14" t="str">
        <f>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f>
      </c>
      <c r="G55" s="14" t="str">
        <f>'data'!$B$6</f>
      </c>
      <c r="I55" s="14" t="str">
        <f>'data'!$B$55</f>
      </c>
      <c r="J55" s="14" t="str">
        <f>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f>
      </c>
      <c r="K55" s="14" t="str">
        <f>LEN(SUBSTITUTE(SUBSTITUTE(SUBSTITUTE(J56," ",""),"0",""),"-",""))+LEN(SUBSTITUTE(SUBSTITUTE(SUBSTITUTE(K56," ",""),"0",""),"-",""))+LEN(SUBSTITUTE(SUBSTITUTE(SUBSTITUTE(J57," ",""),"0",""),"-",""))+LEN(SUBSTITUTE(SUBSTITUTE(SUBSTITUTE(K57," ",""),"0",""),"-",""))+LEN(SUBSTITUTE(SUBSTITUTE(SUBSTITUTE(J58," ",""),"0",""),"-",""))+LEN(SUBSTITUTE(SUBSTITUTE(SUBSTITUTE(K58," ",""),"0",""),"-",""))+LEN(SUBSTITUTE(SUBSTITUTE(SUBSTITUTE(J59," ",""),"0",""),"-",""))+LEN(SUBSTITUTE(SUBSTITUTE(SUBSTITUTE(K59," ",""),"0",""),"-",""))+LEN(SUBSTITUTE(SUBSTITUTE(SUBSTITUTE(J60," ",""),"0",""),"-",""))+LEN(SUBSTITUTE(SUBSTITUTE(SUBSTITUTE(K60," ",""),"0",""),"-",""))</f>
      </c>
      <c r="L55" s="18"/>
      <c r="M55" s="14" t="str">
        <f>LEN(SUBSTITUTE(SUBSTITUTE(SUBSTITUTE(M56," ",""),"0",""),"-",""))+LEN(SUBSTITUTE(SUBSTITUTE(SUBSTITUTE(N56," ",""),"0",""),"-",""))+LEN(SUBSTITUTE(SUBSTITUTE(SUBSTITUTE(M57," ",""),"0",""),"-",""))+LEN(SUBSTITUTE(SUBSTITUTE(SUBSTITUTE(N57," ",""),"0",""),"-",""))+LEN(SUBSTITUTE(SUBSTITUTE(SUBSTITUTE(M58," ",""),"0",""),"-",""))+LEN(SUBSTITUTE(SUBSTITUTE(SUBSTITUTE(N58," ",""),"0",""),"-",""))+LEN(SUBSTITUTE(SUBSTITUTE(SUBSTITUTE(M59," ",""),"0",""),"-",""))+LEN(SUBSTITUTE(SUBSTITUTE(SUBSTITUTE(N59," ",""),"0",""),"-",""))+LEN(SUBSTITUTE(SUBSTITUTE(SUBSTITUTE(M60," ",""),"0",""),"-",""))+LEN(SUBSTITUTE(SUBSTITUTE(SUBSTITUTE(N60," ",""),"0",""),"-",""))</f>
      </c>
      <c r="N55" s="14" t="str">
        <f>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f>
      </c>
      <c r="O55" s="14" t="str">
        <f>'data'!$B$53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239</v>
      </c>
      <c r="B62" s="14"/>
      <c r="C62" s="14"/>
      <c r="D62" s="14" t="s">
        <v>240</v>
      </c>
      <c r="E62" s="14"/>
      <c r="F62" s="14"/>
      <c r="G62" s="16" t="s">
        <v>241</v>
      </c>
      <c r="I62" s="17" t="s">
        <v>239</v>
      </c>
      <c r="J62" s="14"/>
      <c r="K62" s="14"/>
      <c r="L62" s="14" t="s">
        <v>240</v>
      </c>
      <c r="M62" s="14"/>
      <c r="N62" s="14"/>
      <c r="O62" s="16" t="s">
        <v>241</v>
      </c>
    </row>
    <row r="63">
      <c r="A63" s="14" t="str">
        <f>'data'!$B$8</f>
      </c>
      <c r="B63" s="14" t="str">
        <f>IF(UPPER(D64)="X",0,IF((LEN(SUBSTITUTE(SUBSTITUTE(SUBSTITUTE(B64," ",""),"0",""),"-",""))+LEN(SUBSTITUTE(SUBSTITUTE(SUBSTITUTE(C64," ",""),"0",""),"-","")))&gt;(LEN(SUBSTITUTE(SUBSTITUTE(SUBSTITUTE(E64," ",""),"0",""),"-",""))+LEN(SUBSTITUTE(SUBSTITUTE(SUBSTITUTE(F64," ",""),"0",""),"-",""))),1,0))+IF(UPPER(D65)="X",0,IF((LEN(SUBSTITUTE(SUBSTITUTE(SUBSTITUTE(B65," ",""),"0",""),"-",""))+LEN(SUBSTITUTE(SUBSTITUTE(SUBSTITUTE(C65," ",""),"0",""),"-","")))&gt;(LEN(SUBSTITUTE(SUBSTITUTE(SUBSTITUTE(E65," ",""),"0",""),"-",""))+LEN(SUBSTITUTE(SUBSTITUTE(SUBSTITUTE(F65," ",""),"0",""),"-",""))),1,0))+IF(UPPER(D66)="X",0,IF((LEN(SUBSTITUTE(SUBSTITUTE(SUBSTITUTE(B66,"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f>
      </c>
      <c r="C63" s="14" t="str">
        <f>LEN(SUBSTITUTE(SUBSTITUTE(SUBSTITUTE(B64," ",""),"0",""),"-",""))+LEN(SUBSTITUTE(SUBSTITUTE(SUBSTITUTE(C64," ",""),"0",""),"-",""))+LEN(SUBSTITUTE(SUBSTITUTE(SUBSTITUTE(B65," ",""),"0",""),"-",""))+LEN(SUBSTITUTE(SUBSTITUTE(SUBSTITUTE(C65," ",""),"0",""),"-",""))+LEN(SUBSTITUTE(SUBSTITUTE(SUBSTITUTE(B66," ",""),"0",""),"-",""))+LEN(SUBSTITUTE(SUBSTITUTE(SUBSTITUTE(C66," ",""),"0",""),"-",""))+LEN(SUBSTITUTE(SUBSTITUTE(SUBSTITUTE(B67," ",""),"0",""),"-",""))+LEN(SUBSTITUTE(SUBSTITUTE(SUBSTITUTE(C67," ",""),"0",""),"-",""))+LEN(SUBSTITUTE(SUBSTITUTE(SUBSTITUTE(B68," ",""),"0",""),"-",""))+LEN(SUBSTITUTE(SUBSTITUTE(SUBSTITUTE(C68," ",""),"0",""),"-",""))</f>
      </c>
      <c r="D63" s="18"/>
      <c r="E63" s="14" t="str">
        <f>LEN(SUBSTITUTE(SUBSTITUTE(SUBSTITUTE(E64," ",""),"0",""),"-",""))+LEN(SUBSTITUTE(SUBSTITUTE(SUBSTITUTE(F64," ",""),"0",""),"-",""))+LEN(SUBSTITUTE(SUBSTITUTE(SUBSTITUTE(E65," ",""),"0",""),"-",""))+LEN(SUBSTITUTE(SUBSTITUTE(SUBSTITUTE(F65," ",""),"0",""),"-",""))+LEN(SUBSTITUTE(SUBSTITUTE(SUBSTITUTE(E66," ",""),"0",""),"-",""))+LEN(SUBSTITUTE(SUBSTITUTE(SUBSTITUTE(F66," ",""),"0",""),"-",""))+LEN(SUBSTITUTE(SUBSTITUTE(SUBSTITUTE(E67," ",""),"0",""),"-",""))+LEN(SUBSTITUTE(SUBSTITUTE(SUBSTITUTE(F67," ",""),"0",""),"-",""))+LEN(SUBSTITUTE(SUBSTITUTE(SUBSTITUTE(E68," ",""),"0",""),"-",""))+LEN(SUBSTITUTE(SUBSTITUTE(SUBSTITUTE(F68," ",""),"0",""),"-",""))</f>
      </c>
      <c r="F63" s="14" t="str">
        <f>IF(UPPER(D64)="X",0,IF((LEN(SUBSTITUTE(SUBSTITUTE(SUBSTITUTE(E64," ",""),"0",""),"-",""))+LEN(SUBSTITUTE(SUBSTITUTE(SUBSTITUTE(F64," ",""),"0",""),"-","")))&gt;(LEN(SUBSTITUTE(SUBSTITUTE(SUBSTITUTE(B64," ",""),"0",""),"-",""))+LEN(SUBSTITUTE(SUBSTITUTE(SUBSTITUTE(C64," ",""),"0",""),"-",""))),1,0))+IF(UPPER(D65)="X",0,IF((LEN(SUBSTITUTE(SUBSTITUTE(SUBSTITUTE(E65," ",""),"0",""),"-",""))+LEN(SUBSTITUTE(SUBSTITUTE(SUBSTITUTE(F65," ",""),"0",""),"-","")))&gt;(LEN(SUBSTITUTE(SUBSTITUTE(SUBSTITUTE(B65," ",""),"0",""),"-",""))+LEN(SUBSTITUTE(SUBSTITUTE(SUBSTITUTE(C65," ",""),"0",""),"-",""))),1,0))+IF(UPPER(D66)="X",0,IF((LEN(SUBSTITUTE(SUBSTITUTE(SUBSTITUTE(E66,"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f>
      </c>
      <c r="G63" s="14" t="str">
        <f>'data'!$B$7</f>
      </c>
      <c r="I63" s="14" t="str">
        <f>'data'!$B$55</f>
      </c>
      <c r="J63" s="14" t="str">
        <f>IF(UPPER(L64)="X",0,IF((LEN(SUBSTITUTE(SUBSTITUTE(SUBSTITUTE(J64," ",""),"0",""),"-",""))+LEN(SUBSTITUTE(SUBSTITUTE(SUBSTITUTE(K64," ",""),"0",""),"-","")))&gt;(LEN(SUBSTITUTE(SUBSTITUTE(SUBSTITUTE(M64," ",""),"0",""),"-",""))+LEN(SUBSTITUTE(SUBSTITUTE(SUBSTITUTE(N64," ",""),"0",""),"-",""))),1,0))+IF(UPPER(L65)="X",0,IF((LEN(SUBSTITUTE(SUBSTITUTE(SUBSTITUTE(J65," ",""),"0",""),"-",""))+LEN(SUBSTITUTE(SUBSTITUTE(SUBSTITUTE(K65," ",""),"0",""),"-","")))&gt;(LEN(SUBSTITUTE(SUBSTITUTE(SUBSTITUTE(M65," ",""),"0",""),"-",""))+LEN(SUBSTITUTE(SUBSTITUTE(SUBSTITUTE(N65," ",""),"0",""),"-",""))),1,0))+IF(UPPER(L66)="X",0,IF((LEN(SUBSTITUTE(SUBSTITUTE(SUBSTITUTE(J66,"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f>
      </c>
      <c r="K63" s="14" t="str">
        <f>LEN(SUBSTITUTE(SUBSTITUTE(SUBSTITUTE(J64," ",""),"0",""),"-",""))+LEN(SUBSTITUTE(SUBSTITUTE(SUBSTITUTE(K64," ",""),"0",""),"-",""))+LEN(SUBSTITUTE(SUBSTITUTE(SUBSTITUTE(J65," ",""),"0",""),"-",""))+LEN(SUBSTITUTE(SUBSTITUTE(SUBSTITUTE(K65," ",""),"0",""),"-",""))+LEN(SUBSTITUTE(SUBSTITUTE(SUBSTITUTE(J66," ",""),"0",""),"-",""))+LEN(SUBSTITUTE(SUBSTITUTE(SUBSTITUTE(K66," ",""),"0",""),"-",""))+LEN(SUBSTITUTE(SUBSTITUTE(SUBSTITUTE(J67," ",""),"0",""),"-",""))+LEN(SUBSTITUTE(SUBSTITUTE(SUBSTITUTE(K67," ",""),"0",""),"-",""))+LEN(SUBSTITUTE(SUBSTITUTE(SUBSTITUTE(J68," ",""),"0",""),"-",""))+LEN(SUBSTITUTE(SUBSTITUTE(SUBSTITUTE(K68," ",""),"0",""),"-",""))</f>
      </c>
      <c r="L63" s="18"/>
      <c r="M63" s="14" t="str">
        <f>LEN(SUBSTITUTE(SUBSTITUTE(SUBSTITUTE(M64," ",""),"0",""),"-",""))+LEN(SUBSTITUTE(SUBSTITUTE(SUBSTITUTE(N64," ",""),"0",""),"-",""))+LEN(SUBSTITUTE(SUBSTITUTE(SUBSTITUTE(M65," ",""),"0",""),"-",""))+LEN(SUBSTITUTE(SUBSTITUTE(SUBSTITUTE(N65," ",""),"0",""),"-",""))+LEN(SUBSTITUTE(SUBSTITUTE(SUBSTITUTE(M66," ",""),"0",""),"-",""))+LEN(SUBSTITUTE(SUBSTITUTE(SUBSTITUTE(N66," ",""),"0",""),"-",""))+LEN(SUBSTITUTE(SUBSTITUTE(SUBSTITUTE(M67," ",""),"0",""),"-",""))+LEN(SUBSTITUTE(SUBSTITUTE(SUBSTITUTE(N67," ",""),"0",""),"-",""))+LEN(SUBSTITUTE(SUBSTITUTE(SUBSTITUTE(M68," ",""),"0",""),"-",""))+LEN(SUBSTITUTE(SUBSTITUTE(SUBSTITUTE(N68," ",""),"0",""),"-",""))</f>
      </c>
      <c r="N63" s="14" t="str">
        <f>IF(UPPER(L64)="X",0,IF((LEN(SUBSTITUTE(SUBSTITUTE(SUBSTITUTE(M64," ",""),"0",""),"-",""))+LEN(SUBSTITUTE(SUBSTITUTE(SUBSTITUTE(N64," ",""),"0",""),"-","")))&gt;(LEN(SUBSTITUTE(SUBSTITUTE(SUBSTITUTE(J64," ",""),"0",""),"-",""))+LEN(SUBSTITUTE(SUBSTITUTE(SUBSTITUTE(K64," ",""),"0",""),"-",""))),1,0))+IF(UPPER(L65)="X",0,IF((LEN(SUBSTITUTE(SUBSTITUTE(SUBSTITUTE(M65," ",""),"0",""),"-",""))+LEN(SUBSTITUTE(SUBSTITUTE(SUBSTITUTE(N65," ",""),"0",""),"-","")))&gt;(LEN(SUBSTITUTE(SUBSTITUTE(SUBSTITUTE(J65," ",""),"0",""),"-",""))+LEN(SUBSTITUTE(SUBSTITUTE(SUBSTITUTE(K65," ",""),"0",""),"-",""))),1,0))+IF(UPPER(L66)="X",0,IF((LEN(SUBSTITUTE(SUBSTITUTE(SUBSTITUTE(M66,"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f>
      </c>
      <c r="O63" s="14" t="str">
        <f>'data'!$B$54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242</v>
      </c>
      <c r="B71" s="13" t="s">
        <v>243</v>
      </c>
      <c r="C71" s="13" t="s">
        <v>244</v>
      </c>
      <c r="D71" s="13" t="s">
        <v>245</v>
      </c>
      <c r="E71" s="13"/>
      <c r="F71" s="13"/>
      <c r="G71" s="13" t="s">
        <v>246</v>
      </c>
      <c r="I71" s="13" t="s">
        <v>242</v>
      </c>
      <c r="J71" s="13" t="s">
        <v>243</v>
      </c>
      <c r="K71" s="13" t="s">
        <v>244</v>
      </c>
      <c r="L71" s="13" t="s">
        <v>245</v>
      </c>
      <c r="M71" s="13"/>
      <c r="N71" s="13"/>
      <c r="O71" s="13" t="s">
        <v>246</v>
      </c>
    </row>
    <row r="72">
      <c r="A72" s="14" t="str">
        <f>'data'!$B$6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247</v>
      </c>
      <c r="C76" s="13" t="s">
        <v>248</v>
      </c>
      <c r="D76" s="13" t="s">
        <v>249</v>
      </c>
      <c r="E76" s="13" t="s">
        <v>250</v>
      </c>
      <c r="F76" s="13" t="s">
        <v>251</v>
      </c>
      <c r="I76" s="13"/>
      <c r="J76" s="13" t="s">
        <v>247</v>
      </c>
      <c r="K76" s="13" t="s">
        <v>248</v>
      </c>
      <c r="L76" s="13" t="s">
        <v>249</v>
      </c>
      <c r="M76" s="13" t="s">
        <v>250</v>
      </c>
      <c r="N76" s="13" t="s">
        <v>251</v>
      </c>
    </row>
    <row r="77">
      <c r="A77" s="14" t="str">
        <f>'data'!$B$6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252</v>
      </c>
      <c r="N82" s="13"/>
      <c r="O82" s="13" t="s">
        <v>252</v>
      </c>
    </row>
    <row r="83">
      <c r="F83" t="s">
        <v>253</v>
      </c>
      <c r="G83" s="19" t="str">
        <f>IFERROR(INDEX($A$72:$A$79, MATCH(1, $G$72:$G$79, 0)), "-")</f>
      </c>
      <c r="N83" t="s">
        <v>253</v>
      </c>
      <c r="O83" s="19" t="str">
        <f>IFERROR(INDEX($I$72:$I$79, MATCH(1, $O$72:$O$79, 0)), "-")</f>
      </c>
    </row>
    <row r="84">
      <c r="F84" t="s">
        <v>254</v>
      </c>
      <c r="G84" s="19" t="str">
        <f>IFERROR(INDEX($A$72:$A$79, MATCH(2, $G$72:$G$79, 0)), "-")</f>
      </c>
      <c r="N84" t="s">
        <v>254</v>
      </c>
      <c r="O84" s="19" t="str">
        <f>IFERROR(INDEX($I$72:$I$79, MATCH(2, $O$72:$O$79, 0)), "-")</f>
      </c>
    </row>
    <row r="85">
      <c r="F85" t="s">
        <v>255</v>
      </c>
      <c r="G85" s="19" t="str">
        <f>IFERROR(INDEX($A$72:$A$79, MATCH(3, $G$72:$G$79, 0)), "-")</f>
      </c>
      <c r="N85" t="s">
        <v>255</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239</v>
      </c>
      <c r="B89" s="14"/>
      <c r="C89" s="14"/>
      <c r="D89" s="14" t="s">
        <v>240</v>
      </c>
      <c r="E89" s="14"/>
      <c r="F89" s="14"/>
      <c r="G89" s="16" t="s">
        <v>241</v>
      </c>
      <c r="I89" s="17" t="s">
        <v>239</v>
      </c>
      <c r="J89" s="14"/>
      <c r="K89" s="14"/>
      <c r="L89" s="14" t="s">
        <v>240</v>
      </c>
      <c r="M89" s="14"/>
      <c r="N89" s="14"/>
      <c r="O89" s="16" t="s">
        <v>241</v>
      </c>
    </row>
    <row r="90">
      <c r="A90" s="14" t="str">
        <f>'data'!$B$10</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",""),"0",""),"-",""))),1,0))+IF(UPPER(D95)="X",0,IF((LEN(SUBSTITUTE(SUBSTITUTE(SUBSTITUTE(B95," ",""),"0",""),"-",""))+LEN(SUBSTITUTE(SUBSTITUTE(SUBSTITUTE(C95," ",""),"0",""),"-","")))&gt;(LEN(SUBSTITUTE(SUBSTITUTE(SUBSTITUTE(E95," ",""),"0",""),"-",""))+LEN(SUBSTITUTE(SUBSTITUTE(SUBSTITUTE(F95," ",""),"0",""),"-",""))),1,0))</f>
      </c>
      <c r="C90" s="14" t="str">
        <f>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",""),"0",""),"-",""))+LEN(SUBSTITUTE(SUBSTITUTE(SUBSTITUTE(B95," ",""),"0",""),"-",""))+LEN(SUBSTITUTE(SUBSTITUTE(SUBSTITUTE(C95," ",""),"0",""),"-",""))</f>
      </c>
      <c r="D90" s="18"/>
      <c r="E90" s="14" t="str">
        <f>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",""),"0",""),"-",""))+LEN(SUBSTITUTE(SUBSTITUTE(SUBSTITUTE(E95," ",""),"0",""),"-",""))+LEN(SUBSTITUTE(SUBSTITUTE(SUBSTITUTE(F95,"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",""),"0",""),"-",""))),1,0))+IF(UPPER(D95)="X",0,IF((LEN(SUBSTITUTE(SUBSTITUTE(SUBSTITUTE(E95," ",""),"0",""),"-",""))+LEN(SUBSTITUTE(SUBSTITUTE(SUBSTITUTE(F95," ",""),"0",""),"-","")))&gt;(LEN(SUBSTITUTE(SUBSTITUTE(SUBSTITUTE(B95," ",""),"0",""),"-",""))+LEN(SUBSTITUTE(SUBSTITUTE(SUBSTITUTE(C95," ",""),"0",""),"-",""))),1,0))</f>
      </c>
      <c r="G90" s="14" t="str">
        <f>'data'!$B$9</f>
      </c>
      <c r="I90" s="14" t="str">
        <f>'data'!$B$57</f>
      </c>
      <c r="J90" s="14" t="str">
        <f>IF(UPPER(L91)="X",0,IF((LEN(SUBSTITUTE(SUBSTITUTE(SUBSTITUTE(J91," ",""),"0",""),"-",""))+LEN(SUBSTITUTE(SUBSTITUTE(SUBSTITUTE(K91," ",""),"0",""),"-","")))&gt;(LEN(SUBSTITUTE(SUBSTITUTE(SUBSTITUTE(M91," ",""),"0",""),"-",""))+LEN(SUBSTITUTE(SUBSTITUTE(SUBSTITUTE(N91," ",""),"0",""),"-",""))),1,0))+IF(UPPER(L92)="X",0,IF((LEN(SUBSTITUTE(SUBSTITUTE(SUBSTITUTE(J92," ",""),"0",""),"-",""))+LEN(SUBSTITUTE(SUBSTITUTE(SUBSTITUTE(K92," ",""),"0",""),"-","")))&gt;(LEN(SUBSTITUTE(SUBSTITUTE(SUBSTITUTE(M92," ",""),"0",""),"-",""))+LEN(SUBSTITUTE(SUBSTITUTE(SUBSTITUTE(N92," ",""),"0",""),"-",""))),1,0))+IF(UPPER(L93)="X",0,IF((LEN(SUBSTITUTE(SUBSTITUTE(SUBSTITUTE(J93," ",""),"0",""),"-",""))+LEN(SUBSTITUTE(SUBSTITUTE(SUBSTITUTE(K93," ",""),"0",""),"-","")))&gt;(LEN(SUBSTITUTE(SUBSTITUTE(SUBSTITUTE(M93," ",""),"0",""),"-",""))+LEN(SUBSTITUTE(SUBSTITUTE(SUBSTITUTE(N93," ",""),"0",""),"-",""))),1,0))+IF(UPPER(L94)="X",0,IF((LEN(SUBSTITUTE(SUBSTITUTE(SUBSTITUTE(J94," ",""),"0",""),"-",""))+LEN(SUBSTITUTE(SUBSTITUTE(SUBSTITUTE(K94," ",""),"0",""),"-","")))&gt;(LEN(SUBSTITUTE(SUBSTITUTE(SUBSTITUTE(M94," ",""),"0",""),"-",""))+LEN(SUBSTITUTE(SUBSTITUTE(SUBSTITUTE(N94," ",""),"0",""),"-",""))),1,0))+IF(UPPER(L95)="X",0,IF((LEN(SUBSTITUTE(SUBSTITUTE(SUBSTITUTE(J95," ",""),"0",""),"-",""))+LEN(SUBSTITUTE(SUBSTITUTE(SUBSTITUTE(K95," ",""),"0",""),"-","")))&gt;(LEN(SUBSTITUTE(SUBSTITUTE(SUBSTITUTE(M95," ",""),"0",""),"-",""))+LEN(SUBSTITUTE(SUBSTITUTE(SUBSTITUTE(N95," ",""),"0",""),"-",""))),1,0))</f>
      </c>
      <c r="K90" s="14" t="str">
        <f>LEN(SUBSTITUTE(SUBSTITUTE(SUBSTITUTE(J91," ",""),"0",""),"-",""))+LEN(SUBSTITUTE(SUBSTITUTE(SUBSTITUTE(K91," ",""),"0",""),"-",""))+LEN(SUBSTITUTE(SUBSTITUTE(SUBSTITUTE(J92," ",""),"0",""),"-",""))+LEN(SUBSTITUTE(SUBSTITUTE(SUBSTITUTE(K92," ",""),"0",""),"-",""))+LEN(SUBSTITUTE(SUBSTITUTE(SUBSTITUTE(J93," ",""),"0",""),"-",""))+LEN(SUBSTITUTE(SUBSTITUTE(SUBSTITUTE(K93," ",""),"0",""),"-",""))+LEN(SUBSTITUTE(SUBSTITUTE(SUBSTITUTE(J94," ",""),"0",""),"-",""))+LEN(SUBSTITUTE(SUBSTITUTE(SUBSTITUTE(K94," ",""),"0",""),"-",""))+LEN(SUBSTITUTE(SUBSTITUTE(SUBSTITUTE(J95," ",""),"0",""),"-",""))+LEN(SUBSTITUTE(SUBSTITUTE(SUBSTITUTE(K95," ",""),"0",""),"-",""))</f>
      </c>
      <c r="L90" s="18"/>
      <c r="M90" s="14" t="str">
        <f>LEN(SUBSTITUTE(SUBSTITUTE(SUBSTITUTE(M91," ",""),"0",""),"-",""))+LEN(SUBSTITUTE(SUBSTITUTE(SUBSTITUTE(N91," ",""),"0",""),"-",""))+LEN(SUBSTITUTE(SUBSTITUTE(SUBSTITUTE(M92," ",""),"0",""),"-",""))+LEN(SUBSTITUTE(SUBSTITUTE(SUBSTITUTE(N92," ",""),"0",""),"-",""))+LEN(SUBSTITUTE(SUBSTITUTE(SUBSTITUTE(M93," ",""),"0",""),"-",""))+LEN(SUBSTITUTE(SUBSTITUTE(SUBSTITUTE(N93," ",""),"0",""),"-",""))+LEN(SUBSTITUTE(SUBSTITUTE(SUBSTITUTE(M94," ",""),"0",""),"-",""))+LEN(SUBSTITUTE(SUBSTITUTE(SUBSTITUTE(N94," ",""),"0",""),"-",""))+LEN(SUBSTITUTE(SUBSTITUTE(SUBSTITUTE(M95," ",""),"0",""),"-",""))+LEN(SUBSTITUTE(SUBSTITUTE(SUBSTITUTE(N95," ",""),"0",""),"-",""))</f>
      </c>
      <c r="N90" s="14" t="str">
        <f>IF(UPPER(L91)="X",0,IF((LEN(SUBSTITUTE(SUBSTITUTE(SUBSTITUTE(M91," ",""),"0",""),"-",""))+LEN(SUBSTITUTE(SUBSTITUTE(SUBSTITUTE(N91," ",""),"0",""),"-","")))&gt;(LEN(SUBSTITUTE(SUBSTITUTE(SUBSTITUTE(J91," ",""),"0",""),"-",""))+LEN(SUBSTITUTE(SUBSTITUTE(SUBSTITUTE(K91," ",""),"0",""),"-",""))),1,0))+IF(UPPER(L92)="X",0,IF((LEN(SUBSTITUTE(SUBSTITUTE(SUBSTITUTE(M92," ",""),"0",""),"-",""))+LEN(SUBSTITUTE(SUBSTITUTE(SUBSTITUTE(N92," ",""),"0",""),"-","")))&gt;(LEN(SUBSTITUTE(SUBSTITUTE(SUBSTITUTE(J92," ",""),"0",""),"-",""))+LEN(SUBSTITUTE(SUBSTITUTE(SUBSTITUTE(K92," ",""),"0",""),"-",""))),1,0))+IF(UPPER(L93)="X",0,IF((LEN(SUBSTITUTE(SUBSTITUTE(SUBSTITUTE(M93," ",""),"0",""),"-",""))+LEN(SUBSTITUTE(SUBSTITUTE(SUBSTITUTE(N93," ",""),"0",""),"-","")))&gt;(LEN(SUBSTITUTE(SUBSTITUTE(SUBSTITUTE(J93," ",""),"0",""),"-",""))+LEN(SUBSTITUTE(SUBSTITUTE(SUBSTITUTE(K93," ",""),"0",""),"-",""))),1,0))+IF(UPPER(L94)="X",0,IF((LEN(SUBSTITUTE(SUBSTITUTE(SUBSTITUTE(M94," ",""),"0",""),"-",""))+LEN(SUBSTITUTE(SUBSTITUTE(SUBSTITUTE(N94," ",""),"0",""),"-","")))&gt;(LEN(SUBSTITUTE(SUBSTITUTE(SUBSTITUTE(J94," ",""),"0",""),"-",""))+LEN(SUBSTITUTE(SUBSTITUTE(SUBSTITUTE(K94," ",""),"0",""),"-",""))),1,0))+IF(UPPER(L95)="X",0,IF((LEN(SUBSTITUTE(SUBSTITUTE(SUBSTITUTE(M95," ",""),"0",""),"-",""))+LEN(SUBSTITUTE(SUBSTITUTE(SUBSTITUTE(N95," ",""),"0",""),"-","")))&gt;(LEN(SUBSTITUTE(SUBSTITUTE(SUBSTITUTE(J95," ",""),"0",""),"-",""))+LEN(SUBSTITUTE(SUBSTITUTE(SUBSTITUTE(K95," ",""),"0",""),"-",""))),1,0))</f>
      </c>
      <c r="O90" s="14" t="str">
        <f>'data'!$B$56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239</v>
      </c>
      <c r="B97" s="14"/>
      <c r="C97" s="14"/>
      <c r="D97" s="14" t="s">
        <v>240</v>
      </c>
      <c r="E97" s="14"/>
      <c r="F97" s="14"/>
      <c r="G97" s="16" t="s">
        <v>241</v>
      </c>
      <c r="I97" s="17" t="s">
        <v>239</v>
      </c>
      <c r="J97" s="14"/>
      <c r="K97" s="14"/>
      <c r="L97" s="14" t="s">
        <v>240</v>
      </c>
      <c r="M97" s="14"/>
      <c r="N97" s="14"/>
      <c r="O97" s="16" t="s">
        <v>241</v>
      </c>
    </row>
    <row r="98">
      <c r="A98" s="14" t="str">
        <f>'data'!$B$11</f>
      </c>
      <c r="B98" s="14" t="str">
        <f>IF(UPPER(D99)="X",0,IF((LEN(SUBSTITUTE(SUBSTITUTE(SUBSTITUTE(B99," ",""),"0",""),"-",""))+LEN(SUBSTITUTE(SUBSTITUTE(SUBSTITUTE(C99," ",""),"0",""),"-","")))&gt;(LEN(SUBSTITUTE(SUBSTITUTE(SUBSTITUTE(E99," ",""),"0",""),"-",""))+LEN(SUBSTITUTE(SUBSTITUTE(SUBSTITUTE(F99," ",""),"0",""),"-",""))),1,0))+IF(UPPER(D100)="X",0,IF((LEN(SUBSTITUTE(SUBSTITUTE(SUBSTITUTE(B100," ",""),"0",""),"-",""))+LEN(SUBSTITUTE(SUBSTITUTE(SUBSTITUTE(C100," ",""),"0",""),"-","")))&gt;(LEN(SUBSTITUTE(SUBSTITUTE(SUBSTITUTE(E100," ",""),"0",""),"-",""))+LEN(SUBSTITUTE(SUBSTITUTE(SUBSTITUTE(F100," ",""),"0",""),"-",""))),1,0))+IF(UPPER(D101)="X",0,IF((LEN(SUBSTITUTE(SUBSTITUTE(SUBSTITUTE(B101,"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f>
      </c>
      <c r="C98" s="14" t="str">
        <f>LEN(SUBSTITUTE(SUBSTITUTE(SUBSTITUTE(B99," ",""),"0",""),"-",""))+LEN(SUBSTITUTE(SUBSTITUTE(SUBSTITUTE(C99," ",""),"0",""),"-",""))+LEN(SUBSTITUTE(SUBSTITUTE(SUBSTITUTE(B100," ",""),"0",""),"-",""))+LEN(SUBSTITUTE(SUBSTITUTE(SUBSTITUTE(C100," ",""),"0",""),"-",""))+LEN(SUBSTITUTE(SUBSTITUTE(SUBSTITUTE(B101," ",""),"0",""),"-",""))+LEN(SUBSTITUTE(SUBSTITUTE(SUBSTITUTE(C101," ",""),"0",""),"-",""))+LEN(SUBSTITUTE(SUBSTITUTE(SUBSTITUTE(B102," ",""),"0",""),"-",""))+LEN(SUBSTITUTE(SUBSTITUTE(SUBSTITUTE(C102," ",""),"0",""),"-",""))+LEN(SUBSTITUTE(SUBSTITUTE(SUBSTITUTE(B103," ",""),"0",""),"-",""))+LEN(SUBSTITUTE(SUBSTITUTE(SUBSTITUTE(C103," ",""),"0",""),"-",""))</f>
      </c>
      <c r="D98" s="18"/>
      <c r="E98" s="14" t="str">
        <f>LEN(SUBSTITUTE(SUBSTITUTE(SUBSTITUTE(E99," ",""),"0",""),"-",""))+LEN(SUBSTITUTE(SUBSTITUTE(SUBSTITUTE(F99," ",""),"0",""),"-",""))+LEN(SUBSTITUTE(SUBSTITUTE(SUBSTITUTE(E100," ",""),"0",""),"-",""))+LEN(SUBSTITUTE(SUBSTITUTE(SUBSTITUTE(F100," ",""),"0",""),"-",""))+LEN(SUBSTITUTE(SUBSTITUTE(SUBSTITUTE(E101," ",""),"0",""),"-",""))+LEN(SUBSTITUTE(SUBSTITUTE(SUBSTITUTE(F101," ",""),"0",""),"-",""))+LEN(SUBSTITUTE(SUBSTITUTE(SUBSTITUTE(E102," ",""),"0",""),"-",""))+LEN(SUBSTITUTE(SUBSTITUTE(SUBSTITUTE(F102," ",""),"0",""),"-",""))+LEN(SUBSTITUTE(SUBSTITUTE(SUBSTITUTE(E103," ",""),"0",""),"-",""))+LEN(SUBSTITUTE(SUBSTITUTE(SUBSTITUTE(F103," ",""),"0",""),"-",""))</f>
      </c>
      <c r="F98" s="14" t="str">
        <f>IF(UPPER(D99)="X",0,IF((LEN(SUBSTITUTE(SUBSTITUTE(SUBSTITUTE(E99," ",""),"0",""),"-",""))+LEN(SUBSTITUTE(SUBSTITUTE(SUBSTITUTE(F99," ",""),"0",""),"-","")))&gt;(LEN(SUBSTITUTE(SUBSTITUTE(SUBSTITUTE(B99," ",""),"0",""),"-",""))+LEN(SUBSTITUTE(SUBSTITUTE(SUBSTITUTE(C99," ",""),"0",""),"-",""))),1,0))+IF(UPPER(D100)="X",0,IF((LEN(SUBSTITUTE(SUBSTITUTE(SUBSTITUTE(E100," ",""),"0",""),"-",""))+LEN(SUBSTITUTE(SUBSTITUTE(SUBSTITUTE(F100," ",""),"0",""),"-","")))&gt;(LEN(SUBSTITUTE(SUBSTITUTE(SUBSTITUTE(B100," ",""),"0",""),"-",""))+LEN(SUBSTITUTE(SUBSTITUTE(SUBSTITUTE(C100," ",""),"0",""),"-",""))),1,0))+IF(UPPER(D101)="X",0,IF((LEN(SUBSTITUTE(SUBSTITUTE(SUBSTITUTE(E101,"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f>
      </c>
      <c r="G98" s="14" t="str">
        <f>'data'!$B$9</f>
      </c>
      <c r="I98" s="14" t="str">
        <f>'data'!$B$58</f>
      </c>
      <c r="J98" s="14" t="str">
        <f>IF(UPPER(L99)="X",0,IF((LEN(SUBSTITUTE(SUBSTITUTE(SUBSTITUTE(J99," ",""),"0",""),"-",""))+LEN(SUBSTITUTE(SUBSTITUTE(SUBSTITUTE(K99," ",""),"0",""),"-","")))&gt;(LEN(SUBSTITUTE(SUBSTITUTE(SUBSTITUTE(M99," ",""),"0",""),"-",""))+LEN(SUBSTITUTE(SUBSTITUTE(SUBSTITUTE(N99," ",""),"0",""),"-",""))),1,0))+IF(UPPER(L100)="X",0,IF((LEN(SUBSTITUTE(SUBSTITUTE(SUBSTITUTE(J100," ",""),"0",""),"-",""))+LEN(SUBSTITUTE(SUBSTITUTE(SUBSTITUTE(K100," ",""),"0",""),"-","")))&gt;(LEN(SUBSTITUTE(SUBSTITUTE(SUBSTITUTE(M100," ",""),"0",""),"-",""))+LEN(SUBSTITUTE(SUBSTITUTE(SUBSTITUTE(N100," ",""),"0",""),"-",""))),1,0))+IF(UPPER(L101)="X",0,IF((LEN(SUBSTITUTE(SUBSTITUTE(SUBSTITUTE(J101,"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f>
      </c>
      <c r="K98" s="14" t="str">
        <f>LEN(SUBSTITUTE(SUBSTITUTE(SUBSTITUTE(J99," ",""),"0",""),"-",""))+LEN(SUBSTITUTE(SUBSTITUTE(SUBSTITUTE(K99," ",""),"0",""),"-",""))+LEN(SUBSTITUTE(SUBSTITUTE(SUBSTITUTE(J100," ",""),"0",""),"-",""))+LEN(SUBSTITUTE(SUBSTITUTE(SUBSTITUTE(K100," ",""),"0",""),"-",""))+LEN(SUBSTITUTE(SUBSTITUTE(SUBSTITUTE(J101," ",""),"0",""),"-",""))+LEN(SUBSTITUTE(SUBSTITUTE(SUBSTITUTE(K101," ",""),"0",""),"-",""))+LEN(SUBSTITUTE(SUBSTITUTE(SUBSTITUTE(J102," ",""),"0",""),"-",""))+LEN(SUBSTITUTE(SUBSTITUTE(SUBSTITUTE(K102," ",""),"0",""),"-",""))+LEN(SUBSTITUTE(SUBSTITUTE(SUBSTITUTE(J103," ",""),"0",""),"-",""))+LEN(SUBSTITUTE(SUBSTITUTE(SUBSTITUTE(K103," ",""),"0",""),"-",""))</f>
      </c>
      <c r="L98" s="18"/>
      <c r="M98" s="14" t="str">
        <f>LEN(SUBSTITUTE(SUBSTITUTE(SUBSTITUTE(M99," ",""),"0",""),"-",""))+LEN(SUBSTITUTE(SUBSTITUTE(SUBSTITUTE(N99," ",""),"0",""),"-",""))+LEN(SUBSTITUTE(SUBSTITUTE(SUBSTITUTE(M100," ",""),"0",""),"-",""))+LEN(SUBSTITUTE(SUBSTITUTE(SUBSTITUTE(N100," ",""),"0",""),"-",""))+LEN(SUBSTITUTE(SUBSTITUTE(SUBSTITUTE(M101," ",""),"0",""),"-",""))+LEN(SUBSTITUTE(SUBSTITUTE(SUBSTITUTE(N101," ",""),"0",""),"-",""))+LEN(SUBSTITUTE(SUBSTITUTE(SUBSTITUTE(M102," ",""),"0",""),"-",""))+LEN(SUBSTITUTE(SUBSTITUTE(SUBSTITUTE(N102," ",""),"0",""),"-",""))+LEN(SUBSTITUTE(SUBSTITUTE(SUBSTITUTE(M103," ",""),"0",""),"-",""))+LEN(SUBSTITUTE(SUBSTITUTE(SUBSTITUTE(N103," ",""),"0",""),"-",""))</f>
      </c>
      <c r="N98" s="14" t="str">
        <f>IF(UPPER(L99)="X",0,IF((LEN(SUBSTITUTE(SUBSTITUTE(SUBSTITUTE(M99," ",""),"0",""),"-",""))+LEN(SUBSTITUTE(SUBSTITUTE(SUBSTITUTE(N99," ",""),"0",""),"-","")))&gt;(LEN(SUBSTITUTE(SUBSTITUTE(SUBSTITUTE(J99," ",""),"0",""),"-",""))+LEN(SUBSTITUTE(SUBSTITUTE(SUBSTITUTE(K99," ",""),"0",""),"-",""))),1,0))+IF(UPPER(L100)="X",0,IF((LEN(SUBSTITUTE(SUBSTITUTE(SUBSTITUTE(M100," ",""),"0",""),"-",""))+LEN(SUBSTITUTE(SUBSTITUTE(SUBSTITUTE(N100," ",""),"0",""),"-","")))&gt;(LEN(SUBSTITUTE(SUBSTITUTE(SUBSTITUTE(J100," ",""),"0",""),"-",""))+LEN(SUBSTITUTE(SUBSTITUTE(SUBSTITUTE(K100," ",""),"0",""),"-",""))),1,0))+IF(UPPER(L101)="X",0,IF((LEN(SUBSTITUTE(SUBSTITUTE(SUBSTITUTE(M101,"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f>
      </c>
      <c r="O98" s="14" t="str">
        <f>'data'!$B$56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239</v>
      </c>
      <c r="B105" s="14"/>
      <c r="C105" s="14"/>
      <c r="D105" s="14" t="s">
        <v>240</v>
      </c>
      <c r="E105" s="14"/>
      <c r="F105" s="14"/>
      <c r="G105" s="16" t="s">
        <v>241</v>
      </c>
      <c r="I105" s="17" t="s">
        <v>239</v>
      </c>
      <c r="J105" s="14"/>
      <c r="K105" s="14"/>
      <c r="L105" s="14" t="s">
        <v>240</v>
      </c>
      <c r="M105" s="14"/>
      <c r="N105" s="14"/>
      <c r="O105" s="16" t="s">
        <v>241</v>
      </c>
    </row>
    <row r="106">
      <c r="A106" s="14" t="str">
        <f>'data'!$B$11</f>
      </c>
      <c r="B106" s="14" t="str">
        <f>IF(UPPER(D107)="X",0,IF((LEN(SUBSTITUTE(SUBSTITUTE(SUBSTITUTE(B107," ",""),"0",""),"-",""))+LEN(SUBSTITUTE(SUBSTITUTE(SUBSTITUTE(C107," ",""),"0",""),"-","")))&gt;(LEN(SUBSTITUTE(SUBSTITUTE(SUBSTITUTE(E107," ",""),"0",""),"-",""))+LEN(SUBSTITUTE(SUBSTITUTE(SUBSTITUTE(F107," ",""),"0",""),"-",""))),1,0))+IF(UPPER(D108)="X",0,IF((LEN(SUBSTITUTE(SUBSTITUTE(SUBSTITUTE(B108," ",""),"0",""),"-",""))+LEN(SUBSTITUTE(SUBSTITUTE(SUBSTITUTE(C108," ",""),"0",""),"-","")))&gt;(LEN(SUBSTITUTE(SUBSTITUTE(SUBSTITUTE(E108," ",""),"0",""),"-",""))+LEN(SUBSTITUTE(SUBSTITUTE(SUBSTITUTE(F108," ",""),"0",""),"-",""))),1,0))+IF(UPPER(D109)="X",0,IF((LEN(SUBSTITUTE(SUBSTITUTE(SUBSTITUTE(B109,"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f>
      </c>
      <c r="C106" s="14" t="str">
        <f>LEN(SUBSTITUTE(SUBSTITUTE(SUBSTITUTE(B107," ",""),"0",""),"-",""))+LEN(SUBSTITUTE(SUBSTITUTE(SUBSTITUTE(C107," ",""),"0",""),"-",""))+LEN(SUBSTITUTE(SUBSTITUTE(SUBSTITUTE(B108," ",""),"0",""),"-",""))+LEN(SUBSTITUTE(SUBSTITUTE(SUBSTITUTE(C108," ",""),"0",""),"-",""))+LEN(SUBSTITUTE(SUBSTITUTE(SUBSTITUTE(B109," ",""),"0",""),"-",""))+LEN(SUBSTITUTE(SUBSTITUTE(SUBSTITUTE(C109," ",""),"0",""),"-",""))+LEN(SUBSTITUTE(SUBSTITUTE(SUBSTITUTE(B110," ",""),"0",""),"-",""))+LEN(SUBSTITUTE(SUBSTITUTE(SUBSTITUTE(C110," ",""),"0",""),"-",""))+LEN(SUBSTITUTE(SUBSTITUTE(SUBSTITUTE(B111," ",""),"0",""),"-",""))+LEN(SUBSTITUTE(SUBSTITUTE(SUBSTITUTE(C111," ",""),"0",""),"-",""))</f>
      </c>
      <c r="D106" s="18"/>
      <c r="E106" s="14" t="str">
        <f>LEN(SUBSTITUTE(SUBSTITUTE(SUBSTITUTE(E107," ",""),"0",""),"-",""))+LEN(SUBSTITUTE(SUBSTITUTE(SUBSTITUTE(F107," ",""),"0",""),"-",""))+LEN(SUBSTITUTE(SUBSTITUTE(SUBSTITUTE(E108," ",""),"0",""),"-",""))+LEN(SUBSTITUTE(SUBSTITUTE(SUBSTITUTE(F108," ",""),"0",""),"-",""))+LEN(SUBSTITUTE(SUBSTITUTE(SUBSTITUTE(E109," ",""),"0",""),"-",""))+LEN(SUBSTITUTE(SUBSTITUTE(SUBSTITUTE(F109," ",""),"0",""),"-",""))+LEN(SUBSTITUTE(SUBSTITUTE(SUBSTITUTE(E110," ",""),"0",""),"-",""))+LEN(SUBSTITUTE(SUBSTITUTE(SUBSTITUTE(F110," ",""),"0",""),"-",""))+LEN(SUBSTITUTE(SUBSTITUTE(SUBSTITUTE(E111," ",""),"0",""),"-",""))+LEN(SUBSTITUTE(SUBSTITUTE(SUBSTITUTE(F111," ",""),"0",""),"-",""))</f>
      </c>
      <c r="F106" s="14" t="str">
        <f>IF(UPPER(D107)="X",0,IF((LEN(SUBSTITUTE(SUBSTITUTE(SUBSTITUTE(E107," ",""),"0",""),"-",""))+LEN(SUBSTITUTE(SUBSTITUTE(SUBSTITUTE(F107," ",""),"0",""),"-","")))&gt;(LEN(SUBSTITUTE(SUBSTITUTE(SUBSTITUTE(B107," ",""),"0",""),"-",""))+LEN(SUBSTITUTE(SUBSTITUTE(SUBSTITUTE(C107," ",""),"0",""),"-",""))),1,0))+IF(UPPER(D108)="X",0,IF((LEN(SUBSTITUTE(SUBSTITUTE(SUBSTITUTE(E108," ",""),"0",""),"-",""))+LEN(SUBSTITUTE(SUBSTITUTE(SUBSTITUTE(F108," ",""),"0",""),"-","")))&gt;(LEN(SUBSTITUTE(SUBSTITUTE(SUBSTITUTE(B108," ",""),"0",""),"-",""))+LEN(SUBSTITUTE(SUBSTITUTE(SUBSTITUTE(C108," ",""),"0",""),"-",""))),1,0))+IF(UPPER(D109)="X",0,IF((LEN(SUBSTITUTE(SUBSTITUTE(SUBSTITUTE(E109,"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f>
      </c>
      <c r="G106" s="14" t="str">
        <f>'data'!$B$10</f>
      </c>
      <c r="I106" s="14" t="str">
        <f>'data'!$B$58</f>
      </c>
      <c r="J106" s="14" t="str">
        <f>IF(UPPER(L107)="X",0,IF((LEN(SUBSTITUTE(SUBSTITUTE(SUBSTITUTE(J107," ",""),"0",""),"-",""))+LEN(SUBSTITUTE(SUBSTITUTE(SUBSTITUTE(K107," ",""),"0",""),"-","")))&gt;(LEN(SUBSTITUTE(SUBSTITUTE(SUBSTITUTE(M107," ",""),"0",""),"-",""))+LEN(SUBSTITUTE(SUBSTITUTE(SUBSTITUTE(N107," ",""),"0",""),"-",""))),1,0))+IF(UPPER(L108)="X",0,IF((LEN(SUBSTITUTE(SUBSTITUTE(SUBSTITUTE(J108," ",""),"0",""),"-",""))+LEN(SUBSTITUTE(SUBSTITUTE(SUBSTITUTE(K108," ",""),"0",""),"-","")))&gt;(LEN(SUBSTITUTE(SUBSTITUTE(SUBSTITUTE(M108," ",""),"0",""),"-",""))+LEN(SUBSTITUTE(SUBSTITUTE(SUBSTITUTE(N108," ",""),"0",""),"-",""))),1,0))+IF(UPPER(L109)="X",0,IF((LEN(SUBSTITUTE(SUBSTITUTE(SUBSTITUTE(J109,"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f>
      </c>
      <c r="K106" s="14" t="str">
        <f>LEN(SUBSTITUTE(SUBSTITUTE(SUBSTITUTE(J107," ",""),"0",""),"-",""))+LEN(SUBSTITUTE(SUBSTITUTE(SUBSTITUTE(K107," ",""),"0",""),"-",""))+LEN(SUBSTITUTE(SUBSTITUTE(SUBSTITUTE(J108," ",""),"0",""),"-",""))+LEN(SUBSTITUTE(SUBSTITUTE(SUBSTITUTE(K108," ",""),"0",""),"-",""))+LEN(SUBSTITUTE(SUBSTITUTE(SUBSTITUTE(J109," ",""),"0",""),"-",""))+LEN(SUBSTITUTE(SUBSTITUTE(SUBSTITUTE(K109," ",""),"0",""),"-",""))+LEN(SUBSTITUTE(SUBSTITUTE(SUBSTITUTE(J110," ",""),"0",""),"-",""))+LEN(SUBSTITUTE(SUBSTITUTE(SUBSTITUTE(K110," ",""),"0",""),"-",""))+LEN(SUBSTITUTE(SUBSTITUTE(SUBSTITUTE(J111," ",""),"0",""),"-",""))+LEN(SUBSTITUTE(SUBSTITUTE(SUBSTITUTE(K111," ",""),"0",""),"-",""))</f>
      </c>
      <c r="L106" s="18"/>
      <c r="M106" s="14" t="str">
        <f>LEN(SUBSTITUTE(SUBSTITUTE(SUBSTITUTE(M107," ",""),"0",""),"-",""))+LEN(SUBSTITUTE(SUBSTITUTE(SUBSTITUTE(N107," ",""),"0",""),"-",""))+LEN(SUBSTITUTE(SUBSTITUTE(SUBSTITUTE(M108," ",""),"0",""),"-",""))+LEN(SUBSTITUTE(SUBSTITUTE(SUBSTITUTE(N108," ",""),"0",""),"-",""))+LEN(SUBSTITUTE(SUBSTITUTE(SUBSTITUTE(M109," ",""),"0",""),"-",""))+LEN(SUBSTITUTE(SUBSTITUTE(SUBSTITUTE(N109," ",""),"0",""),"-",""))+LEN(SUBSTITUTE(SUBSTITUTE(SUBSTITUTE(M110," ",""),"0",""),"-",""))+LEN(SUBSTITUTE(SUBSTITUTE(SUBSTITUTE(N110," ",""),"0",""),"-",""))+LEN(SUBSTITUTE(SUBSTITUTE(SUBSTITUTE(M111," ",""),"0",""),"-",""))+LEN(SUBSTITUTE(SUBSTITUTE(SUBSTITUTE(N111," ",""),"0",""),"-",""))</f>
      </c>
      <c r="N106" s="14" t="str">
        <f>IF(UPPER(L107)="X",0,IF((LEN(SUBSTITUTE(SUBSTITUTE(SUBSTITUTE(M107," ",""),"0",""),"-",""))+LEN(SUBSTITUTE(SUBSTITUTE(SUBSTITUTE(N107," ",""),"0",""),"-","")))&gt;(LEN(SUBSTITUTE(SUBSTITUTE(SUBSTITUTE(J107," ",""),"0",""),"-",""))+LEN(SUBSTITUTE(SUBSTITUTE(SUBSTITUTE(K107," ",""),"0",""),"-",""))),1,0))+IF(UPPER(L108)="X",0,IF((LEN(SUBSTITUTE(SUBSTITUTE(SUBSTITUTE(M108," ",""),"0",""),"-",""))+LEN(SUBSTITUTE(SUBSTITUTE(SUBSTITUTE(N108," ",""),"0",""),"-","")))&gt;(LEN(SUBSTITUTE(SUBSTITUTE(SUBSTITUTE(J108," ",""),"0",""),"-",""))+LEN(SUBSTITUTE(SUBSTITUTE(SUBSTITUTE(K108," ",""),"0",""),"-",""))),1,0))+IF(UPPER(L109)="X",0,IF((LEN(SUBSTITUTE(SUBSTITUTE(SUBSTITUTE(M109,"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f>
      </c>
      <c r="O106" s="14" t="str">
        <f>'data'!$B$57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242</v>
      </c>
      <c r="B114" s="13" t="s">
        <v>243</v>
      </c>
      <c r="C114" s="13" t="s">
        <v>244</v>
      </c>
      <c r="D114" s="13" t="s">
        <v>245</v>
      </c>
      <c r="E114" s="13"/>
      <c r="F114" s="13"/>
      <c r="G114" s="13" t="s">
        <v>246</v>
      </c>
      <c r="I114" s="13" t="s">
        <v>242</v>
      </c>
      <c r="J114" s="13" t="s">
        <v>243</v>
      </c>
      <c r="K114" s="13" t="s">
        <v>244</v>
      </c>
      <c r="L114" s="13" t="s">
        <v>245</v>
      </c>
      <c r="M114" s="13"/>
      <c r="N114" s="13"/>
      <c r="O114" s="13" t="s">
        <v>246</v>
      </c>
    </row>
    <row r="115">
      <c r="A115" s="14" t="str">
        <f>'data'!$B$9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247</v>
      </c>
      <c r="C119" s="13" t="s">
        <v>248</v>
      </c>
      <c r="D119" s="13" t="s">
        <v>249</v>
      </c>
      <c r="E119" s="13" t="s">
        <v>250</v>
      </c>
      <c r="F119" s="13" t="s">
        <v>251</v>
      </c>
      <c r="I119" s="13"/>
      <c r="J119" s="13" t="s">
        <v>247</v>
      </c>
      <c r="K119" s="13" t="s">
        <v>248</v>
      </c>
      <c r="L119" s="13" t="s">
        <v>249</v>
      </c>
      <c r="M119" s="13" t="s">
        <v>250</v>
      </c>
      <c r="N119" s="13" t="s">
        <v>251</v>
      </c>
    </row>
    <row r="120">
      <c r="A120" s="14" t="str">
        <f>'data'!$B$9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252</v>
      </c>
      <c r="N125" s="13"/>
      <c r="O125" s="13" t="s">
        <v>252</v>
      </c>
    </row>
    <row r="126">
      <c r="F126" t="s">
        <v>253</v>
      </c>
      <c r="G126" s="19" t="str">
        <f>IFERROR(INDEX($A$115:$A$122, MATCH(1, $G$115:$G$122, 0)), "-")</f>
      </c>
      <c r="N126" t="s">
        <v>253</v>
      </c>
      <c r="O126" s="19" t="str">
        <f>IFERROR(INDEX($I$115:$I$122, MATCH(1, $O$115:$O$122, 0)), "-")</f>
      </c>
    </row>
    <row r="127">
      <c r="F127" t="s">
        <v>254</v>
      </c>
      <c r="G127" s="19" t="str">
        <f>IFERROR(INDEX($A$115:$A$122, MATCH(2, $G$115:$G$122, 0)), "-")</f>
      </c>
      <c r="N127" t="s">
        <v>254</v>
      </c>
      <c r="O127" s="19" t="str">
        <f>IFERROR(INDEX($I$115:$I$122, MATCH(2, $O$115:$O$122, 0)), "-")</f>
      </c>
    </row>
    <row r="128">
      <c r="F128" t="s">
        <v>255</v>
      </c>
      <c r="G128" s="19" t="str">
        <f>IFERROR(INDEX($A$115:$A$122, MATCH(3, $G$115:$G$122, 0)), "-")</f>
      </c>
      <c r="N128" t="s">
        <v>255</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239</v>
      </c>
      <c r="B132" s="14"/>
      <c r="C132" s="14"/>
      <c r="D132" s="14" t="s">
        <v>240</v>
      </c>
      <c r="E132" s="14"/>
      <c r="F132" s="14"/>
      <c r="G132" s="16" t="s">
        <v>241</v>
      </c>
      <c r="I132" s="17" t="s">
        <v>239</v>
      </c>
      <c r="J132" s="14"/>
      <c r="K132" s="14"/>
      <c r="L132" s="14" t="s">
        <v>240</v>
      </c>
      <c r="M132" s="14"/>
      <c r="N132" s="14"/>
      <c r="O132" s="16" t="s">
        <v>241</v>
      </c>
    </row>
    <row r="133">
      <c r="A133" s="14" t="str">
        <f>'data'!$B$13</f>
      </c>
      <c r="B133" s="14" t="str">
        <f>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",""),"0",""),"-",""))),1,0))+IF(UPPER(D138)="X",0,IF((LEN(SUBSTITUTE(SUBSTITUTE(SUBSTITUTE(B138," ",""),"0",""),"-",""))+LEN(SUBSTITUTE(SUBSTITUTE(SUBSTITUTE(C138," ",""),"0",""),"-","")))&gt;(LEN(SUBSTITUTE(SUBSTITUTE(SUBSTITUTE(E138," ",""),"0",""),"-",""))+LEN(SUBSTITUTE(SUBSTITUTE(SUBSTITUTE(F138," ",""),"0",""),"-",""))),1,0))</f>
      </c>
      <c r="C133" s="14" t="str">
        <f>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",""),"0",""),"-",""))+LEN(SUBSTITUTE(SUBSTITUTE(SUBSTITUTE(B138," ",""),"0",""),"-",""))+LEN(SUBSTITUTE(SUBSTITUTE(SUBSTITUTE(C138," ",""),"0",""),"-",""))</f>
      </c>
      <c r="D133" s="18"/>
      <c r="E133" s="14" t="str">
        <f>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",""),"0",""),"-",""))+LEN(SUBSTITUTE(SUBSTITUTE(SUBSTITUTE(E138," ",""),"0",""),"-",""))+LEN(SUBSTITUTE(SUBSTITUTE(SUBSTITUTE(F138," ",""),"0",""),"-",""))</f>
      </c>
      <c r="F133" s="14" t="str">
        <f>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",""),"0",""),"-",""))),1,0))+IF(UPPER(D138)="X",0,IF((LEN(SUBSTITUTE(SUBSTITUTE(SUBSTITUTE(E138," ",""),"0",""),"-",""))+LEN(SUBSTITUTE(SUBSTITUTE(SUBSTITUTE(F138," ",""),"0",""),"-","")))&gt;(LEN(SUBSTITUTE(SUBSTITUTE(SUBSTITUTE(B138," ",""),"0",""),"-",""))+LEN(SUBSTITUTE(SUBSTITUTE(SUBSTITUTE(C138," ",""),"0",""),"-",""))),1,0))</f>
      </c>
      <c r="G133" s="14" t="str">
        <f>'data'!$B$12</f>
      </c>
      <c r="I133" s="14" t="str">
        <f>'data'!$B$60</f>
      </c>
      <c r="J133" s="14" t="str">
        <f>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",""),"0",""),"-",""))),1,0))+IF(UPPER(L138)="X",0,IF((LEN(SUBSTITUTE(SUBSTITUTE(SUBSTITUTE(J138," ",""),"0",""),"-",""))+LEN(SUBSTITUTE(SUBSTITUTE(SUBSTITUTE(K138," ",""),"0",""),"-","")))&gt;(LEN(SUBSTITUTE(SUBSTITUTE(SUBSTITUTE(M138," ",""),"0",""),"-",""))+LEN(SUBSTITUTE(SUBSTITUTE(SUBSTITUTE(N138," ",""),"0",""),"-",""))),1,0))</f>
      </c>
      <c r="K133" s="14" t="str">
        <f>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",""),"0",""),"-",""))+LEN(SUBSTITUTE(SUBSTITUTE(SUBSTITUTE(J138," ",""),"0",""),"-",""))+LEN(SUBSTITUTE(SUBSTITUTE(SUBSTITUTE(K138," ",""),"0",""),"-",""))</f>
      </c>
      <c r="L133" s="18"/>
      <c r="M133" s="14" t="str">
        <f>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",""),"0",""),"-",""))+LEN(SUBSTITUTE(SUBSTITUTE(SUBSTITUTE(M138," ",""),"0",""),"-",""))+LEN(SUBSTITUTE(SUBSTITUTE(SUBSTITUTE(N138," ",""),"0",""),"-",""))</f>
      </c>
      <c r="N133" s="14" t="str">
        <f>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",""),"0",""),"-",""))),1,0))+IF(UPPER(L138)="X",0,IF((LEN(SUBSTITUTE(SUBSTITUTE(SUBSTITUTE(M138," ",""),"0",""),"-",""))+LEN(SUBSTITUTE(SUBSTITUTE(SUBSTITUTE(N138," ",""),"0",""),"-","")))&gt;(LEN(SUBSTITUTE(SUBSTITUTE(SUBSTITUTE(J138," ",""),"0",""),"-",""))+LEN(SUBSTITUTE(SUBSTITUTE(SUBSTITUTE(K138," ",""),"0",""),"-",""))),1,0))</f>
      </c>
      <c r="O133" s="14" t="str">
        <f>'data'!$B$59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239</v>
      </c>
      <c r="B140" s="14"/>
      <c r="C140" s="14"/>
      <c r="D140" s="14" t="s">
        <v>240</v>
      </c>
      <c r="E140" s="14"/>
      <c r="F140" s="14"/>
      <c r="G140" s="16" t="s">
        <v>241</v>
      </c>
      <c r="I140" s="17" t="s">
        <v>239</v>
      </c>
      <c r="J140" s="14"/>
      <c r="K140" s="14"/>
      <c r="L140" s="14" t="s">
        <v>240</v>
      </c>
      <c r="M140" s="14"/>
      <c r="N140" s="14"/>
      <c r="O140" s="16" t="s">
        <v>241</v>
      </c>
    </row>
    <row r="141">
      <c r="A141" s="14" t="str">
        <f>'data'!$B$14</f>
      </c>
      <c r="B141" s="14" t="str">
        <f>IF(UPPER(D142)="X",0,IF((LEN(SUBSTITUTE(SUBSTITUTE(SUBSTITUTE(B142," ",""),"0",""),"-",""))+LEN(SUBSTITUTE(SUBSTITUTE(SUBSTITUTE(C142," ",""),"0",""),"-","")))&gt;(LEN(SUBSTITUTE(SUBSTITUTE(SUBSTITUTE(E142," ",""),"0",""),"-",""))+LEN(SUBSTITUTE(SUBSTITUTE(SUBSTITUTE(F142," ",""),"0",""),"-",""))),1,0))+IF(UPPER(D143)="X",0,IF((LEN(SUBSTITUTE(SUBSTITUTE(SUBSTITUTE(B143," ",""),"0",""),"-",""))+LEN(SUBSTITUTE(SUBSTITUTE(SUBSTITUTE(C143," ",""),"0",""),"-","")))&gt;(LEN(SUBSTITUTE(SUBSTITUTE(SUBSTITUTE(E143," ",""),"0",""),"-",""))+LEN(SUBSTITUTE(SUBSTITUTE(SUBSTITUTE(F143," ",""),"0",""),"-",""))),1,0))+IF(UPPER(D144)="X",0,IF((LEN(SUBSTITUTE(SUBSTITUTE(SUBSTITUTE(B144,"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f>
      </c>
      <c r="C141" s="14" t="str">
        <f>LEN(SUBSTITUTE(SUBSTITUTE(SUBSTITUTE(B142," ",""),"0",""),"-",""))+LEN(SUBSTITUTE(SUBSTITUTE(SUBSTITUTE(C142," ",""),"0",""),"-",""))+LEN(SUBSTITUTE(SUBSTITUTE(SUBSTITUTE(B143," ",""),"0",""),"-",""))+LEN(SUBSTITUTE(SUBSTITUTE(SUBSTITUTE(C143," ",""),"0",""),"-",""))+LEN(SUBSTITUTE(SUBSTITUTE(SUBSTITUTE(B144," ",""),"0",""),"-",""))+LEN(SUBSTITUTE(SUBSTITUTE(SUBSTITUTE(C144," ",""),"0",""),"-",""))+LEN(SUBSTITUTE(SUBSTITUTE(SUBSTITUTE(B145," ",""),"0",""),"-",""))+LEN(SUBSTITUTE(SUBSTITUTE(SUBSTITUTE(C145," ",""),"0",""),"-",""))+LEN(SUBSTITUTE(SUBSTITUTE(SUBSTITUTE(B146," ",""),"0",""),"-",""))+LEN(SUBSTITUTE(SUBSTITUTE(SUBSTITUTE(C146," ",""),"0",""),"-",""))</f>
      </c>
      <c r="D141" s="18"/>
      <c r="E141" s="14" t="str">
        <f>LEN(SUBSTITUTE(SUBSTITUTE(SUBSTITUTE(E142," ",""),"0",""),"-",""))+LEN(SUBSTITUTE(SUBSTITUTE(SUBSTITUTE(F142," ",""),"0",""),"-",""))+LEN(SUBSTITUTE(SUBSTITUTE(SUBSTITUTE(E143," ",""),"0",""),"-",""))+LEN(SUBSTITUTE(SUBSTITUTE(SUBSTITUTE(F143," ",""),"0",""),"-",""))+LEN(SUBSTITUTE(SUBSTITUTE(SUBSTITUTE(E144," ",""),"0",""),"-",""))+LEN(SUBSTITUTE(SUBSTITUTE(SUBSTITUTE(F144," ",""),"0",""),"-",""))+LEN(SUBSTITUTE(SUBSTITUTE(SUBSTITUTE(E145," ",""),"0",""),"-",""))+LEN(SUBSTITUTE(SUBSTITUTE(SUBSTITUTE(F145," ",""),"0",""),"-",""))+LEN(SUBSTITUTE(SUBSTITUTE(SUBSTITUTE(E146," ",""),"0",""),"-",""))+LEN(SUBSTITUTE(SUBSTITUTE(SUBSTITUTE(F146," ",""),"0",""),"-",""))</f>
      </c>
      <c r="F141" s="14" t="str">
        <f>IF(UPPER(D142)="X",0,IF((LEN(SUBSTITUTE(SUBSTITUTE(SUBSTITUTE(E142," ",""),"0",""),"-",""))+LEN(SUBSTITUTE(SUBSTITUTE(SUBSTITUTE(F142," ",""),"0",""),"-","")))&gt;(LEN(SUBSTITUTE(SUBSTITUTE(SUBSTITUTE(B142," ",""),"0",""),"-",""))+LEN(SUBSTITUTE(SUBSTITUTE(SUBSTITUTE(C142," ",""),"0",""),"-",""))),1,0))+IF(UPPER(D143)="X",0,IF((LEN(SUBSTITUTE(SUBSTITUTE(SUBSTITUTE(E143," ",""),"0",""),"-",""))+LEN(SUBSTITUTE(SUBSTITUTE(SUBSTITUTE(F143," ",""),"0",""),"-","")))&gt;(LEN(SUBSTITUTE(SUBSTITUTE(SUBSTITUTE(B143," ",""),"0",""),"-",""))+LEN(SUBSTITUTE(SUBSTITUTE(SUBSTITUTE(C143," ",""),"0",""),"-",""))),1,0))+IF(UPPER(D144)="X",0,IF((LEN(SUBSTITUTE(SUBSTITUTE(SUBSTITUTE(E144,"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f>
      </c>
      <c r="G141" s="14" t="str">
        <f>'data'!$B$12</f>
      </c>
      <c r="I141" s="14" t="str">
        <f>'data'!$B$61</f>
      </c>
      <c r="J141" s="14" t="str">
        <f>IF(UPPER(L142)="X",0,IF((LEN(SUBSTITUTE(SUBSTITUTE(SUBSTITUTE(J142," ",""),"0",""),"-",""))+LEN(SUBSTITUTE(SUBSTITUTE(SUBSTITUTE(K142," ",""),"0",""),"-","")))&gt;(LEN(SUBSTITUTE(SUBSTITUTE(SUBSTITUTE(M142," ",""),"0",""),"-",""))+LEN(SUBSTITUTE(SUBSTITUTE(SUBSTITUTE(N142," ",""),"0",""),"-",""))),1,0))+IF(UPPER(L143)="X",0,IF((LEN(SUBSTITUTE(SUBSTITUTE(SUBSTITUTE(J143," ",""),"0",""),"-",""))+LEN(SUBSTITUTE(SUBSTITUTE(SUBSTITUTE(K143," ",""),"0",""),"-","")))&gt;(LEN(SUBSTITUTE(SUBSTITUTE(SUBSTITUTE(M143," ",""),"0",""),"-",""))+LEN(SUBSTITUTE(SUBSTITUTE(SUBSTITUTE(N143," ",""),"0",""),"-",""))),1,0))+IF(UPPER(L144)="X",0,IF((LEN(SUBSTITUTE(SUBSTITUTE(SUBSTITUTE(J144,"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f>
      </c>
      <c r="K141" s="14" t="str">
        <f>LEN(SUBSTITUTE(SUBSTITUTE(SUBSTITUTE(J142," ",""),"0",""),"-",""))+LEN(SUBSTITUTE(SUBSTITUTE(SUBSTITUTE(K142," ",""),"0",""),"-",""))+LEN(SUBSTITUTE(SUBSTITUTE(SUBSTITUTE(J143," ",""),"0",""),"-",""))+LEN(SUBSTITUTE(SUBSTITUTE(SUBSTITUTE(K143," ",""),"0",""),"-",""))+LEN(SUBSTITUTE(SUBSTITUTE(SUBSTITUTE(J144," ",""),"0",""),"-",""))+LEN(SUBSTITUTE(SUBSTITUTE(SUBSTITUTE(K144," ",""),"0",""),"-",""))+LEN(SUBSTITUTE(SUBSTITUTE(SUBSTITUTE(J145," ",""),"0",""),"-",""))+LEN(SUBSTITUTE(SUBSTITUTE(SUBSTITUTE(K145," ",""),"0",""),"-",""))+LEN(SUBSTITUTE(SUBSTITUTE(SUBSTITUTE(J146," ",""),"0",""),"-",""))+LEN(SUBSTITUTE(SUBSTITUTE(SUBSTITUTE(K146," ",""),"0",""),"-",""))</f>
      </c>
      <c r="L141" s="18"/>
      <c r="M141" s="14" t="str">
        <f>LEN(SUBSTITUTE(SUBSTITUTE(SUBSTITUTE(M142," ",""),"0",""),"-",""))+LEN(SUBSTITUTE(SUBSTITUTE(SUBSTITUTE(N142," ",""),"0",""),"-",""))+LEN(SUBSTITUTE(SUBSTITUTE(SUBSTITUTE(M143," ",""),"0",""),"-",""))+LEN(SUBSTITUTE(SUBSTITUTE(SUBSTITUTE(N143," ",""),"0",""),"-",""))+LEN(SUBSTITUTE(SUBSTITUTE(SUBSTITUTE(M144," ",""),"0",""),"-",""))+LEN(SUBSTITUTE(SUBSTITUTE(SUBSTITUTE(N144," ",""),"0",""),"-",""))+LEN(SUBSTITUTE(SUBSTITUTE(SUBSTITUTE(M145," ",""),"0",""),"-",""))+LEN(SUBSTITUTE(SUBSTITUTE(SUBSTITUTE(N145," ",""),"0",""),"-",""))+LEN(SUBSTITUTE(SUBSTITUTE(SUBSTITUTE(M146," ",""),"0",""),"-",""))+LEN(SUBSTITUTE(SUBSTITUTE(SUBSTITUTE(N146," ",""),"0",""),"-",""))</f>
      </c>
      <c r="N141" s="14" t="str">
        <f>IF(UPPER(L142)="X",0,IF((LEN(SUBSTITUTE(SUBSTITUTE(SUBSTITUTE(M142," ",""),"0",""),"-",""))+LEN(SUBSTITUTE(SUBSTITUTE(SUBSTITUTE(N142," ",""),"0",""),"-","")))&gt;(LEN(SUBSTITUTE(SUBSTITUTE(SUBSTITUTE(J142," ",""),"0",""),"-",""))+LEN(SUBSTITUTE(SUBSTITUTE(SUBSTITUTE(K142," ",""),"0",""),"-",""))),1,0))+IF(UPPER(L143)="X",0,IF((LEN(SUBSTITUTE(SUBSTITUTE(SUBSTITUTE(M143," ",""),"0",""),"-",""))+LEN(SUBSTITUTE(SUBSTITUTE(SUBSTITUTE(N143," ",""),"0",""),"-","")))&gt;(LEN(SUBSTITUTE(SUBSTITUTE(SUBSTITUTE(J143," ",""),"0",""),"-",""))+LEN(SUBSTITUTE(SUBSTITUTE(SUBSTITUTE(K143," ",""),"0",""),"-",""))),1,0))+IF(UPPER(L144)="X",0,IF((LEN(SUBSTITUTE(SUBSTITUTE(SUBSTITUTE(M144,"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f>
      </c>
      <c r="O141" s="14" t="str">
        <f>'data'!$B$59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239</v>
      </c>
      <c r="B148" s="14"/>
      <c r="C148" s="14"/>
      <c r="D148" s="14" t="s">
        <v>240</v>
      </c>
      <c r="E148" s="14"/>
      <c r="F148" s="14"/>
      <c r="G148" s="16" t="s">
        <v>241</v>
      </c>
      <c r="I148" s="17" t="s">
        <v>239</v>
      </c>
      <c r="J148" s="14"/>
      <c r="K148" s="14"/>
      <c r="L148" s="14" t="s">
        <v>240</v>
      </c>
      <c r="M148" s="14"/>
      <c r="N148" s="14"/>
      <c r="O148" s="16" t="s">
        <v>241</v>
      </c>
    </row>
    <row r="149">
      <c r="A149" s="14" t="str">
        <f>'data'!$B$14</f>
      </c>
      <c r="B149" s="14" t="str">
        <f>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f>
      </c>
      <c r="C149" s="14" t="str">
        <f>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",""),"0",""),"-",""))+LEN(SUBSTITUTE(SUBSTITUTE(SUBSTITUTE(B154," ",""),"0",""),"-",""))+LEN(SUBSTITUTE(SUBSTITUTE(SUBSTITUTE(C154," ",""),"0",""),"-",""))</f>
      </c>
      <c r="D149" s="18"/>
      <c r="E149" s="14" t="str">
        <f>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",""),"0",""),"-",""))+LEN(SUBSTITUTE(SUBSTITUTE(SUBSTITUTE(E154," ",""),"0",""),"-",""))+LEN(SUBSTITUTE(SUBSTITUTE(SUBSTITUTE(F154," ",""),"0",""),"-",""))</f>
      </c>
      <c r="F149" s="14" t="str">
        <f>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f>
      </c>
      <c r="G149" s="14" t="str">
        <f>'data'!$B$13</f>
      </c>
      <c r="I149" s="14" t="str">
        <f>'data'!$B$61</f>
      </c>
      <c r="J149" s="14" t="str">
        <f>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f>
      </c>
      <c r="K149" s="14" t="str">
        <f>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",""),"0",""),"-",""))+LEN(SUBSTITUTE(SUBSTITUTE(SUBSTITUTE(J154," ",""),"0",""),"-",""))+LEN(SUBSTITUTE(SUBSTITUTE(SUBSTITUTE(K154," ",""),"0",""),"-",""))</f>
      </c>
      <c r="L149" s="18"/>
      <c r="M149" s="14" t="str">
        <f>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",""),"0",""),"-",""))+LEN(SUBSTITUTE(SUBSTITUTE(SUBSTITUTE(M154," ",""),"0",""),"-",""))+LEN(SUBSTITUTE(SUBSTITUTE(SUBSTITUTE(N154," ",""),"0",""),"-",""))</f>
      </c>
      <c r="N149" s="14" t="str">
        <f>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f>
      </c>
      <c r="O149" s="14" t="str">
        <f>'data'!$B$60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242</v>
      </c>
      <c r="B157" s="13" t="s">
        <v>243</v>
      </c>
      <c r="C157" s="13" t="s">
        <v>244</v>
      </c>
      <c r="D157" s="13" t="s">
        <v>245</v>
      </c>
      <c r="E157" s="13"/>
      <c r="F157" s="13"/>
      <c r="G157" s="13" t="s">
        <v>246</v>
      </c>
      <c r="I157" s="13" t="s">
        <v>242</v>
      </c>
      <c r="J157" s="13" t="s">
        <v>243</v>
      </c>
      <c r="K157" s="13" t="s">
        <v>244</v>
      </c>
      <c r="L157" s="13" t="s">
        <v>245</v>
      </c>
      <c r="M157" s="13"/>
      <c r="N157" s="13"/>
      <c r="O157" s="13" t="s">
        <v>246</v>
      </c>
    </row>
    <row r="158">
      <c r="A158" s="14" t="str">
        <f>'data'!$B$12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247</v>
      </c>
      <c r="C162" s="13" t="s">
        <v>248</v>
      </c>
      <c r="D162" s="13" t="s">
        <v>249</v>
      </c>
      <c r="E162" s="13" t="s">
        <v>250</v>
      </c>
      <c r="F162" s="13" t="s">
        <v>251</v>
      </c>
      <c r="I162" s="13"/>
      <c r="J162" s="13" t="s">
        <v>247</v>
      </c>
      <c r="K162" s="13" t="s">
        <v>248</v>
      </c>
      <c r="L162" s="13" t="s">
        <v>249</v>
      </c>
      <c r="M162" s="13" t="s">
        <v>250</v>
      </c>
      <c r="N162" s="13" t="s">
        <v>251</v>
      </c>
    </row>
    <row r="163">
      <c r="A163" s="14" t="str">
        <f>'data'!$B$12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252</v>
      </c>
      <c r="N168" s="13"/>
      <c r="O168" s="13" t="s">
        <v>252</v>
      </c>
    </row>
    <row r="169">
      <c r="F169" t="s">
        <v>253</v>
      </c>
      <c r="G169" s="19" t="str">
        <f>IFERROR(INDEX($A$158:$A$165, MATCH(1, $G$158:$G$165, 0)), "-")</f>
      </c>
      <c r="N169" t="s">
        <v>253</v>
      </c>
      <c r="O169" s="19" t="str">
        <f>IFERROR(INDEX($I$158:$I$165, MATCH(1, $O$158:$O$165, 0)), "-")</f>
      </c>
    </row>
    <row r="170">
      <c r="F170" t="s">
        <v>254</v>
      </c>
      <c r="G170" s="19" t="str">
        <f>IFERROR(INDEX($A$158:$A$165, MATCH(2, $G$158:$G$165, 0)), "-")</f>
      </c>
      <c r="N170" t="s">
        <v>254</v>
      </c>
      <c r="O170" s="19" t="str">
        <f>IFERROR(INDEX($I$158:$I$165, MATCH(2, $O$158:$O$165, 0)), "-")</f>
      </c>
    </row>
    <row r="171">
      <c r="F171" t="s">
        <v>255</v>
      </c>
      <c r="G171" s="19" t="str">
        <f>IFERROR(INDEX($A$158:$A$165, MATCH(3, $G$158:$G$165, 0)), "-")</f>
      </c>
      <c r="N171" t="s">
        <v>255</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'data'!$B$16</f>
      </c>
      <c r="B176" s="14" t="str">
        <f>IF(UPPER(D177)="X",0,IF((LEN(SUBSTITUTE(SUBSTITUTE(SUBSTITUTE(B177," ",""),"0",""),"-",""))+LEN(SUBSTITUTE(SUBSTITUTE(SUBSTITUTE(C177," ",""),"0",""),"-","")))&gt;(LEN(SUBSTITUTE(SUBSTITUTE(SUBSTITUTE(E177," ",""),"0",""),"-",""))+LEN(SUBSTITUTE(SUBSTITUTE(SUBSTITUTE(F177," ",""),"0",""),"-",""))),1,0))+IF(UPPER(D178)="X",0,IF((LEN(SUBSTITUTE(SUBSTITUTE(SUBSTITUTE(B178," ",""),"0",""),"-",""))+LEN(SUBSTITUTE(SUBSTITUTE(SUBSTITUTE(C178," ",""),"0",""),"-","")))&gt;(LEN(SUBSTITUTE(SUBSTITUTE(SUBSTITUTE(E178," ",""),"0",""),"-",""))+LEN(SUBSTITUTE(SUBSTITUTE(SUBSTITUTE(F178," ",""),"0",""),"-",""))),1,0))+IF(UPPER(D179)="X",0,IF((LEN(SUBSTITUTE(SUBSTITUTE(SUBSTITUTE(B179," ",""),"0",""),"-",""))+LEN(SUBSTITUTE(SUBSTITUTE(SUBSTITUTE(C179," ",""),"0",""),"-","")))&gt;(LEN(SUBSTITUTE(SUBSTITUTE(SUBSTITUTE(E179," ",""),"0",""),"-",""))+LEN(SUBSTITUTE(SUBSTITUTE(SUBSTITUTE(F179," ",""),"0",""),"-",""))),1,0))+IF(UPPER(D180)="X",0,IF((LEN(SUBSTITUTE(SUBSTITUTE(SUBSTITUTE(B180," ",""),"0",""),"-",""))+LEN(SUBSTITUTE(SUBSTITUTE(SUBSTITUTE(C180," ",""),"0",""),"-","")))&gt;(LEN(SUBSTITUTE(SUBSTITUTE(SUBSTITUTE(E180," ",""),"0",""),"-",""))+LEN(SUBSTITUTE(SUBSTITUTE(SUBSTITUTE(F180," ",""),"0",""),"-",""))),1,0))+IF(UPPER(D181)="X",0,IF((LEN(SUBSTITUTE(SUBSTITUTE(SUBSTITUTE(B181," ",""),"0",""),"-",""))+LEN(SUBSTITUTE(SUBSTITUTE(SUBSTITUTE(C181," ",""),"0",""),"-","")))&gt;(LEN(SUBSTITUTE(SUBSTITUTE(SUBSTITUTE(E181," ",""),"0",""),"-",""))+LEN(SUBSTITUTE(SUBSTITUTE(SUBSTITUTE(F181," ",""),"0",""),"-",""))),1,0))</f>
      </c>
      <c r="C176" s="14" t="str">
        <f>LEN(SUBSTITUTE(SUBSTITUTE(SUBSTITUTE(B177," ",""),"0",""),"-",""))+LEN(SUBSTITUTE(SUBSTITUTE(SUBSTITUTE(C177," ",""),"0",""),"-",""))+LEN(SUBSTITUTE(SUBSTITUTE(SUBSTITUTE(B178," ",""),"0",""),"-",""))+LEN(SUBSTITUTE(SUBSTITUTE(SUBSTITUTE(C178," ",""),"0",""),"-",""))+LEN(SUBSTITUTE(SUBSTITUTE(SUBSTITUTE(B179," ",""),"0",""),"-",""))+LEN(SUBSTITUTE(SUBSTITUTE(SUBSTITUTE(C179," ",""),"0",""),"-",""))+LEN(SUBSTITUTE(SUBSTITUTE(SUBSTITUTE(B180," ",""),"0",""),"-",""))+LEN(SUBSTITUTE(SUBSTITUTE(SUBSTITUTE(C180," ",""),"0",""),"-",""))+LEN(SUBSTITUTE(SUBSTITUTE(SUBSTITUTE(B181," ",""),"0",""),"-",""))+LEN(SUBSTITUTE(SUBSTITUTE(SUBSTITUTE(C181," ",""),"0",""),"-",""))</f>
      </c>
      <c r="D176" s="18"/>
      <c r="E176" s="14" t="str">
        <f>LEN(SUBSTITUTE(SUBSTITUTE(SUBSTITUTE(E177," ",""),"0",""),"-",""))+LEN(SUBSTITUTE(SUBSTITUTE(SUBSTITUTE(F177," ",""),"0",""),"-",""))+LEN(SUBSTITUTE(SUBSTITUTE(SUBSTITUTE(E178," ",""),"0",""),"-",""))+LEN(SUBSTITUTE(SUBSTITUTE(SUBSTITUTE(F178," ",""),"0",""),"-",""))+LEN(SUBSTITUTE(SUBSTITUTE(SUBSTITUTE(E179," ",""),"0",""),"-",""))+LEN(SUBSTITUTE(SUBSTITUTE(SUBSTITUTE(F179," ",""),"0",""),"-",""))+LEN(SUBSTITUTE(SUBSTITUTE(SUBSTITUTE(E180," ",""),"0",""),"-",""))+LEN(SUBSTITUTE(SUBSTITUTE(SUBSTITUTE(F180," ",""),"0",""),"-",""))+LEN(SUBSTITUTE(SUBSTITUTE(SUBSTITUTE(E181," ",""),"0",""),"-",""))+LEN(SUBSTITUTE(SUBSTITUTE(SUBSTITUTE(F181," ",""),"0",""),"-",""))</f>
      </c>
      <c r="F176" s="14" t="str">
        <f>IF(UPPER(D177)="X",0,IF((LEN(SUBSTITUTE(SUBSTITUTE(SUBSTITUTE(E177," ",""),"0",""),"-",""))+LEN(SUBSTITUTE(SUBSTITUTE(SUBSTITUTE(F177," ",""),"0",""),"-","")))&gt;(LEN(SUBSTITUTE(SUBSTITUTE(SUBSTITUTE(B177," ",""),"0",""),"-",""))+LEN(SUBSTITUTE(SUBSTITUTE(SUBSTITUTE(C177," ",""),"0",""),"-",""))),1,0))+IF(UPPER(D178)="X",0,IF((LEN(SUBSTITUTE(SUBSTITUTE(SUBSTITUTE(E178," ",""),"0",""),"-",""))+LEN(SUBSTITUTE(SUBSTITUTE(SUBSTITUTE(F178," ",""),"0",""),"-","")))&gt;(LEN(SUBSTITUTE(SUBSTITUTE(SUBSTITUTE(B178," ",""),"0",""),"-",""))+LEN(SUBSTITUTE(SUBSTITUTE(SUBSTITUTE(C178," ",""),"0",""),"-",""))),1,0))+IF(UPPER(D179)="X",0,IF((LEN(SUBSTITUTE(SUBSTITUTE(SUBSTITUTE(E179," ",""),"0",""),"-",""))+LEN(SUBSTITUTE(SUBSTITUTE(SUBSTITUTE(F179," ",""),"0",""),"-","")))&gt;(LEN(SUBSTITUTE(SUBSTITUTE(SUBSTITUTE(B179," ",""),"0",""),"-",""))+LEN(SUBSTITUTE(SUBSTITUTE(SUBSTITUTE(C179," ",""),"0",""),"-",""))),1,0))+IF(UPPER(D180)="X",0,IF((LEN(SUBSTITUTE(SUBSTITUTE(SUBSTITUTE(E180," ",""),"0",""),"-",""))+LEN(SUBSTITUTE(SUBSTITUTE(SUBSTITUTE(F180," ",""),"0",""),"-","")))&gt;(LEN(SUBSTITUTE(SUBSTITUTE(SUBSTITUTE(B180," ",""),"0",""),"-",""))+LEN(SUBSTITUTE(SUBSTITUTE(SUBSTITUTE(C180," ",""),"0",""),"-",""))),1,0))+IF(UPPER(D181)="X",0,IF((LEN(SUBSTITUTE(SUBSTITUTE(SUBSTITUTE(E181," ",""),"0",""),"-",""))+LEN(SUBSTITUTE(SUBSTITUTE(SUBSTITUTE(F181," ",""),"0",""),"-","")))&gt;(LEN(SUBSTITUTE(SUBSTITUTE(SUBSTITUTE(B181," ",""),"0",""),"-",""))+LEN(SUBSTITUTE(SUBSTITUTE(SUBSTITUTE(C181," ",""),"0",""),"-",""))),1,0))</f>
      </c>
      <c r="G176" s="14" t="str">
        <f>'data'!$B$15</f>
      </c>
      <c r="I176" s="14" t="str">
        <f>'data'!$B$63</f>
      </c>
      <c r="J176" s="14" t="str">
        <f>IF(UPPER(L177)="X",0,IF((LEN(SUBSTITUTE(SUBSTITUTE(SUBSTITUTE(J177," ",""),"0",""),"-",""))+LEN(SUBSTITUTE(SUBSTITUTE(SUBSTITUTE(K177," ",""),"0",""),"-","")))&gt;(LEN(SUBSTITUTE(SUBSTITUTE(SUBSTITUTE(M177," ",""),"0",""),"-",""))+LEN(SUBSTITUTE(SUBSTITUTE(SUBSTITUTE(N177," ",""),"0",""),"-",""))),1,0))+IF(UPPER(L178)="X",0,IF((LEN(SUBSTITUTE(SUBSTITUTE(SUBSTITUTE(J178," ",""),"0",""),"-",""))+LEN(SUBSTITUTE(SUBSTITUTE(SUBSTITUTE(K178," ",""),"0",""),"-","")))&gt;(LEN(SUBSTITUTE(SUBSTITUTE(SUBSTITUTE(M178," ",""),"0",""),"-",""))+LEN(SUBSTITUTE(SUBSTITUTE(SUBSTITUTE(N178," ",""),"0",""),"-",""))),1,0))+IF(UPPER(L179)="X",0,IF((LEN(SUBSTITUTE(SUBSTITUTE(SUBSTITUTE(J179," ",""),"0",""),"-",""))+LEN(SUBSTITUTE(SUBSTITUTE(SUBSTITUTE(K179," ",""),"0",""),"-","")))&gt;(LEN(SUBSTITUTE(SUBSTITUTE(SUBSTITUTE(M179," ",""),"0",""),"-",""))+LEN(SUBSTITUTE(SUBSTITUTE(SUBSTITUTE(N179," ",""),"0",""),"-",""))),1,0))+IF(UPPER(L180)="X",0,IF((LEN(SUBSTITUTE(SUBSTITUTE(SUBSTITUTE(J180," ",""),"0",""),"-",""))+LEN(SUBSTITUTE(SUBSTITUTE(SUBSTITUTE(K180," ",""),"0",""),"-","")))&gt;(LEN(SUBSTITUTE(SUBSTITUTE(SUBSTITUTE(M180," ",""),"0",""),"-",""))+LEN(SUBSTITUTE(SUBSTITUTE(SUBSTITUTE(N180," ",""),"0",""),"-",""))),1,0))+IF(UPPER(L181)="X",0,IF((LEN(SUBSTITUTE(SUBSTITUTE(SUBSTITUTE(J181," ",""),"0",""),"-",""))+LEN(SUBSTITUTE(SUBSTITUTE(SUBSTITUTE(K181," ",""),"0",""),"-","")))&gt;(LEN(SUBSTITUTE(SUBSTITUTE(SUBSTITUTE(M181," ",""),"0",""),"-",""))+LEN(SUBSTITUTE(SUBSTITUTE(SUBSTITUTE(N181," ",""),"0",""),"-",""))),1,0))</f>
      </c>
      <c r="K176" s="14" t="str">
        <f>LEN(SUBSTITUTE(SUBSTITUTE(SUBSTITUTE(J177," ",""),"0",""),"-",""))+LEN(SUBSTITUTE(SUBSTITUTE(SUBSTITUTE(K177," ",""),"0",""),"-",""))+LEN(SUBSTITUTE(SUBSTITUTE(SUBSTITUTE(J178," ",""),"0",""),"-",""))+LEN(SUBSTITUTE(SUBSTITUTE(SUBSTITUTE(K178," ",""),"0",""),"-",""))+LEN(SUBSTITUTE(SUBSTITUTE(SUBSTITUTE(J179," ",""),"0",""),"-",""))+LEN(SUBSTITUTE(SUBSTITUTE(SUBSTITUTE(K179," ",""),"0",""),"-",""))+LEN(SUBSTITUTE(SUBSTITUTE(SUBSTITUTE(J180," ",""),"0",""),"-",""))+LEN(SUBSTITUTE(SUBSTITUTE(SUBSTITUTE(K180," ",""),"0",""),"-",""))+LEN(SUBSTITUTE(SUBSTITUTE(SUBSTITUTE(J181," ",""),"0",""),"-",""))+LEN(SUBSTITUTE(SUBSTITUTE(SUBSTITUTE(K181," ",""),"0",""),"-",""))</f>
      </c>
      <c r="L176" s="18"/>
      <c r="M176" s="14" t="str">
        <f>LEN(SUBSTITUTE(SUBSTITUTE(SUBSTITUTE(M177," ",""),"0",""),"-",""))+LEN(SUBSTITUTE(SUBSTITUTE(SUBSTITUTE(N177," ",""),"0",""),"-",""))+LEN(SUBSTITUTE(SUBSTITUTE(SUBSTITUTE(M178," ",""),"0",""),"-",""))+LEN(SUBSTITUTE(SUBSTITUTE(SUBSTITUTE(N178," ",""),"0",""),"-",""))+LEN(SUBSTITUTE(SUBSTITUTE(SUBSTITUTE(M179," ",""),"0",""),"-",""))+LEN(SUBSTITUTE(SUBSTITUTE(SUBSTITUTE(N179," ",""),"0",""),"-",""))+LEN(SUBSTITUTE(SUBSTITUTE(SUBSTITUTE(M180," ",""),"0",""),"-",""))+LEN(SUBSTITUTE(SUBSTITUTE(SUBSTITUTE(N180," ",""),"0",""),"-",""))+LEN(SUBSTITUTE(SUBSTITUTE(SUBSTITUTE(M181," ",""),"0",""),"-",""))+LEN(SUBSTITUTE(SUBSTITUTE(SUBSTITUTE(N181," ",""),"0",""),"-",""))</f>
      </c>
      <c r="N176" s="14" t="str">
        <f>IF(UPPER(L177)="X",0,IF((LEN(SUBSTITUTE(SUBSTITUTE(SUBSTITUTE(M177," ",""),"0",""),"-",""))+LEN(SUBSTITUTE(SUBSTITUTE(SUBSTITUTE(N177," ",""),"0",""),"-","")))&gt;(LEN(SUBSTITUTE(SUBSTITUTE(SUBSTITUTE(J177," ",""),"0",""),"-",""))+LEN(SUBSTITUTE(SUBSTITUTE(SUBSTITUTE(K177," ",""),"0",""),"-",""))),1,0))+IF(UPPER(L178)="X",0,IF((LEN(SUBSTITUTE(SUBSTITUTE(SUBSTITUTE(M178," ",""),"0",""),"-",""))+LEN(SUBSTITUTE(SUBSTITUTE(SUBSTITUTE(N178," ",""),"0",""),"-","")))&gt;(LEN(SUBSTITUTE(SUBSTITUTE(SUBSTITUTE(J178," ",""),"0",""),"-",""))+LEN(SUBSTITUTE(SUBSTITUTE(SUBSTITUTE(K178," ",""),"0",""),"-",""))),1,0))+IF(UPPER(L179)="X",0,IF((LEN(SUBSTITUTE(SUBSTITUTE(SUBSTITUTE(M179," ",""),"0",""),"-",""))+LEN(SUBSTITUTE(SUBSTITUTE(SUBSTITUTE(N179," ",""),"0",""),"-","")))&gt;(LEN(SUBSTITUTE(SUBSTITUTE(SUBSTITUTE(J179," ",""),"0",""),"-",""))+LEN(SUBSTITUTE(SUBSTITUTE(SUBSTITUTE(K179," ",""),"0",""),"-",""))),1,0))+IF(UPPER(L180)="X",0,IF((LEN(SUBSTITUTE(SUBSTITUTE(SUBSTITUTE(M180," ",""),"0",""),"-",""))+LEN(SUBSTITUTE(SUBSTITUTE(SUBSTITUTE(N180," ",""),"0",""),"-","")))&gt;(LEN(SUBSTITUTE(SUBSTITUTE(SUBSTITUTE(J180," ",""),"0",""),"-",""))+LEN(SUBSTITUTE(SUBSTITUTE(SUBSTITUTE(K180," ",""),"0",""),"-",""))),1,0))+IF(UPPER(L181)="X",0,IF((LEN(SUBSTITUTE(SUBSTITUTE(SUBSTITUTE(M181," ",""),"0",""),"-",""))+LEN(SUBSTITUTE(SUBSTITUTE(SUBSTITUTE(N181," ",""),"0",""),"-","")))&gt;(LEN(SUBSTITUTE(SUBSTITUTE(SUBSTITUTE(J181," ",""),"0",""),"-",""))+LEN(SUBSTITUTE(SUBSTITUTE(SUBSTITUTE(K181," ",""),"0",""),"-",""))),1,0))</f>
      </c>
      <c r="O176" s="14" t="str">
        <f>'data'!$B$62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239</v>
      </c>
      <c r="B183" s="14"/>
      <c r="C183" s="14"/>
      <c r="D183" s="14" t="s">
        <v>240</v>
      </c>
      <c r="E183" s="14"/>
      <c r="F183" s="14"/>
      <c r="G183" s="16" t="s">
        <v>241</v>
      </c>
      <c r="I183" s="17" t="s">
        <v>239</v>
      </c>
      <c r="J183" s="14"/>
      <c r="K183" s="14"/>
      <c r="L183" s="14" t="s">
        <v>240</v>
      </c>
      <c r="M183" s="14"/>
      <c r="N183" s="14"/>
      <c r="O183" s="16" t="s">
        <v>241</v>
      </c>
    </row>
    <row r="184">
      <c r="A184" s="14" t="str">
        <f>'data'!$B$17</f>
      </c>
      <c r="B184" s="14" t="str">
        <f>IF(UPPER(D185)="X",0,IF((LEN(SUBSTITUTE(SUBSTITUTE(SUBSTITUTE(B185," ",""),"0",""),"-",""))+LEN(SUBSTITUTE(SUBSTITUTE(SUBSTITUTE(C185," ",""),"0",""),"-","")))&gt;(LEN(SUBSTITUTE(SUBSTITUTE(SUBSTITUTE(E185," ",""),"0",""),"-",""))+LEN(SUBSTITUTE(SUBSTITUTE(SUBSTITUTE(F185," ",""),"0",""),"-",""))),1,0))+IF(UPPER(D186)="X",0,IF((LEN(SUBSTITUTE(SUBSTITUTE(SUBSTITUTE(B186," ",""),"0",""),"-",""))+LEN(SUBSTITUTE(SUBSTITUTE(SUBSTITUTE(C186," ",""),"0",""),"-","")))&gt;(LEN(SUBSTITUTE(SUBSTITUTE(SUBSTITUTE(E186," ",""),"0",""),"-",""))+LEN(SUBSTITUTE(SUBSTITUTE(SUBSTITUTE(F186," ",""),"0",""),"-",""))),1,0))+IF(UPPER(D187)="X",0,IF((LEN(SUBSTITUTE(SUBSTITUTE(SUBSTITUTE(B187,"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f>
      </c>
      <c r="C184" s="14" t="str">
        <f>LEN(SUBSTITUTE(SUBSTITUTE(SUBSTITUTE(B185," ",""),"0",""),"-",""))+LEN(SUBSTITUTE(SUBSTITUTE(SUBSTITUTE(C185," ",""),"0",""),"-",""))+LEN(SUBSTITUTE(SUBSTITUTE(SUBSTITUTE(B186," ",""),"0",""),"-",""))+LEN(SUBSTITUTE(SUBSTITUTE(SUBSTITUTE(C186," ",""),"0",""),"-",""))+LEN(SUBSTITUTE(SUBSTITUTE(SUBSTITUTE(B187," ",""),"0",""),"-",""))+LEN(SUBSTITUTE(SUBSTITUTE(SUBSTITUTE(C187," ",""),"0",""),"-",""))+LEN(SUBSTITUTE(SUBSTITUTE(SUBSTITUTE(B188," ",""),"0",""),"-",""))+LEN(SUBSTITUTE(SUBSTITUTE(SUBSTITUTE(C188," ",""),"0",""),"-",""))+LEN(SUBSTITUTE(SUBSTITUTE(SUBSTITUTE(B189," ",""),"0",""),"-",""))+LEN(SUBSTITUTE(SUBSTITUTE(SUBSTITUTE(C189," ",""),"0",""),"-",""))</f>
      </c>
      <c r="D184" s="18"/>
      <c r="E184" s="14" t="str">
        <f>LEN(SUBSTITUTE(SUBSTITUTE(SUBSTITUTE(E185," ",""),"0",""),"-",""))+LEN(SUBSTITUTE(SUBSTITUTE(SUBSTITUTE(F185," ",""),"0",""),"-",""))+LEN(SUBSTITUTE(SUBSTITUTE(SUBSTITUTE(E186," ",""),"0",""),"-",""))+LEN(SUBSTITUTE(SUBSTITUTE(SUBSTITUTE(F186," ",""),"0",""),"-",""))+LEN(SUBSTITUTE(SUBSTITUTE(SUBSTITUTE(E187," ",""),"0",""),"-",""))+LEN(SUBSTITUTE(SUBSTITUTE(SUBSTITUTE(F187," ",""),"0",""),"-",""))+LEN(SUBSTITUTE(SUBSTITUTE(SUBSTITUTE(E188," ",""),"0",""),"-",""))+LEN(SUBSTITUTE(SUBSTITUTE(SUBSTITUTE(F188," ",""),"0",""),"-",""))+LEN(SUBSTITUTE(SUBSTITUTE(SUBSTITUTE(E189," ",""),"0",""),"-",""))+LEN(SUBSTITUTE(SUBSTITUTE(SUBSTITUTE(F189," ",""),"0",""),"-",""))</f>
      </c>
      <c r="F184" s="14" t="str">
        <f>IF(UPPER(D185)="X",0,IF((LEN(SUBSTITUTE(SUBSTITUTE(SUBSTITUTE(E185," ",""),"0",""),"-",""))+LEN(SUBSTITUTE(SUBSTITUTE(SUBSTITUTE(F185," ",""),"0",""),"-","")))&gt;(LEN(SUBSTITUTE(SUBSTITUTE(SUBSTITUTE(B185," ",""),"0",""),"-",""))+LEN(SUBSTITUTE(SUBSTITUTE(SUBSTITUTE(C185," ",""),"0",""),"-",""))),1,0))+IF(UPPER(D186)="X",0,IF((LEN(SUBSTITUTE(SUBSTITUTE(SUBSTITUTE(E186," ",""),"0",""),"-",""))+LEN(SUBSTITUTE(SUBSTITUTE(SUBSTITUTE(F186," ",""),"0",""),"-","")))&gt;(LEN(SUBSTITUTE(SUBSTITUTE(SUBSTITUTE(B186," ",""),"0",""),"-",""))+LEN(SUBSTITUTE(SUBSTITUTE(SUBSTITUTE(C186," ",""),"0",""),"-",""))),1,0))+IF(UPPER(D187)="X",0,IF((LEN(SUBSTITUTE(SUBSTITUTE(SUBSTITUTE(E187,"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f>
      </c>
      <c r="G184" s="14" t="str">
        <f>'data'!$B$15</f>
      </c>
      <c r="I184" s="14" t="str">
        <f>'data'!$B$64</f>
      </c>
      <c r="J184" s="14" t="str">
        <f>IF(UPPER(L185)="X",0,IF((LEN(SUBSTITUTE(SUBSTITUTE(SUBSTITUTE(J185," ",""),"0",""),"-",""))+LEN(SUBSTITUTE(SUBSTITUTE(SUBSTITUTE(K185," ",""),"0",""),"-","")))&gt;(LEN(SUBSTITUTE(SUBSTITUTE(SUBSTITUTE(M185," ",""),"0",""),"-",""))+LEN(SUBSTITUTE(SUBSTITUTE(SUBSTITUTE(N185," ",""),"0",""),"-",""))),1,0))+IF(UPPER(L186)="X",0,IF((LEN(SUBSTITUTE(SUBSTITUTE(SUBSTITUTE(J186," ",""),"0",""),"-",""))+LEN(SUBSTITUTE(SUBSTITUTE(SUBSTITUTE(K186," ",""),"0",""),"-","")))&gt;(LEN(SUBSTITUTE(SUBSTITUTE(SUBSTITUTE(M186," ",""),"0",""),"-",""))+LEN(SUBSTITUTE(SUBSTITUTE(SUBSTITUTE(N186," ",""),"0",""),"-",""))),1,0))+IF(UPPER(L187)="X",0,IF((LEN(SUBSTITUTE(SUBSTITUTE(SUBSTITUTE(J187,"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f>
      </c>
      <c r="K184" s="14" t="str">
        <f>LEN(SUBSTITUTE(SUBSTITUTE(SUBSTITUTE(J185," ",""),"0",""),"-",""))+LEN(SUBSTITUTE(SUBSTITUTE(SUBSTITUTE(K185," ",""),"0",""),"-",""))+LEN(SUBSTITUTE(SUBSTITUTE(SUBSTITUTE(J186," ",""),"0",""),"-",""))+LEN(SUBSTITUTE(SUBSTITUTE(SUBSTITUTE(K186," ",""),"0",""),"-",""))+LEN(SUBSTITUTE(SUBSTITUTE(SUBSTITUTE(J187," ",""),"0",""),"-",""))+LEN(SUBSTITUTE(SUBSTITUTE(SUBSTITUTE(K187," ",""),"0",""),"-",""))+LEN(SUBSTITUTE(SUBSTITUTE(SUBSTITUTE(J188," ",""),"0",""),"-",""))+LEN(SUBSTITUTE(SUBSTITUTE(SUBSTITUTE(K188," ",""),"0",""),"-",""))+LEN(SUBSTITUTE(SUBSTITUTE(SUBSTITUTE(J189," ",""),"0",""),"-",""))+LEN(SUBSTITUTE(SUBSTITUTE(SUBSTITUTE(K189," ",""),"0",""),"-",""))</f>
      </c>
      <c r="L184" s="18"/>
      <c r="M184" s="14" t="str">
        <f>LEN(SUBSTITUTE(SUBSTITUTE(SUBSTITUTE(M185," ",""),"0",""),"-",""))+LEN(SUBSTITUTE(SUBSTITUTE(SUBSTITUTE(N185," ",""),"0",""),"-",""))+LEN(SUBSTITUTE(SUBSTITUTE(SUBSTITUTE(M186," ",""),"0",""),"-",""))+LEN(SUBSTITUTE(SUBSTITUTE(SUBSTITUTE(N186," ",""),"0",""),"-",""))+LEN(SUBSTITUTE(SUBSTITUTE(SUBSTITUTE(M187," ",""),"0",""),"-",""))+LEN(SUBSTITUTE(SUBSTITUTE(SUBSTITUTE(N187," ",""),"0",""),"-",""))+LEN(SUBSTITUTE(SUBSTITUTE(SUBSTITUTE(M188," ",""),"0",""),"-",""))+LEN(SUBSTITUTE(SUBSTITUTE(SUBSTITUTE(N188," ",""),"0",""),"-",""))+LEN(SUBSTITUTE(SUBSTITUTE(SUBSTITUTE(M189," ",""),"0",""),"-",""))+LEN(SUBSTITUTE(SUBSTITUTE(SUBSTITUTE(N189," ",""),"0",""),"-",""))</f>
      </c>
      <c r="N184" s="14" t="str">
        <f>IF(UPPER(L185)="X",0,IF((LEN(SUBSTITUTE(SUBSTITUTE(SUBSTITUTE(M185," ",""),"0",""),"-",""))+LEN(SUBSTITUTE(SUBSTITUTE(SUBSTITUTE(N185," ",""),"0",""),"-","")))&gt;(LEN(SUBSTITUTE(SUBSTITUTE(SUBSTITUTE(J185," ",""),"0",""),"-",""))+LEN(SUBSTITUTE(SUBSTITUTE(SUBSTITUTE(K185," ",""),"0",""),"-",""))),1,0))+IF(UPPER(L186)="X",0,IF((LEN(SUBSTITUTE(SUBSTITUTE(SUBSTITUTE(M186," ",""),"0",""),"-",""))+LEN(SUBSTITUTE(SUBSTITUTE(SUBSTITUTE(N186," ",""),"0",""),"-","")))&gt;(LEN(SUBSTITUTE(SUBSTITUTE(SUBSTITUTE(J186," ",""),"0",""),"-",""))+LEN(SUBSTITUTE(SUBSTITUTE(SUBSTITUTE(K186," ",""),"0",""),"-",""))),1,0))+IF(UPPER(L187)="X",0,IF((LEN(SUBSTITUTE(SUBSTITUTE(SUBSTITUTE(M187,"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f>
      </c>
      <c r="O184" s="14" t="str">
        <f>'data'!$B$62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239</v>
      </c>
      <c r="B191" s="14"/>
      <c r="C191" s="14"/>
      <c r="D191" s="14" t="s">
        <v>240</v>
      </c>
      <c r="E191" s="14"/>
      <c r="F191" s="14"/>
      <c r="G191" s="16" t="s">
        <v>241</v>
      </c>
      <c r="I191" s="17" t="s">
        <v>239</v>
      </c>
      <c r="J191" s="14"/>
      <c r="K191" s="14"/>
      <c r="L191" s="14" t="s">
        <v>240</v>
      </c>
      <c r="M191" s="14"/>
      <c r="N191" s="14"/>
      <c r="O191" s="16" t="s">
        <v>241</v>
      </c>
    </row>
    <row r="192">
      <c r="A192" s="14" t="str">
        <f>'data'!$B$17</f>
      </c>
      <c r="B192" s="14" t="str">
        <f>IF(UPPER(D193)="X",0,IF((LEN(SUBSTITUTE(SUBSTITUTE(SUBSTITUTE(B193," ",""),"0",""),"-",""))+LEN(SUBSTITUTE(SUBSTITUTE(SUBSTITUTE(C193," ",""),"0",""),"-","")))&gt;(LEN(SUBSTITUTE(SUBSTITUTE(SUBSTITUTE(E193," ",""),"0",""),"-",""))+LEN(SUBSTITUTE(SUBSTITUTE(SUBSTITUTE(F193," ",""),"0",""),"-",""))),1,0))+IF(UPPER(D194)="X",0,IF((LEN(SUBSTITUTE(SUBSTITUTE(SUBSTITUTE(B194," ",""),"0",""),"-",""))+LEN(SUBSTITUTE(SUBSTITUTE(SUBSTITUTE(C194," ",""),"0",""),"-","")))&gt;(LEN(SUBSTITUTE(SUBSTITUTE(SUBSTITUTE(E194," ",""),"0",""),"-",""))+LEN(SUBSTITUTE(SUBSTITUTE(SUBSTITUTE(F194," ",""),"0",""),"-",""))),1,0))+IF(UPPER(D195)="X",0,IF((LEN(SUBSTITUTE(SUBSTITUTE(SUBSTITUTE(B195,"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f>
      </c>
      <c r="C192" s="14" t="str">
        <f>LEN(SUBSTITUTE(SUBSTITUTE(SUBSTITUTE(B193," ",""),"0",""),"-",""))+LEN(SUBSTITUTE(SUBSTITUTE(SUBSTITUTE(C193," ",""),"0",""),"-",""))+LEN(SUBSTITUTE(SUBSTITUTE(SUBSTITUTE(B194," ",""),"0",""),"-",""))+LEN(SUBSTITUTE(SUBSTITUTE(SUBSTITUTE(C194," ",""),"0",""),"-",""))+LEN(SUBSTITUTE(SUBSTITUTE(SUBSTITUTE(B195," ",""),"0",""),"-",""))+LEN(SUBSTITUTE(SUBSTITUTE(SUBSTITUTE(C195," ",""),"0",""),"-",""))+LEN(SUBSTITUTE(SUBSTITUTE(SUBSTITUTE(B196," ",""),"0",""),"-",""))+LEN(SUBSTITUTE(SUBSTITUTE(SUBSTITUTE(C196," ",""),"0",""),"-",""))+LEN(SUBSTITUTE(SUBSTITUTE(SUBSTITUTE(B197," ",""),"0",""),"-",""))+LEN(SUBSTITUTE(SUBSTITUTE(SUBSTITUTE(C197," ",""),"0",""),"-",""))</f>
      </c>
      <c r="D192" s="18"/>
      <c r="E192" s="14" t="str">
        <f>LEN(SUBSTITUTE(SUBSTITUTE(SUBSTITUTE(E193," ",""),"0",""),"-",""))+LEN(SUBSTITUTE(SUBSTITUTE(SUBSTITUTE(F193," ",""),"0",""),"-",""))+LEN(SUBSTITUTE(SUBSTITUTE(SUBSTITUTE(E194," ",""),"0",""),"-",""))+LEN(SUBSTITUTE(SUBSTITUTE(SUBSTITUTE(F194," ",""),"0",""),"-",""))+LEN(SUBSTITUTE(SUBSTITUTE(SUBSTITUTE(E195," ",""),"0",""),"-",""))+LEN(SUBSTITUTE(SUBSTITUTE(SUBSTITUTE(F195," ",""),"0",""),"-",""))+LEN(SUBSTITUTE(SUBSTITUTE(SUBSTITUTE(E196," ",""),"0",""),"-",""))+LEN(SUBSTITUTE(SUBSTITUTE(SUBSTITUTE(F196," ",""),"0",""),"-",""))+LEN(SUBSTITUTE(SUBSTITUTE(SUBSTITUTE(E197," ",""),"0",""),"-",""))+LEN(SUBSTITUTE(SUBSTITUTE(SUBSTITUTE(F197," ",""),"0",""),"-",""))</f>
      </c>
      <c r="F192" s="14" t="str">
        <f>IF(UPPER(D193)="X",0,IF((LEN(SUBSTITUTE(SUBSTITUTE(SUBSTITUTE(E193," ",""),"0",""),"-",""))+LEN(SUBSTITUTE(SUBSTITUTE(SUBSTITUTE(F193," ",""),"0",""),"-","")))&gt;(LEN(SUBSTITUTE(SUBSTITUTE(SUBSTITUTE(B193," ",""),"0",""),"-",""))+LEN(SUBSTITUTE(SUBSTITUTE(SUBSTITUTE(C193," ",""),"0",""),"-",""))),1,0))+IF(UPPER(D194)="X",0,IF((LEN(SUBSTITUTE(SUBSTITUTE(SUBSTITUTE(E194," ",""),"0",""),"-",""))+LEN(SUBSTITUTE(SUBSTITUTE(SUBSTITUTE(F194," ",""),"0",""),"-","")))&gt;(LEN(SUBSTITUTE(SUBSTITUTE(SUBSTITUTE(B194," ",""),"0",""),"-",""))+LEN(SUBSTITUTE(SUBSTITUTE(SUBSTITUTE(C194," ",""),"0",""),"-",""))),1,0))+IF(UPPER(D195)="X",0,IF((LEN(SUBSTITUTE(SUBSTITUTE(SUBSTITUTE(E195,"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f>
      </c>
      <c r="G192" s="14" t="str">
        <f>'data'!$B$16</f>
      </c>
      <c r="I192" s="14" t="str">
        <f>'data'!$B$64</f>
      </c>
      <c r="J192" s="14" t="str">
        <f>IF(UPPER(L193)="X",0,IF((LEN(SUBSTITUTE(SUBSTITUTE(SUBSTITUTE(J193," ",""),"0",""),"-",""))+LEN(SUBSTITUTE(SUBSTITUTE(SUBSTITUTE(K193," ",""),"0",""),"-","")))&gt;(LEN(SUBSTITUTE(SUBSTITUTE(SUBSTITUTE(M193," ",""),"0",""),"-",""))+LEN(SUBSTITUTE(SUBSTITUTE(SUBSTITUTE(N193," ",""),"0",""),"-",""))),1,0))+IF(UPPER(L194)="X",0,IF((LEN(SUBSTITUTE(SUBSTITUTE(SUBSTITUTE(J194," ",""),"0",""),"-",""))+LEN(SUBSTITUTE(SUBSTITUTE(SUBSTITUTE(K194," ",""),"0",""),"-","")))&gt;(LEN(SUBSTITUTE(SUBSTITUTE(SUBSTITUTE(M194," ",""),"0",""),"-",""))+LEN(SUBSTITUTE(SUBSTITUTE(SUBSTITUTE(N194," ",""),"0",""),"-",""))),1,0))+IF(UPPER(L195)="X",0,IF((LEN(SUBSTITUTE(SUBSTITUTE(SUBSTITUTE(J195,"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f>
      </c>
      <c r="K192" s="14" t="str">
        <f>LEN(SUBSTITUTE(SUBSTITUTE(SUBSTITUTE(J193," ",""),"0",""),"-",""))+LEN(SUBSTITUTE(SUBSTITUTE(SUBSTITUTE(K193," ",""),"0",""),"-",""))+LEN(SUBSTITUTE(SUBSTITUTE(SUBSTITUTE(J194," ",""),"0",""),"-",""))+LEN(SUBSTITUTE(SUBSTITUTE(SUBSTITUTE(K194," ",""),"0",""),"-",""))+LEN(SUBSTITUTE(SUBSTITUTE(SUBSTITUTE(J195," ",""),"0",""),"-",""))+LEN(SUBSTITUTE(SUBSTITUTE(SUBSTITUTE(K195," ",""),"0",""),"-",""))+LEN(SUBSTITUTE(SUBSTITUTE(SUBSTITUTE(J196," ",""),"0",""),"-",""))+LEN(SUBSTITUTE(SUBSTITUTE(SUBSTITUTE(K196," ",""),"0",""),"-",""))+LEN(SUBSTITUTE(SUBSTITUTE(SUBSTITUTE(J197," ",""),"0",""),"-",""))+LEN(SUBSTITUTE(SUBSTITUTE(SUBSTITUTE(K197," ",""),"0",""),"-",""))</f>
      </c>
      <c r="L192" s="18"/>
      <c r="M192" s="14" t="str">
        <f>LEN(SUBSTITUTE(SUBSTITUTE(SUBSTITUTE(M193," ",""),"0",""),"-",""))+LEN(SUBSTITUTE(SUBSTITUTE(SUBSTITUTE(N193," ",""),"0",""),"-",""))+LEN(SUBSTITUTE(SUBSTITUTE(SUBSTITUTE(M194," ",""),"0",""),"-",""))+LEN(SUBSTITUTE(SUBSTITUTE(SUBSTITUTE(N194," ",""),"0",""),"-",""))+LEN(SUBSTITUTE(SUBSTITUTE(SUBSTITUTE(M195," ",""),"0",""),"-",""))+LEN(SUBSTITUTE(SUBSTITUTE(SUBSTITUTE(N195," ",""),"0",""),"-",""))+LEN(SUBSTITUTE(SUBSTITUTE(SUBSTITUTE(M196," ",""),"0",""),"-",""))+LEN(SUBSTITUTE(SUBSTITUTE(SUBSTITUTE(N196," ",""),"0",""),"-",""))+LEN(SUBSTITUTE(SUBSTITUTE(SUBSTITUTE(M197," ",""),"0",""),"-",""))+LEN(SUBSTITUTE(SUBSTITUTE(SUBSTITUTE(N197," ",""),"0",""),"-",""))</f>
      </c>
      <c r="N192" s="14" t="str">
        <f>IF(UPPER(L193)="X",0,IF((LEN(SUBSTITUTE(SUBSTITUTE(SUBSTITUTE(M193," ",""),"0",""),"-",""))+LEN(SUBSTITUTE(SUBSTITUTE(SUBSTITUTE(N193," ",""),"0",""),"-","")))&gt;(LEN(SUBSTITUTE(SUBSTITUTE(SUBSTITUTE(J193," ",""),"0",""),"-",""))+LEN(SUBSTITUTE(SUBSTITUTE(SUBSTITUTE(K193," ",""),"0",""),"-",""))),1,0))+IF(UPPER(L194)="X",0,IF((LEN(SUBSTITUTE(SUBSTITUTE(SUBSTITUTE(M194," ",""),"0",""),"-",""))+LEN(SUBSTITUTE(SUBSTITUTE(SUBSTITUTE(N194," ",""),"0",""),"-","")))&gt;(LEN(SUBSTITUTE(SUBSTITUTE(SUBSTITUTE(J194," ",""),"0",""),"-",""))+LEN(SUBSTITUTE(SUBSTITUTE(SUBSTITUTE(K194," ",""),"0",""),"-",""))),1,0))+IF(UPPER(L195)="X",0,IF((LEN(SUBSTITUTE(SUBSTITUTE(SUBSTITUTE(M195,"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f>
      </c>
      <c r="O192" s="14" t="str">
        <f>'data'!$B$63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242</v>
      </c>
      <c r="B200" s="13" t="s">
        <v>243</v>
      </c>
      <c r="C200" s="13" t="s">
        <v>244</v>
      </c>
      <c r="D200" s="13" t="s">
        <v>245</v>
      </c>
      <c r="E200" s="13"/>
      <c r="F200" s="13"/>
      <c r="G200" s="13" t="s">
        <v>246</v>
      </c>
      <c r="I200" s="13" t="s">
        <v>242</v>
      </c>
      <c r="J200" s="13" t="s">
        <v>243</v>
      </c>
      <c r="K200" s="13" t="s">
        <v>244</v>
      </c>
      <c r="L200" s="13" t="s">
        <v>245</v>
      </c>
      <c r="M200" s="13"/>
      <c r="N200" s="13"/>
      <c r="O200" s="13" t="s">
        <v>246</v>
      </c>
    </row>
    <row r="201">
      <c r="A201" s="14" t="str">
        <f>'data'!$B$15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247</v>
      </c>
      <c r="C205" s="13" t="s">
        <v>248</v>
      </c>
      <c r="D205" s="13" t="s">
        <v>249</v>
      </c>
      <c r="E205" s="13" t="s">
        <v>250</v>
      </c>
      <c r="F205" s="13" t="s">
        <v>251</v>
      </c>
      <c r="I205" s="13"/>
      <c r="J205" s="13" t="s">
        <v>247</v>
      </c>
      <c r="K205" s="13" t="s">
        <v>248</v>
      </c>
      <c r="L205" s="13" t="s">
        <v>249</v>
      </c>
      <c r="M205" s="13" t="s">
        <v>250</v>
      </c>
      <c r="N205" s="13" t="s">
        <v>251</v>
      </c>
    </row>
    <row r="206">
      <c r="A206" s="14" t="str">
        <f>'data'!$B$15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252</v>
      </c>
      <c r="N211" s="13"/>
      <c r="O211" s="13" t="s">
        <v>252</v>
      </c>
    </row>
    <row r="212">
      <c r="F212" t="s">
        <v>253</v>
      </c>
      <c r="G212" s="19" t="str">
        <f>IFERROR(INDEX($A$201:$A$208, MATCH(1, $G$201:$G$208, 0)), "-")</f>
      </c>
      <c r="N212" t="s">
        <v>253</v>
      </c>
      <c r="O212" s="19" t="str">
        <f>IFERROR(INDEX($I$201:$I$208, MATCH(1, $O$201:$O$208, 0)), "-")</f>
      </c>
    </row>
    <row r="213">
      <c r="F213" t="s">
        <v>254</v>
      </c>
      <c r="G213" s="19" t="str">
        <f>IFERROR(INDEX($A$201:$A$208, MATCH(2, $G$201:$G$208, 0)), "-")</f>
      </c>
      <c r="N213" t="s">
        <v>254</v>
      </c>
      <c r="O213" s="19" t="str">
        <f>IFERROR(INDEX($I$201:$I$208, MATCH(2, $O$201:$O$208, 0)), "-")</f>
      </c>
    </row>
    <row r="214">
      <c r="F214" t="s">
        <v>255</v>
      </c>
      <c r="G214" s="19" t="str">
        <f>IFERROR(INDEX($A$201:$A$208, MATCH(3, $G$201:$G$208, 0)), "-")</f>
      </c>
      <c r="N214" t="s">
        <v>255</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239</v>
      </c>
      <c r="B218" s="14"/>
      <c r="C218" s="14"/>
      <c r="D218" s="14" t="s">
        <v>240</v>
      </c>
      <c r="E218" s="14"/>
      <c r="F218" s="14"/>
      <c r="G218" s="16" t="s">
        <v>241</v>
      </c>
      <c r="I218" s="17" t="s">
        <v>239</v>
      </c>
      <c r="J218" s="14"/>
      <c r="K218" s="14"/>
      <c r="L218" s="14" t="s">
        <v>240</v>
      </c>
      <c r="M218" s="14"/>
      <c r="N218" s="14"/>
      <c r="O218" s="16" t="s">
        <v>241</v>
      </c>
    </row>
    <row r="219">
      <c r="A219" s="14" t="str">
        <f>'data'!$B$19</f>
      </c>
      <c r="B219" s="14" t="str">
        <f>IF(UPPER(D220)="X",0,IF((LEN(SUBSTITUTE(SUBSTITUTE(SUBSTITUTE(B220," ",""),"0",""),"-",""))+LEN(SUBSTITUTE(SUBSTITUTE(SUBSTITUTE(C220," ",""),"0",""),"-","")))&gt;(LEN(SUBSTITUTE(SUBSTITUTE(SUBSTITUTE(E220," ",""),"0",""),"-",""))+LEN(SUBSTITUTE(SUBSTITUTE(SUBSTITUTE(F220," ",""),"0",""),"-",""))),1,0))+IF(UPPER(D221)="X",0,IF((LEN(SUBSTITUTE(SUBSTITUTE(SUBSTITUTE(B221," ",""),"0",""),"-",""))+LEN(SUBSTITUTE(SUBSTITUTE(SUBSTITUTE(C221," ",""),"0",""),"-","")))&gt;(LEN(SUBSTITUTE(SUBSTITUTE(SUBSTITUTE(E221," ",""),"0",""),"-",""))+LEN(SUBSTITUTE(SUBSTITUTE(SUBSTITUTE(F221," ",""),"0",""),"-",""))),1,0))+IF(UPPER(D222)="X",0,IF((LEN(SUBSTITUTE(SUBSTITUTE(SUBSTITUTE(B222," ",""),"0",""),"-",""))+LEN(SUBSTITUTE(SUBSTITUTE(SUBSTITUTE(C222," ",""),"0",""),"-","")))&gt;(LEN(SUBSTITUTE(SUBSTITUTE(SUBSTITUTE(E222," ",""),"0",""),"-",""))+LEN(SUBSTITUTE(SUBSTITUTE(SUBSTITUTE(F222," ",""),"0",""),"-",""))),1,0))+IF(UPPER(D223)="X",0,IF((LEN(SUBSTITUTE(SUBSTITUTE(SUBSTITUTE(B223," ",""),"0",""),"-",""))+LEN(SUBSTITUTE(SUBSTITUTE(SUBSTITUTE(C223," ",""),"0",""),"-","")))&gt;(LEN(SUBSTITUTE(SUBSTITUTE(SUBSTITUTE(E223," ",""),"0",""),"-",""))+LEN(SUBSTITUTE(SUBSTITUTE(SUBSTITUTE(F223," ",""),"0",""),"-",""))),1,0))+IF(UPPER(D224)="X",0,IF((LEN(SUBSTITUTE(SUBSTITUTE(SUBSTITUTE(B224," ",""),"0",""),"-",""))+LEN(SUBSTITUTE(SUBSTITUTE(SUBSTITUTE(C224," ",""),"0",""),"-","")))&gt;(LEN(SUBSTITUTE(SUBSTITUTE(SUBSTITUTE(E224," ",""),"0",""),"-",""))+LEN(SUBSTITUTE(SUBSTITUTE(SUBSTITUTE(F224," ",""),"0",""),"-",""))),1,0))</f>
      </c>
      <c r="C219" s="14" t="str">
        <f>LEN(SUBSTITUTE(SUBSTITUTE(SUBSTITUTE(B220," ",""),"0",""),"-",""))+LEN(SUBSTITUTE(SUBSTITUTE(SUBSTITUTE(C220," ",""),"0",""),"-",""))+LEN(SUBSTITUTE(SUBSTITUTE(SUBSTITUTE(B221," ",""),"0",""),"-",""))+LEN(SUBSTITUTE(SUBSTITUTE(SUBSTITUTE(C221," ",""),"0",""),"-",""))+LEN(SUBSTITUTE(SUBSTITUTE(SUBSTITUTE(B222," ",""),"0",""),"-",""))+LEN(SUBSTITUTE(SUBSTITUTE(SUBSTITUTE(C222," ",""),"0",""),"-",""))+LEN(SUBSTITUTE(SUBSTITUTE(SUBSTITUTE(B223," ",""),"0",""),"-",""))+LEN(SUBSTITUTE(SUBSTITUTE(SUBSTITUTE(C223," ",""),"0",""),"-",""))+LEN(SUBSTITUTE(SUBSTITUTE(SUBSTITUTE(B224," ",""),"0",""),"-",""))+LEN(SUBSTITUTE(SUBSTITUTE(SUBSTITUTE(C224," ",""),"0",""),"-",""))</f>
      </c>
      <c r="D219" s="18"/>
      <c r="E219" s="14" t="str">
        <f>LEN(SUBSTITUTE(SUBSTITUTE(SUBSTITUTE(E220," ",""),"0",""),"-",""))+LEN(SUBSTITUTE(SUBSTITUTE(SUBSTITUTE(F220," ",""),"0",""),"-",""))+LEN(SUBSTITUTE(SUBSTITUTE(SUBSTITUTE(E221," ",""),"0",""),"-",""))+LEN(SUBSTITUTE(SUBSTITUTE(SUBSTITUTE(F221," ",""),"0",""),"-",""))+LEN(SUBSTITUTE(SUBSTITUTE(SUBSTITUTE(E222," ",""),"0",""),"-",""))+LEN(SUBSTITUTE(SUBSTITUTE(SUBSTITUTE(F222," ",""),"0",""),"-",""))+LEN(SUBSTITUTE(SUBSTITUTE(SUBSTITUTE(E223," ",""),"0",""),"-",""))+LEN(SUBSTITUTE(SUBSTITUTE(SUBSTITUTE(F223," ",""),"0",""),"-",""))+LEN(SUBSTITUTE(SUBSTITUTE(SUBSTITUTE(E224," ",""),"0",""),"-",""))+LEN(SUBSTITUTE(SUBSTITUTE(SUBSTITUTE(F224," ",""),"0",""),"-",""))</f>
      </c>
      <c r="F219" s="14" t="str">
        <f>IF(UPPER(D220)="X",0,IF((LEN(SUBSTITUTE(SUBSTITUTE(SUBSTITUTE(E220," ",""),"0",""),"-",""))+LEN(SUBSTITUTE(SUBSTITUTE(SUBSTITUTE(F220," ",""),"0",""),"-","")))&gt;(LEN(SUBSTITUTE(SUBSTITUTE(SUBSTITUTE(B220," ",""),"0",""),"-",""))+LEN(SUBSTITUTE(SUBSTITUTE(SUBSTITUTE(C220," ",""),"0",""),"-",""))),1,0))+IF(UPPER(D221)="X",0,IF((LEN(SUBSTITUTE(SUBSTITUTE(SUBSTITUTE(E221," ",""),"0",""),"-",""))+LEN(SUBSTITUTE(SUBSTITUTE(SUBSTITUTE(F221," ",""),"0",""),"-","")))&gt;(LEN(SUBSTITUTE(SUBSTITUTE(SUBSTITUTE(B221," ",""),"0",""),"-",""))+LEN(SUBSTITUTE(SUBSTITUTE(SUBSTITUTE(C221," ",""),"0",""),"-",""))),1,0))+IF(UPPER(D222)="X",0,IF((LEN(SUBSTITUTE(SUBSTITUTE(SUBSTITUTE(E222," ",""),"0",""),"-",""))+LEN(SUBSTITUTE(SUBSTITUTE(SUBSTITUTE(F222," ",""),"0",""),"-","")))&gt;(LEN(SUBSTITUTE(SUBSTITUTE(SUBSTITUTE(B222," ",""),"0",""),"-",""))+LEN(SUBSTITUTE(SUBSTITUTE(SUBSTITUTE(C222," ",""),"0",""),"-",""))),1,0))+IF(UPPER(D223)="X",0,IF((LEN(SUBSTITUTE(SUBSTITUTE(SUBSTITUTE(E223," ",""),"0",""),"-",""))+LEN(SUBSTITUTE(SUBSTITUTE(SUBSTITUTE(F223," ",""),"0",""),"-","")))&gt;(LEN(SUBSTITUTE(SUBSTITUTE(SUBSTITUTE(B223," ",""),"0",""),"-",""))+LEN(SUBSTITUTE(SUBSTITUTE(SUBSTITUTE(C223," ",""),"0",""),"-",""))),1,0))+IF(UPPER(D224)="X",0,IF((LEN(SUBSTITUTE(SUBSTITUTE(SUBSTITUTE(E224," ",""),"0",""),"-",""))+LEN(SUBSTITUTE(SUBSTITUTE(SUBSTITUTE(F224," ",""),"0",""),"-","")))&gt;(LEN(SUBSTITUTE(SUBSTITUTE(SUBSTITUTE(B224," ",""),"0",""),"-",""))+LEN(SUBSTITUTE(SUBSTITUTE(SUBSTITUTE(C224," ",""),"0",""),"-",""))),1,0))</f>
      </c>
      <c r="G219" s="14" t="str">
        <f>'data'!$B$18</f>
      </c>
      <c r="I219" s="14" t="str">
        <f>'data'!$B$66</f>
      </c>
      <c r="J219" s="14" t="str">
        <f>IF(UPPER(L220)="X",0,IF((LEN(SUBSTITUTE(SUBSTITUTE(SUBSTITUTE(J220," ",""),"0",""),"-",""))+LEN(SUBSTITUTE(SUBSTITUTE(SUBSTITUTE(K220," ",""),"0",""),"-","")))&gt;(LEN(SUBSTITUTE(SUBSTITUTE(SUBSTITUTE(M220," ",""),"0",""),"-",""))+LEN(SUBSTITUTE(SUBSTITUTE(SUBSTITUTE(N220," ",""),"0",""),"-",""))),1,0))+IF(UPPER(L221)="X",0,IF((LEN(SUBSTITUTE(SUBSTITUTE(SUBSTITUTE(J221," ",""),"0",""),"-",""))+LEN(SUBSTITUTE(SUBSTITUTE(SUBSTITUTE(K221," ",""),"0",""),"-","")))&gt;(LEN(SUBSTITUTE(SUBSTITUTE(SUBSTITUTE(M221," ",""),"0",""),"-",""))+LEN(SUBSTITUTE(SUBSTITUTE(SUBSTITUTE(N221," ",""),"0",""),"-",""))),1,0))+IF(UPPER(L222)="X",0,IF((LEN(SUBSTITUTE(SUBSTITUTE(SUBSTITUTE(J222," ",""),"0",""),"-",""))+LEN(SUBSTITUTE(SUBSTITUTE(SUBSTITUTE(K222," ",""),"0",""),"-","")))&gt;(LEN(SUBSTITUTE(SUBSTITUTE(SUBSTITUTE(M222," ",""),"0",""),"-",""))+LEN(SUBSTITUTE(SUBSTITUTE(SUBSTITUTE(N222," ",""),"0",""),"-",""))),1,0))+IF(UPPER(L223)="X",0,IF((LEN(SUBSTITUTE(SUBSTITUTE(SUBSTITUTE(J223," ",""),"0",""),"-",""))+LEN(SUBSTITUTE(SUBSTITUTE(SUBSTITUTE(K223," ",""),"0",""),"-","")))&gt;(LEN(SUBSTITUTE(SUBSTITUTE(SUBSTITUTE(M223," ",""),"0",""),"-",""))+LEN(SUBSTITUTE(SUBSTITUTE(SUBSTITUTE(N223," ",""),"0",""),"-",""))),1,0))+IF(UPPER(L224)="X",0,IF((LEN(SUBSTITUTE(SUBSTITUTE(SUBSTITUTE(J224," ",""),"0",""),"-",""))+LEN(SUBSTITUTE(SUBSTITUTE(SUBSTITUTE(K224," ",""),"0",""),"-","")))&gt;(LEN(SUBSTITUTE(SUBSTITUTE(SUBSTITUTE(M224," ",""),"0",""),"-",""))+LEN(SUBSTITUTE(SUBSTITUTE(SUBSTITUTE(N224," ",""),"0",""),"-",""))),1,0))</f>
      </c>
      <c r="K219" s="14" t="str">
        <f>LEN(SUBSTITUTE(SUBSTITUTE(SUBSTITUTE(J220," ",""),"0",""),"-",""))+LEN(SUBSTITUTE(SUBSTITUTE(SUBSTITUTE(K220," ",""),"0",""),"-",""))+LEN(SUBSTITUTE(SUBSTITUTE(SUBSTITUTE(J221," ",""),"0",""),"-",""))+LEN(SUBSTITUTE(SUBSTITUTE(SUBSTITUTE(K221," ",""),"0",""),"-",""))+LEN(SUBSTITUTE(SUBSTITUTE(SUBSTITUTE(J222," ",""),"0",""),"-",""))+LEN(SUBSTITUTE(SUBSTITUTE(SUBSTITUTE(K222," ",""),"0",""),"-",""))+LEN(SUBSTITUTE(SUBSTITUTE(SUBSTITUTE(J223," ",""),"0",""),"-",""))+LEN(SUBSTITUTE(SUBSTITUTE(SUBSTITUTE(K223," ",""),"0",""),"-",""))+LEN(SUBSTITUTE(SUBSTITUTE(SUBSTITUTE(J224," ",""),"0",""),"-",""))+LEN(SUBSTITUTE(SUBSTITUTE(SUBSTITUTE(K224," ",""),"0",""),"-",""))</f>
      </c>
      <c r="L219" s="18"/>
      <c r="M219" s="14" t="str">
        <f>LEN(SUBSTITUTE(SUBSTITUTE(SUBSTITUTE(M220," ",""),"0",""),"-",""))+LEN(SUBSTITUTE(SUBSTITUTE(SUBSTITUTE(N220," ",""),"0",""),"-",""))+LEN(SUBSTITUTE(SUBSTITUTE(SUBSTITUTE(M221," ",""),"0",""),"-",""))+LEN(SUBSTITUTE(SUBSTITUTE(SUBSTITUTE(N221," ",""),"0",""),"-",""))+LEN(SUBSTITUTE(SUBSTITUTE(SUBSTITUTE(M222," ",""),"0",""),"-",""))+LEN(SUBSTITUTE(SUBSTITUTE(SUBSTITUTE(N222," ",""),"0",""),"-",""))+LEN(SUBSTITUTE(SUBSTITUTE(SUBSTITUTE(M223," ",""),"0",""),"-",""))+LEN(SUBSTITUTE(SUBSTITUTE(SUBSTITUTE(N223," ",""),"0",""),"-",""))+LEN(SUBSTITUTE(SUBSTITUTE(SUBSTITUTE(M224," ",""),"0",""),"-",""))+LEN(SUBSTITUTE(SUBSTITUTE(SUBSTITUTE(N224," ",""),"0",""),"-",""))</f>
      </c>
      <c r="N219" s="14" t="str">
        <f>IF(UPPER(L220)="X",0,IF((LEN(SUBSTITUTE(SUBSTITUTE(SUBSTITUTE(M220," ",""),"0",""),"-",""))+LEN(SUBSTITUTE(SUBSTITUTE(SUBSTITUTE(N220," ",""),"0",""),"-","")))&gt;(LEN(SUBSTITUTE(SUBSTITUTE(SUBSTITUTE(J220," ",""),"0",""),"-",""))+LEN(SUBSTITUTE(SUBSTITUTE(SUBSTITUTE(K220," ",""),"0",""),"-",""))),1,0))+IF(UPPER(L221)="X",0,IF((LEN(SUBSTITUTE(SUBSTITUTE(SUBSTITUTE(M221," ",""),"0",""),"-",""))+LEN(SUBSTITUTE(SUBSTITUTE(SUBSTITUTE(N221," ",""),"0",""),"-","")))&gt;(LEN(SUBSTITUTE(SUBSTITUTE(SUBSTITUTE(J221," ",""),"0",""),"-",""))+LEN(SUBSTITUTE(SUBSTITUTE(SUBSTITUTE(K221," ",""),"0",""),"-",""))),1,0))+IF(UPPER(L222)="X",0,IF((LEN(SUBSTITUTE(SUBSTITUTE(SUBSTITUTE(M222," ",""),"0",""),"-",""))+LEN(SUBSTITUTE(SUBSTITUTE(SUBSTITUTE(N222," ",""),"0",""),"-","")))&gt;(LEN(SUBSTITUTE(SUBSTITUTE(SUBSTITUTE(J222," ",""),"0",""),"-",""))+LEN(SUBSTITUTE(SUBSTITUTE(SUBSTITUTE(K222," ",""),"0",""),"-",""))),1,0))+IF(UPPER(L223)="X",0,IF((LEN(SUBSTITUTE(SUBSTITUTE(SUBSTITUTE(M223," ",""),"0",""),"-",""))+LEN(SUBSTITUTE(SUBSTITUTE(SUBSTITUTE(N223," ",""),"0",""),"-","")))&gt;(LEN(SUBSTITUTE(SUBSTITUTE(SUBSTITUTE(J223," ",""),"0",""),"-",""))+LEN(SUBSTITUTE(SUBSTITUTE(SUBSTITUTE(K223," ",""),"0",""),"-",""))),1,0))+IF(UPPER(L224)="X",0,IF((LEN(SUBSTITUTE(SUBSTITUTE(SUBSTITUTE(M224," ",""),"0",""),"-",""))+LEN(SUBSTITUTE(SUBSTITUTE(SUBSTITUTE(N224," ",""),"0",""),"-","")))&gt;(LEN(SUBSTITUTE(SUBSTITUTE(SUBSTITUTE(J224," ",""),"0",""),"-",""))+LEN(SUBSTITUTE(SUBSTITUTE(SUBSTITUTE(K224," ",""),"0",""),"-",""))),1,0))</f>
      </c>
      <c r="O219" s="14" t="str">
        <f>'data'!$B$65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239</v>
      </c>
      <c r="B226" s="14"/>
      <c r="C226" s="14"/>
      <c r="D226" s="14" t="s">
        <v>240</v>
      </c>
      <c r="E226" s="14"/>
      <c r="F226" s="14"/>
      <c r="G226" s="16" t="s">
        <v>241</v>
      </c>
      <c r="I226" s="17" t="s">
        <v>239</v>
      </c>
      <c r="J226" s="14"/>
      <c r="K226" s="14"/>
      <c r="L226" s="14" t="s">
        <v>240</v>
      </c>
      <c r="M226" s="14"/>
      <c r="N226" s="14"/>
      <c r="O226" s="16" t="s">
        <v>241</v>
      </c>
    </row>
    <row r="227">
      <c r="A227" s="14" t="str">
        <f>'data'!$B$20</f>
      </c>
      <c r="B227" s="14" t="str">
        <f>IF(UPPER(D228)="X",0,IF((LEN(SUBSTITUTE(SUBSTITUTE(SUBSTITUTE(B228," ",""),"0",""),"-",""))+LEN(SUBSTITUTE(SUBSTITUTE(SUBSTITUTE(C228," ",""),"0",""),"-","")))&gt;(LEN(SUBSTITUTE(SUBSTITUTE(SUBSTITUTE(E228," ",""),"0",""),"-",""))+LEN(SUBSTITUTE(SUBSTITUTE(SUBSTITUTE(F228," ",""),"0",""),"-",""))),1,0))+IF(UPPER(D229)="X",0,IF((LEN(SUBSTITUTE(SUBSTITUTE(SUBSTITUTE(B229,"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f>
      </c>
      <c r="C227" s="14" t="str">
        <f>LEN(SUBSTITUTE(SUBSTITUTE(SUBSTITUTE(B228," ",""),"0",""),"-",""))+LEN(SUBSTITUTE(SUBSTITUTE(SUBSTITUTE(C228," ",""),"0",""),"-",""))+LEN(SUBSTITUTE(SUBSTITUTE(SUBSTITUTE(B229,"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f>
      </c>
      <c r="D227" s="18"/>
      <c r="E227" s="14" t="str">
        <f>LEN(SUBSTITUTE(SUBSTITUTE(SUBSTITUTE(E228," ",""),"0",""),"-",""))+LEN(SUBSTITUTE(SUBSTITUTE(SUBSTITUTE(F228," ",""),"0",""),"-",""))+LEN(SUBSTITUTE(SUBSTITUTE(SUBSTITUTE(E229,"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f>
      </c>
      <c r="F227" s="14" t="str">
        <f>IF(UPPER(D228)="X",0,IF((LEN(SUBSTITUTE(SUBSTITUTE(SUBSTITUTE(E228," ",""),"0",""),"-",""))+LEN(SUBSTITUTE(SUBSTITUTE(SUBSTITUTE(F228," ",""),"0",""),"-","")))&gt;(LEN(SUBSTITUTE(SUBSTITUTE(SUBSTITUTE(B228," ",""),"0",""),"-",""))+LEN(SUBSTITUTE(SUBSTITUTE(SUBSTITUTE(C228," ",""),"0",""),"-",""))),1,0))+IF(UPPER(D229)="X",0,IF((LEN(SUBSTITUTE(SUBSTITUTE(SUBSTITUTE(E229,"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f>
      </c>
      <c r="G227" s="14" t="str">
        <f>'data'!$B$18</f>
      </c>
      <c r="I227" s="14" t="str">
        <f>'data'!$B$67</f>
      </c>
      <c r="J227" s="14" t="str">
        <f>IF(UPPER(L228)="X",0,IF((LEN(SUBSTITUTE(SUBSTITUTE(SUBSTITUTE(J228," ",""),"0",""),"-",""))+LEN(SUBSTITUTE(SUBSTITUTE(SUBSTITUTE(K228," ",""),"0",""),"-","")))&gt;(LEN(SUBSTITUTE(SUBSTITUTE(SUBSTITUTE(M228," ",""),"0",""),"-",""))+LEN(SUBSTITUTE(SUBSTITUTE(SUBSTITUTE(N228," ",""),"0",""),"-",""))),1,0))+IF(UPPER(L229)="X",0,IF((LEN(SUBSTITUTE(SUBSTITUTE(SUBSTITUTE(J229,"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f>
      </c>
      <c r="K227" s="14" t="str">
        <f>LEN(SUBSTITUTE(SUBSTITUTE(SUBSTITUTE(J228," ",""),"0",""),"-",""))+LEN(SUBSTITUTE(SUBSTITUTE(SUBSTITUTE(K228," ",""),"0",""),"-",""))+LEN(SUBSTITUTE(SUBSTITUTE(SUBSTITUTE(J229,"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f>
      </c>
      <c r="L227" s="18"/>
      <c r="M227" s="14" t="str">
        <f>LEN(SUBSTITUTE(SUBSTITUTE(SUBSTITUTE(M228," ",""),"0",""),"-",""))+LEN(SUBSTITUTE(SUBSTITUTE(SUBSTITUTE(N228," ",""),"0",""),"-",""))+LEN(SUBSTITUTE(SUBSTITUTE(SUBSTITUTE(M229,"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f>
      </c>
      <c r="N227" s="14" t="str">
        <f>IF(UPPER(L228)="X",0,IF((LEN(SUBSTITUTE(SUBSTITUTE(SUBSTITUTE(M228," ",""),"0",""),"-",""))+LEN(SUBSTITUTE(SUBSTITUTE(SUBSTITUTE(N228," ",""),"0",""),"-","")))&gt;(LEN(SUBSTITUTE(SUBSTITUTE(SUBSTITUTE(J228," ",""),"0",""),"-",""))+LEN(SUBSTITUTE(SUBSTITUTE(SUBSTITUTE(K228," ",""),"0",""),"-",""))),1,0))+IF(UPPER(L229)="X",0,IF((LEN(SUBSTITUTE(SUBSTITUTE(SUBSTITUTE(M229,"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f>
      </c>
      <c r="O227" s="14" t="str">
        <f>'data'!$B$65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239</v>
      </c>
      <c r="B234" s="14"/>
      <c r="C234" s="14"/>
      <c r="D234" s="14" t="s">
        <v>240</v>
      </c>
      <c r="E234" s="14"/>
      <c r="F234" s="14"/>
      <c r="G234" s="16" t="s">
        <v>241</v>
      </c>
      <c r="I234" s="17" t="s">
        <v>239</v>
      </c>
      <c r="J234" s="14"/>
      <c r="K234" s="14"/>
      <c r="L234" s="14" t="s">
        <v>240</v>
      </c>
      <c r="M234" s="14"/>
      <c r="N234" s="14"/>
      <c r="O234" s="16" t="s">
        <v>241</v>
      </c>
    </row>
    <row r="235">
      <c r="A235" s="14" t="str">
        <f>'data'!$B$20</f>
      </c>
      <c r="B235" s="14" t="str">
        <f>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f>
      </c>
      <c r="C235" s="14" t="str">
        <f>LEN(SUBSTITUTE(SUBSTITUTE(SUBSTITUTE(B236," ",""),"0",""),"-",""))+LEN(SUBSTITUTE(SUBSTITUTE(SUBSTITUTE(C236," ",""),"0",""),"-",""))+LEN(SUBSTITUTE(SUBSTITUTE(SUBSTITUTE(B237," ",""),"0",""),"-",""))+LEN(SUBSTITUTE(SUBSTITUTE(SUBSTITUTE(C237," ",""),"0",""),"-",""))+LEN(SUBSTITUTE(SUBSTITUTE(SUBSTITUTE(B238," ",""),"0",""),"-",""))+LEN(SUBSTITUTE(SUBSTITUTE(SUBSTITUTE(C238," ",""),"0",""),"-",""))+LEN(SUBSTITUTE(SUBSTITUTE(SUBSTITUTE(B239," ",""),"0",""),"-",""))+LEN(SUBSTITUTE(SUBSTITUTE(SUBSTITUTE(C239," ",""),"0",""),"-",""))+LEN(SUBSTITUTE(SUBSTITUTE(SUBSTITUTE(B240," ",""),"0",""),"-",""))+LEN(SUBSTITUTE(SUBSTITUTE(SUBSTITUTE(C240," ",""),"0",""),"-",""))</f>
      </c>
      <c r="D235" s="18"/>
      <c r="E235" s="14" t="str">
        <f>LEN(SUBSTITUTE(SUBSTITUTE(SUBSTITUTE(E236," ",""),"0",""),"-",""))+LEN(SUBSTITUTE(SUBSTITUTE(SUBSTITUTE(F236," ",""),"0",""),"-",""))+LEN(SUBSTITUTE(SUBSTITUTE(SUBSTITUTE(E237," ",""),"0",""),"-",""))+LEN(SUBSTITUTE(SUBSTITUTE(SUBSTITUTE(F237," ",""),"0",""),"-",""))+LEN(SUBSTITUTE(SUBSTITUTE(SUBSTITUTE(E238," ",""),"0",""),"-",""))+LEN(SUBSTITUTE(SUBSTITUTE(SUBSTITUTE(F238," ",""),"0",""),"-",""))+LEN(SUBSTITUTE(SUBSTITUTE(SUBSTITUTE(E239," ",""),"0",""),"-",""))+LEN(SUBSTITUTE(SUBSTITUTE(SUBSTITUTE(F239," ",""),"0",""),"-",""))+LEN(SUBSTITUTE(SUBSTITUTE(SUBSTITUTE(E240," ",""),"0",""),"-",""))+LEN(SUBSTITUTE(SUBSTITUTE(SUBSTITUTE(F240," ",""),"0",""),"-",""))</f>
      </c>
      <c r="F235" s="14" t="str">
        <f>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f>
      </c>
      <c r="G235" s="14" t="str">
        <f>'data'!$B$19</f>
      </c>
      <c r="I235" s="14" t="str">
        <f>'data'!$B$67</f>
      </c>
      <c r="J235" s="14" t="str">
        <f>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f>
      </c>
      <c r="K235" s="14" t="str">
        <f>LEN(SUBSTITUTE(SUBSTITUTE(SUBSTITUTE(J236," ",""),"0",""),"-",""))+LEN(SUBSTITUTE(SUBSTITUTE(SUBSTITUTE(K236," ",""),"0",""),"-",""))+LEN(SUBSTITUTE(SUBSTITUTE(SUBSTITUTE(J237," ",""),"0",""),"-",""))+LEN(SUBSTITUTE(SUBSTITUTE(SUBSTITUTE(K237," ",""),"0",""),"-",""))+LEN(SUBSTITUTE(SUBSTITUTE(SUBSTITUTE(J238," ",""),"0",""),"-",""))+LEN(SUBSTITUTE(SUBSTITUTE(SUBSTITUTE(K238," ",""),"0",""),"-",""))+LEN(SUBSTITUTE(SUBSTITUTE(SUBSTITUTE(J239," ",""),"0",""),"-",""))+LEN(SUBSTITUTE(SUBSTITUTE(SUBSTITUTE(K239," ",""),"0",""),"-",""))+LEN(SUBSTITUTE(SUBSTITUTE(SUBSTITUTE(J240," ",""),"0",""),"-",""))+LEN(SUBSTITUTE(SUBSTITUTE(SUBSTITUTE(K240," ",""),"0",""),"-",""))</f>
      </c>
      <c r="L235" s="18"/>
      <c r="M235" s="14" t="str">
        <f>LEN(SUBSTITUTE(SUBSTITUTE(SUBSTITUTE(M236," ",""),"0",""),"-",""))+LEN(SUBSTITUTE(SUBSTITUTE(SUBSTITUTE(N236," ",""),"0",""),"-",""))+LEN(SUBSTITUTE(SUBSTITUTE(SUBSTITUTE(M237," ",""),"0",""),"-",""))+LEN(SUBSTITUTE(SUBSTITUTE(SUBSTITUTE(N237," ",""),"0",""),"-",""))+LEN(SUBSTITUTE(SUBSTITUTE(SUBSTITUTE(M238," ",""),"0",""),"-",""))+LEN(SUBSTITUTE(SUBSTITUTE(SUBSTITUTE(N238," ",""),"0",""),"-",""))+LEN(SUBSTITUTE(SUBSTITUTE(SUBSTITUTE(M239," ",""),"0",""),"-",""))+LEN(SUBSTITUTE(SUBSTITUTE(SUBSTITUTE(N239," ",""),"0",""),"-",""))+LEN(SUBSTITUTE(SUBSTITUTE(SUBSTITUTE(M240," ",""),"0",""),"-",""))+LEN(SUBSTITUTE(SUBSTITUTE(SUBSTITUTE(N240," ",""),"0",""),"-",""))</f>
      </c>
      <c r="N235" s="14" t="str">
        <f>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f>
      </c>
      <c r="O235" s="14" t="str">
        <f>'data'!$B$66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242</v>
      </c>
      <c r="B243" s="13" t="s">
        <v>243</v>
      </c>
      <c r="C243" s="13" t="s">
        <v>244</v>
      </c>
      <c r="D243" s="13" t="s">
        <v>245</v>
      </c>
      <c r="E243" s="13"/>
      <c r="F243" s="13"/>
      <c r="G243" s="13" t="s">
        <v>246</v>
      </c>
      <c r="I243" s="13" t="s">
        <v>242</v>
      </c>
      <c r="J243" s="13" t="s">
        <v>243</v>
      </c>
      <c r="K243" s="13" t="s">
        <v>244</v>
      </c>
      <c r="L243" s="13" t="s">
        <v>245</v>
      </c>
      <c r="M243" s="13"/>
      <c r="N243" s="13"/>
      <c r="O243" s="13" t="s">
        <v>246</v>
      </c>
    </row>
    <row r="244">
      <c r="A244" s="14" t="str">
        <f>'data'!$B$18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247</v>
      </c>
      <c r="C248" s="13" t="s">
        <v>248</v>
      </c>
      <c r="D248" s="13" t="s">
        <v>249</v>
      </c>
      <c r="E248" s="13" t="s">
        <v>250</v>
      </c>
      <c r="F248" s="13" t="s">
        <v>251</v>
      </c>
      <c r="I248" s="13"/>
      <c r="J248" s="13" t="s">
        <v>247</v>
      </c>
      <c r="K248" s="13" t="s">
        <v>248</v>
      </c>
      <c r="L248" s="13" t="s">
        <v>249</v>
      </c>
      <c r="M248" s="13" t="s">
        <v>250</v>
      </c>
      <c r="N248" s="13" t="s">
        <v>251</v>
      </c>
    </row>
    <row r="249">
      <c r="A249" s="14" t="str">
        <f>'data'!$B$18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252</v>
      </c>
      <c r="N254" s="13"/>
      <c r="O254" s="13" t="s">
        <v>252</v>
      </c>
    </row>
    <row r="255">
      <c r="F255" t="s">
        <v>253</v>
      </c>
      <c r="G255" s="19" t="str">
        <f>IFERROR(INDEX($A$244:$A$251, MATCH(1, $G$244:$G$251, 0)), "-")</f>
      </c>
      <c r="N255" t="s">
        <v>253</v>
      </c>
      <c r="O255" s="19" t="str">
        <f>IFERROR(INDEX($I$244:$I$251, MATCH(1, $O$244:$O$251, 0)), "-")</f>
      </c>
    </row>
    <row r="256">
      <c r="F256" t="s">
        <v>254</v>
      </c>
      <c r="G256" s="19" t="str">
        <f>IFERROR(INDEX($A$244:$A$251, MATCH(2, $G$244:$G$251, 0)), "-")</f>
      </c>
      <c r="N256" t="s">
        <v>254</v>
      </c>
      <c r="O256" s="19" t="str">
        <f>IFERROR(INDEX($I$244:$I$251, MATCH(2, $O$244:$O$251, 0)), "-")</f>
      </c>
    </row>
    <row r="257">
      <c r="F257" t="s">
        <v>255</v>
      </c>
      <c r="G257" s="19" t="str">
        <f>IFERROR(INDEX($A$244:$A$251, MATCH(3, $G$244:$G$251, 0)), "-")</f>
      </c>
      <c r="N257" t="s">
        <v>255</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239</v>
      </c>
      <c r="B261" s="14"/>
      <c r="C261" s="14"/>
      <c r="D261" s="14" t="s">
        <v>240</v>
      </c>
      <c r="E261" s="14"/>
      <c r="F261" s="14"/>
      <c r="G261" s="16" t="s">
        <v>241</v>
      </c>
      <c r="I261" s="17" t="s">
        <v>239</v>
      </c>
      <c r="J261" s="14"/>
      <c r="K261" s="14"/>
      <c r="L261" s="14" t="s">
        <v>240</v>
      </c>
      <c r="M261" s="14"/>
      <c r="N261" s="14"/>
      <c r="O261" s="16" t="s">
        <v>241</v>
      </c>
    </row>
    <row r="262">
      <c r="A262" s="14" t="str">
        <f>'data'!$B$22</f>
      </c>
      <c r="B262" s="14" t="str">
        <f>IF(UPPER(D263)="X",0,IF((LEN(SUBSTITUTE(SUBSTITUTE(SUBSTITUTE(B263," ",""),"0",""),"-",""))+LEN(SUBSTITUTE(SUBSTITUTE(SUBSTITUTE(C263," ",""),"0",""),"-","")))&gt;(LEN(SUBSTITUTE(SUBSTITUTE(SUBSTITUTE(E263," ",""),"0",""),"-",""))+LEN(SUBSTITUTE(SUBSTITUTE(SUBSTITUTE(F263," ",""),"0",""),"-",""))),1,0))+IF(UPPER(D264)="X",0,IF((LEN(SUBSTITUTE(SUBSTITUTE(SUBSTITUTE(B264," ",""),"0",""),"-",""))+LEN(SUBSTITUTE(SUBSTITUTE(SUBSTITUTE(C264," ",""),"0",""),"-","")))&gt;(LEN(SUBSTITUTE(SUBSTITUTE(SUBSTITUTE(E264," ",""),"0",""),"-",""))+LEN(SUBSTITUTE(SUBSTITUTE(SUBSTITUTE(F264," ",""),"0",""),"-",""))),1,0))+IF(UPPER(D265)="X",0,IF((LEN(SUBSTITUTE(SUBSTITUTE(SUBSTITUTE(B265," ",""),"0",""),"-",""))+LEN(SUBSTITUTE(SUBSTITUTE(SUBSTITUTE(C265," ",""),"0",""),"-","")))&gt;(LEN(SUBSTITUTE(SUBSTITUTE(SUBSTITUTE(E265," ",""),"0",""),"-",""))+LEN(SUBSTITUTE(SUBSTITUTE(SUBSTITUTE(F265," ",""),"0",""),"-",""))),1,0))+IF(UPPER(D266)="X",0,IF((LEN(SUBSTITUTE(SUBSTITUTE(SUBSTITUTE(B266,"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f>
      </c>
      <c r="C262" s="14" t="str">
        <f>LEN(SUBSTITUTE(SUBSTITUTE(SUBSTITUTE(B263," ",""),"0",""),"-",""))+LEN(SUBSTITUTE(SUBSTITUTE(SUBSTITUTE(C263," ",""),"0",""),"-",""))+LEN(SUBSTITUTE(SUBSTITUTE(SUBSTITUTE(B264," ",""),"0",""),"-",""))+LEN(SUBSTITUTE(SUBSTITUTE(SUBSTITUTE(C264," ",""),"0",""),"-",""))+LEN(SUBSTITUTE(SUBSTITUTE(SUBSTITUTE(B265," ",""),"0",""),"-",""))+LEN(SUBSTITUTE(SUBSTITUTE(SUBSTITUTE(C265," ",""),"0",""),"-",""))+LEN(SUBSTITUTE(SUBSTITUTE(SUBSTITUTE(B266," ",""),"0",""),"-",""))+LEN(SUBSTITUTE(SUBSTITUTE(SUBSTITUTE(C266," ",""),"0",""),"-",""))+LEN(SUBSTITUTE(SUBSTITUTE(SUBSTITUTE(B267," ",""),"0",""),"-",""))+LEN(SUBSTITUTE(SUBSTITUTE(SUBSTITUTE(C267," ",""),"0",""),"-",""))</f>
      </c>
      <c r="D262" s="18"/>
      <c r="E262" s="14" t="str">
        <f>LEN(SUBSTITUTE(SUBSTITUTE(SUBSTITUTE(E263," ",""),"0",""),"-",""))+LEN(SUBSTITUTE(SUBSTITUTE(SUBSTITUTE(F263," ",""),"0",""),"-",""))+LEN(SUBSTITUTE(SUBSTITUTE(SUBSTITUTE(E264," ",""),"0",""),"-",""))+LEN(SUBSTITUTE(SUBSTITUTE(SUBSTITUTE(F264," ",""),"0",""),"-",""))+LEN(SUBSTITUTE(SUBSTITUTE(SUBSTITUTE(E265," ",""),"0",""),"-",""))+LEN(SUBSTITUTE(SUBSTITUTE(SUBSTITUTE(F265," ",""),"0",""),"-",""))+LEN(SUBSTITUTE(SUBSTITUTE(SUBSTITUTE(E266," ",""),"0",""),"-",""))+LEN(SUBSTITUTE(SUBSTITUTE(SUBSTITUTE(F266," ",""),"0",""),"-",""))+LEN(SUBSTITUTE(SUBSTITUTE(SUBSTITUTE(E267," ",""),"0",""),"-",""))+LEN(SUBSTITUTE(SUBSTITUTE(SUBSTITUTE(F267," ",""),"0",""),"-",""))</f>
      </c>
      <c r="F262" s="14" t="str">
        <f>IF(UPPER(D263)="X",0,IF((LEN(SUBSTITUTE(SUBSTITUTE(SUBSTITUTE(E263," ",""),"0",""),"-",""))+LEN(SUBSTITUTE(SUBSTITUTE(SUBSTITUTE(F263," ",""),"0",""),"-","")))&gt;(LEN(SUBSTITUTE(SUBSTITUTE(SUBSTITUTE(B263," ",""),"0",""),"-",""))+LEN(SUBSTITUTE(SUBSTITUTE(SUBSTITUTE(C263," ",""),"0",""),"-",""))),1,0))+IF(UPPER(D264)="X",0,IF((LEN(SUBSTITUTE(SUBSTITUTE(SUBSTITUTE(E264," ",""),"0",""),"-",""))+LEN(SUBSTITUTE(SUBSTITUTE(SUBSTITUTE(F264," ",""),"0",""),"-","")))&gt;(LEN(SUBSTITUTE(SUBSTITUTE(SUBSTITUTE(B264," ",""),"0",""),"-",""))+LEN(SUBSTITUTE(SUBSTITUTE(SUBSTITUTE(C264," ",""),"0",""),"-",""))),1,0))+IF(UPPER(D265)="X",0,IF((LEN(SUBSTITUTE(SUBSTITUTE(SUBSTITUTE(E265," ",""),"0",""),"-",""))+LEN(SUBSTITUTE(SUBSTITUTE(SUBSTITUTE(F265," ",""),"0",""),"-","")))&gt;(LEN(SUBSTITUTE(SUBSTITUTE(SUBSTITUTE(B265," ",""),"0",""),"-",""))+LEN(SUBSTITUTE(SUBSTITUTE(SUBSTITUTE(C265," ",""),"0",""),"-",""))),1,0))+IF(UPPER(D266)="X",0,IF((LEN(SUBSTITUTE(SUBSTITUTE(SUBSTITUTE(E266,"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f>
      </c>
      <c r="G262" s="14" t="str">
        <f>'data'!$B$21</f>
      </c>
      <c r="I262" s="14" t="str">
        <f>'data'!$B$69</f>
      </c>
      <c r="J262" s="14" t="str">
        <f>IF(UPPER(L263)="X",0,IF((LEN(SUBSTITUTE(SUBSTITUTE(SUBSTITUTE(J263," ",""),"0",""),"-",""))+LEN(SUBSTITUTE(SUBSTITUTE(SUBSTITUTE(K263," ",""),"0",""),"-","")))&gt;(LEN(SUBSTITUTE(SUBSTITUTE(SUBSTITUTE(M263," ",""),"0",""),"-",""))+LEN(SUBSTITUTE(SUBSTITUTE(SUBSTITUTE(N263," ",""),"0",""),"-",""))),1,0))+IF(UPPER(L264)="X",0,IF((LEN(SUBSTITUTE(SUBSTITUTE(SUBSTITUTE(J264," ",""),"0",""),"-",""))+LEN(SUBSTITUTE(SUBSTITUTE(SUBSTITUTE(K264," ",""),"0",""),"-","")))&gt;(LEN(SUBSTITUTE(SUBSTITUTE(SUBSTITUTE(M264," ",""),"0",""),"-",""))+LEN(SUBSTITUTE(SUBSTITUTE(SUBSTITUTE(N264," ",""),"0",""),"-",""))),1,0))+IF(UPPER(L265)="X",0,IF((LEN(SUBSTITUTE(SUBSTITUTE(SUBSTITUTE(J265," ",""),"0",""),"-",""))+LEN(SUBSTITUTE(SUBSTITUTE(SUBSTITUTE(K265," ",""),"0",""),"-","")))&gt;(LEN(SUBSTITUTE(SUBSTITUTE(SUBSTITUTE(M265," ",""),"0",""),"-",""))+LEN(SUBSTITUTE(SUBSTITUTE(SUBSTITUTE(N265," ",""),"0",""),"-",""))),1,0))+IF(UPPER(L266)="X",0,IF((LEN(SUBSTITUTE(SUBSTITUTE(SUBSTITUTE(J266,"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f>
      </c>
      <c r="K262" s="14" t="str">
        <f>LEN(SUBSTITUTE(SUBSTITUTE(SUBSTITUTE(J263," ",""),"0",""),"-",""))+LEN(SUBSTITUTE(SUBSTITUTE(SUBSTITUTE(K263," ",""),"0",""),"-",""))+LEN(SUBSTITUTE(SUBSTITUTE(SUBSTITUTE(J264," ",""),"0",""),"-",""))+LEN(SUBSTITUTE(SUBSTITUTE(SUBSTITUTE(K264," ",""),"0",""),"-",""))+LEN(SUBSTITUTE(SUBSTITUTE(SUBSTITUTE(J265," ",""),"0",""),"-",""))+LEN(SUBSTITUTE(SUBSTITUTE(SUBSTITUTE(K265," ",""),"0",""),"-",""))+LEN(SUBSTITUTE(SUBSTITUTE(SUBSTITUTE(J266," ",""),"0",""),"-",""))+LEN(SUBSTITUTE(SUBSTITUTE(SUBSTITUTE(K266," ",""),"0",""),"-",""))+LEN(SUBSTITUTE(SUBSTITUTE(SUBSTITUTE(J267," ",""),"0",""),"-",""))+LEN(SUBSTITUTE(SUBSTITUTE(SUBSTITUTE(K267," ",""),"0",""),"-",""))</f>
      </c>
      <c r="L262" s="18"/>
      <c r="M262" s="14" t="str">
        <f>LEN(SUBSTITUTE(SUBSTITUTE(SUBSTITUTE(M263," ",""),"0",""),"-",""))+LEN(SUBSTITUTE(SUBSTITUTE(SUBSTITUTE(N263," ",""),"0",""),"-",""))+LEN(SUBSTITUTE(SUBSTITUTE(SUBSTITUTE(M264," ",""),"0",""),"-",""))+LEN(SUBSTITUTE(SUBSTITUTE(SUBSTITUTE(N264," ",""),"0",""),"-",""))+LEN(SUBSTITUTE(SUBSTITUTE(SUBSTITUTE(M265," ",""),"0",""),"-",""))+LEN(SUBSTITUTE(SUBSTITUTE(SUBSTITUTE(N265," ",""),"0",""),"-",""))+LEN(SUBSTITUTE(SUBSTITUTE(SUBSTITUTE(M266," ",""),"0",""),"-",""))+LEN(SUBSTITUTE(SUBSTITUTE(SUBSTITUTE(N266," ",""),"0",""),"-",""))+LEN(SUBSTITUTE(SUBSTITUTE(SUBSTITUTE(M267," ",""),"0",""),"-",""))+LEN(SUBSTITUTE(SUBSTITUTE(SUBSTITUTE(N267," ",""),"0",""),"-",""))</f>
      </c>
      <c r="N262" s="14" t="str">
        <f>IF(UPPER(L263)="X",0,IF((LEN(SUBSTITUTE(SUBSTITUTE(SUBSTITUTE(M263," ",""),"0",""),"-",""))+LEN(SUBSTITUTE(SUBSTITUTE(SUBSTITUTE(N263," ",""),"0",""),"-","")))&gt;(LEN(SUBSTITUTE(SUBSTITUTE(SUBSTITUTE(J263," ",""),"0",""),"-",""))+LEN(SUBSTITUTE(SUBSTITUTE(SUBSTITUTE(K263," ",""),"0",""),"-",""))),1,0))+IF(UPPER(L264)="X",0,IF((LEN(SUBSTITUTE(SUBSTITUTE(SUBSTITUTE(M264," ",""),"0",""),"-",""))+LEN(SUBSTITUTE(SUBSTITUTE(SUBSTITUTE(N264," ",""),"0",""),"-","")))&gt;(LEN(SUBSTITUTE(SUBSTITUTE(SUBSTITUTE(J264," ",""),"0",""),"-",""))+LEN(SUBSTITUTE(SUBSTITUTE(SUBSTITUTE(K264," ",""),"0",""),"-",""))),1,0))+IF(UPPER(L265)="X",0,IF((LEN(SUBSTITUTE(SUBSTITUTE(SUBSTITUTE(M265," ",""),"0",""),"-",""))+LEN(SUBSTITUTE(SUBSTITUTE(SUBSTITUTE(N265," ",""),"0",""),"-","")))&gt;(LEN(SUBSTITUTE(SUBSTITUTE(SUBSTITUTE(J265," ",""),"0",""),"-",""))+LEN(SUBSTITUTE(SUBSTITUTE(SUBSTITUTE(K265," ",""),"0",""),"-",""))),1,0))+IF(UPPER(L266)="X",0,IF((LEN(SUBSTITUTE(SUBSTITUTE(SUBSTITUTE(M266,"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f>
      </c>
      <c r="O262" s="14" t="str">
        <f>'data'!$B$68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239</v>
      </c>
      <c r="B269" s="14"/>
      <c r="C269" s="14"/>
      <c r="D269" s="14" t="s">
        <v>240</v>
      </c>
      <c r="E269" s="14"/>
      <c r="F269" s="14"/>
      <c r="G269" s="16" t="s">
        <v>241</v>
      </c>
      <c r="I269" s="17" t="s">
        <v>239</v>
      </c>
      <c r="J269" s="14"/>
      <c r="K269" s="14"/>
      <c r="L269" s="14" t="s">
        <v>240</v>
      </c>
      <c r="M269" s="14"/>
      <c r="N269" s="14"/>
      <c r="O269" s="16" t="s">
        <v>241</v>
      </c>
    </row>
    <row r="270">
      <c r="A270" s="14" t="str">
        <f>'data'!$B$23</f>
      </c>
      <c r="B270" s="14" t="str">
        <f>IF(UPPER(D271)="X",0,IF((LEN(SUBSTITUTE(SUBSTITUTE(SUBSTITUTE(B271," ",""),"0",""),"-",""))+LEN(SUBSTITUTE(SUBSTITUTE(SUBSTITUTE(C271," ",""),"0",""),"-","")))&gt;(LEN(SUBSTITUTE(SUBSTITUTE(SUBSTITUTE(E271," ",""),"0",""),"-",""))+LEN(SUBSTITUTE(SUBSTITUTE(SUBSTITUTE(F271," ",""),"0",""),"-",""))),1,0))+IF(UPPER(D272)="X",0,IF((LEN(SUBSTITUTE(SUBSTITUTE(SUBSTITUTE(B272," ",""),"0",""),"-",""))+LEN(SUBSTITUTE(SUBSTITUTE(SUBSTITUTE(C272," ",""),"0",""),"-","")))&gt;(LEN(SUBSTITUTE(SUBSTITUTE(SUBSTITUTE(E272," ",""),"0",""),"-",""))+LEN(SUBSTITUTE(SUBSTITUTE(SUBSTITUTE(F272," ",""),"0",""),"-",""))),1,0))+IF(UPPER(D273)="X",0,IF((LEN(SUBSTITUTE(SUBSTITUTE(SUBSTITUTE(B273,"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f>
      </c>
      <c r="C270" s="14" t="str">
        <f>LEN(SUBSTITUTE(SUBSTITUTE(SUBSTITUTE(B271," ",""),"0",""),"-",""))+LEN(SUBSTITUTE(SUBSTITUTE(SUBSTITUTE(C271," ",""),"0",""),"-",""))+LEN(SUBSTITUTE(SUBSTITUTE(SUBSTITUTE(B272," ",""),"0",""),"-",""))+LEN(SUBSTITUTE(SUBSTITUTE(SUBSTITUTE(C272," ",""),"0",""),"-",""))+LEN(SUBSTITUTE(SUBSTITUTE(SUBSTITUTE(B273," ",""),"0",""),"-",""))+LEN(SUBSTITUTE(SUBSTITUTE(SUBSTITUTE(C273," ",""),"0",""),"-",""))+LEN(SUBSTITUTE(SUBSTITUTE(SUBSTITUTE(B274," ",""),"0",""),"-",""))+LEN(SUBSTITUTE(SUBSTITUTE(SUBSTITUTE(C274," ",""),"0",""),"-",""))+LEN(SUBSTITUTE(SUBSTITUTE(SUBSTITUTE(B275," ",""),"0",""),"-",""))+LEN(SUBSTITUTE(SUBSTITUTE(SUBSTITUTE(C275," ",""),"0",""),"-",""))</f>
      </c>
      <c r="D270" s="18"/>
      <c r="E270" s="14" t="str">
        <f>LEN(SUBSTITUTE(SUBSTITUTE(SUBSTITUTE(E271," ",""),"0",""),"-",""))+LEN(SUBSTITUTE(SUBSTITUTE(SUBSTITUTE(F271," ",""),"0",""),"-",""))+LEN(SUBSTITUTE(SUBSTITUTE(SUBSTITUTE(E272," ",""),"0",""),"-",""))+LEN(SUBSTITUTE(SUBSTITUTE(SUBSTITUTE(F272," ",""),"0",""),"-",""))+LEN(SUBSTITUTE(SUBSTITUTE(SUBSTITUTE(E273," ",""),"0",""),"-",""))+LEN(SUBSTITUTE(SUBSTITUTE(SUBSTITUTE(F273," ",""),"0",""),"-",""))+LEN(SUBSTITUTE(SUBSTITUTE(SUBSTITUTE(E274," ",""),"0",""),"-",""))+LEN(SUBSTITUTE(SUBSTITUTE(SUBSTITUTE(F274," ",""),"0",""),"-",""))+LEN(SUBSTITUTE(SUBSTITUTE(SUBSTITUTE(E275," ",""),"0",""),"-",""))+LEN(SUBSTITUTE(SUBSTITUTE(SUBSTITUTE(F275," ",""),"0",""),"-",""))</f>
      </c>
      <c r="F270" s="14" t="str">
        <f>IF(UPPER(D271)="X",0,IF((LEN(SUBSTITUTE(SUBSTITUTE(SUBSTITUTE(E271," ",""),"0",""),"-",""))+LEN(SUBSTITUTE(SUBSTITUTE(SUBSTITUTE(F271," ",""),"0",""),"-","")))&gt;(LEN(SUBSTITUTE(SUBSTITUTE(SUBSTITUTE(B271," ",""),"0",""),"-",""))+LEN(SUBSTITUTE(SUBSTITUTE(SUBSTITUTE(C271," ",""),"0",""),"-",""))),1,0))+IF(UPPER(D272)="X",0,IF((LEN(SUBSTITUTE(SUBSTITUTE(SUBSTITUTE(E272," ",""),"0",""),"-",""))+LEN(SUBSTITUTE(SUBSTITUTE(SUBSTITUTE(F272," ",""),"0",""),"-","")))&gt;(LEN(SUBSTITUTE(SUBSTITUTE(SUBSTITUTE(B272," ",""),"0",""),"-",""))+LEN(SUBSTITUTE(SUBSTITUTE(SUBSTITUTE(C272," ",""),"0",""),"-",""))),1,0))+IF(UPPER(D273)="X",0,IF((LEN(SUBSTITUTE(SUBSTITUTE(SUBSTITUTE(E273,"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f>
      </c>
      <c r="G270" s="14" t="str">
        <f>'data'!$B$21</f>
      </c>
      <c r="I270" s="14" t="str">
        <f>'data'!$B$70</f>
      </c>
      <c r="J270" s="14" t="str">
        <f>IF(UPPER(L271)="X",0,IF((LEN(SUBSTITUTE(SUBSTITUTE(SUBSTITUTE(J271," ",""),"0",""),"-",""))+LEN(SUBSTITUTE(SUBSTITUTE(SUBSTITUTE(K271," ",""),"0",""),"-","")))&gt;(LEN(SUBSTITUTE(SUBSTITUTE(SUBSTITUTE(M271," ",""),"0",""),"-",""))+LEN(SUBSTITUTE(SUBSTITUTE(SUBSTITUTE(N271," ",""),"0",""),"-",""))),1,0))+IF(UPPER(L272)="X",0,IF((LEN(SUBSTITUTE(SUBSTITUTE(SUBSTITUTE(J272," ",""),"0",""),"-",""))+LEN(SUBSTITUTE(SUBSTITUTE(SUBSTITUTE(K272," ",""),"0",""),"-","")))&gt;(LEN(SUBSTITUTE(SUBSTITUTE(SUBSTITUTE(M272," ",""),"0",""),"-",""))+LEN(SUBSTITUTE(SUBSTITUTE(SUBSTITUTE(N272," ",""),"0",""),"-",""))),1,0))+IF(UPPER(L273)="X",0,IF((LEN(SUBSTITUTE(SUBSTITUTE(SUBSTITUTE(J273,"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f>
      </c>
      <c r="K270" s="14" t="str">
        <f>LEN(SUBSTITUTE(SUBSTITUTE(SUBSTITUTE(J271," ",""),"0",""),"-",""))+LEN(SUBSTITUTE(SUBSTITUTE(SUBSTITUTE(K271," ",""),"0",""),"-",""))+LEN(SUBSTITUTE(SUBSTITUTE(SUBSTITUTE(J272," ",""),"0",""),"-",""))+LEN(SUBSTITUTE(SUBSTITUTE(SUBSTITUTE(K272," ",""),"0",""),"-",""))+LEN(SUBSTITUTE(SUBSTITUTE(SUBSTITUTE(J273," ",""),"0",""),"-",""))+LEN(SUBSTITUTE(SUBSTITUTE(SUBSTITUTE(K273," ",""),"0",""),"-",""))+LEN(SUBSTITUTE(SUBSTITUTE(SUBSTITUTE(J274," ",""),"0",""),"-",""))+LEN(SUBSTITUTE(SUBSTITUTE(SUBSTITUTE(K274," ",""),"0",""),"-",""))+LEN(SUBSTITUTE(SUBSTITUTE(SUBSTITUTE(J275," ",""),"0",""),"-",""))+LEN(SUBSTITUTE(SUBSTITUTE(SUBSTITUTE(K275," ",""),"0",""),"-",""))</f>
      </c>
      <c r="L270" s="18"/>
      <c r="M270" s="14" t="str">
        <f>LEN(SUBSTITUTE(SUBSTITUTE(SUBSTITUTE(M271," ",""),"0",""),"-",""))+LEN(SUBSTITUTE(SUBSTITUTE(SUBSTITUTE(N271," ",""),"0",""),"-",""))+LEN(SUBSTITUTE(SUBSTITUTE(SUBSTITUTE(M272," ",""),"0",""),"-",""))+LEN(SUBSTITUTE(SUBSTITUTE(SUBSTITUTE(N272," ",""),"0",""),"-",""))+LEN(SUBSTITUTE(SUBSTITUTE(SUBSTITUTE(M273," ",""),"0",""),"-",""))+LEN(SUBSTITUTE(SUBSTITUTE(SUBSTITUTE(N273," ",""),"0",""),"-",""))+LEN(SUBSTITUTE(SUBSTITUTE(SUBSTITUTE(M274," ",""),"0",""),"-",""))+LEN(SUBSTITUTE(SUBSTITUTE(SUBSTITUTE(N274," ",""),"0",""),"-",""))+LEN(SUBSTITUTE(SUBSTITUTE(SUBSTITUTE(M275," ",""),"0",""),"-",""))+LEN(SUBSTITUTE(SUBSTITUTE(SUBSTITUTE(N275," ",""),"0",""),"-",""))</f>
      </c>
      <c r="N270" s="14" t="str">
        <f>IF(UPPER(L271)="X",0,IF((LEN(SUBSTITUTE(SUBSTITUTE(SUBSTITUTE(M271," ",""),"0",""),"-",""))+LEN(SUBSTITUTE(SUBSTITUTE(SUBSTITUTE(N271," ",""),"0",""),"-","")))&gt;(LEN(SUBSTITUTE(SUBSTITUTE(SUBSTITUTE(J271," ",""),"0",""),"-",""))+LEN(SUBSTITUTE(SUBSTITUTE(SUBSTITUTE(K271," ",""),"0",""),"-",""))),1,0))+IF(UPPER(L272)="X",0,IF((LEN(SUBSTITUTE(SUBSTITUTE(SUBSTITUTE(M272," ",""),"0",""),"-",""))+LEN(SUBSTITUTE(SUBSTITUTE(SUBSTITUTE(N272," ",""),"0",""),"-","")))&gt;(LEN(SUBSTITUTE(SUBSTITUTE(SUBSTITUTE(J272," ",""),"0",""),"-",""))+LEN(SUBSTITUTE(SUBSTITUTE(SUBSTITUTE(K272," ",""),"0",""),"-",""))),1,0))+IF(UPPER(L273)="X",0,IF((LEN(SUBSTITUTE(SUBSTITUTE(SUBSTITUTE(M273,"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f>
      </c>
      <c r="O270" s="14" t="str">
        <f>'data'!$B$68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239</v>
      </c>
      <c r="B277" s="14"/>
      <c r="C277" s="14"/>
      <c r="D277" s="14" t="s">
        <v>240</v>
      </c>
      <c r="E277" s="14"/>
      <c r="F277" s="14"/>
      <c r="G277" s="16" t="s">
        <v>241</v>
      </c>
      <c r="I277" s="17" t="s">
        <v>239</v>
      </c>
      <c r="J277" s="14"/>
      <c r="K277" s="14"/>
      <c r="L277" s="14" t="s">
        <v>240</v>
      </c>
      <c r="M277" s="14"/>
      <c r="N277" s="14"/>
      <c r="O277" s="16" t="s">
        <v>241</v>
      </c>
    </row>
    <row r="278">
      <c r="A278" s="14" t="str">
        <f>'data'!$B$23</f>
      </c>
      <c r="B278" s="14" t="str">
        <f>IF(UPPER(D279)="X",0,IF((LEN(SUBSTITUTE(SUBSTITUTE(SUBSTITUTE(B279," ",""),"0",""),"-",""))+LEN(SUBSTITUTE(SUBSTITUTE(SUBSTITUTE(C279," ",""),"0",""),"-","")))&gt;(LEN(SUBSTITUTE(SUBSTITUTE(SUBSTITUTE(E279," ",""),"0",""),"-",""))+LEN(SUBSTITUTE(SUBSTITUTE(SUBSTITUTE(F279," ",""),"0",""),"-",""))),1,0))+IF(UPPER(D280)="X",0,IF((LEN(SUBSTITUTE(SUBSTITUTE(SUBSTITUTE(B280," ",""),"0",""),"-",""))+LEN(SUBSTITUTE(SUBSTITUTE(SUBSTITUTE(C280," ",""),"0",""),"-","")))&gt;(LEN(SUBSTITUTE(SUBSTITUTE(SUBSTITUTE(E280," ",""),"0",""),"-",""))+LEN(SUBSTITUTE(SUBSTITUTE(SUBSTITUTE(F280," ",""),"0",""),"-",""))),1,0))+IF(UPPER(D281)="X",0,IF((LEN(SUBSTITUTE(SUBSTITUTE(SUBSTITUTE(B281,"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f>
      </c>
      <c r="C278" s="14" t="str">
        <f>LEN(SUBSTITUTE(SUBSTITUTE(SUBSTITUTE(B279," ",""),"0",""),"-",""))+LEN(SUBSTITUTE(SUBSTITUTE(SUBSTITUTE(C279," ",""),"0",""),"-",""))+LEN(SUBSTITUTE(SUBSTITUTE(SUBSTITUTE(B280," ",""),"0",""),"-",""))+LEN(SUBSTITUTE(SUBSTITUTE(SUBSTITUTE(C280," ",""),"0",""),"-",""))+LEN(SUBSTITUTE(SUBSTITUTE(SUBSTITUTE(B281," ",""),"0",""),"-",""))+LEN(SUBSTITUTE(SUBSTITUTE(SUBSTITUTE(C281," ",""),"0",""),"-",""))+LEN(SUBSTITUTE(SUBSTITUTE(SUBSTITUTE(B282," ",""),"0",""),"-",""))+LEN(SUBSTITUTE(SUBSTITUTE(SUBSTITUTE(C282," ",""),"0",""),"-",""))+LEN(SUBSTITUTE(SUBSTITUTE(SUBSTITUTE(B283," ",""),"0",""),"-",""))+LEN(SUBSTITUTE(SUBSTITUTE(SUBSTITUTE(C283," ",""),"0",""),"-",""))</f>
      </c>
      <c r="D278" s="18"/>
      <c r="E278" s="14" t="str">
        <f>LEN(SUBSTITUTE(SUBSTITUTE(SUBSTITUTE(E279," ",""),"0",""),"-",""))+LEN(SUBSTITUTE(SUBSTITUTE(SUBSTITUTE(F279," ",""),"0",""),"-",""))+LEN(SUBSTITUTE(SUBSTITUTE(SUBSTITUTE(E280," ",""),"0",""),"-",""))+LEN(SUBSTITUTE(SUBSTITUTE(SUBSTITUTE(F280," ",""),"0",""),"-",""))+LEN(SUBSTITUTE(SUBSTITUTE(SUBSTITUTE(E281," ",""),"0",""),"-",""))+LEN(SUBSTITUTE(SUBSTITUTE(SUBSTITUTE(F281," ",""),"0",""),"-",""))+LEN(SUBSTITUTE(SUBSTITUTE(SUBSTITUTE(E282," ",""),"0",""),"-",""))+LEN(SUBSTITUTE(SUBSTITUTE(SUBSTITUTE(F282," ",""),"0",""),"-",""))+LEN(SUBSTITUTE(SUBSTITUTE(SUBSTITUTE(E283," ",""),"0",""),"-",""))+LEN(SUBSTITUTE(SUBSTITUTE(SUBSTITUTE(F283," ",""),"0",""),"-",""))</f>
      </c>
      <c r="F278" s="14" t="str">
        <f>IF(UPPER(D279)="X",0,IF((LEN(SUBSTITUTE(SUBSTITUTE(SUBSTITUTE(E279," ",""),"0",""),"-",""))+LEN(SUBSTITUTE(SUBSTITUTE(SUBSTITUTE(F279," ",""),"0",""),"-","")))&gt;(LEN(SUBSTITUTE(SUBSTITUTE(SUBSTITUTE(B279," ",""),"0",""),"-",""))+LEN(SUBSTITUTE(SUBSTITUTE(SUBSTITUTE(C279," ",""),"0",""),"-",""))),1,0))+IF(UPPER(D280)="X",0,IF((LEN(SUBSTITUTE(SUBSTITUTE(SUBSTITUTE(E280," ",""),"0",""),"-",""))+LEN(SUBSTITUTE(SUBSTITUTE(SUBSTITUTE(F280," ",""),"0",""),"-","")))&gt;(LEN(SUBSTITUTE(SUBSTITUTE(SUBSTITUTE(B280," ",""),"0",""),"-",""))+LEN(SUBSTITUTE(SUBSTITUTE(SUBSTITUTE(C280," ",""),"0",""),"-",""))),1,0))+IF(UPPER(D281)="X",0,IF((LEN(SUBSTITUTE(SUBSTITUTE(SUBSTITUTE(E281,"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f>
      </c>
      <c r="G278" s="14" t="str">
        <f>'data'!$B$22</f>
      </c>
      <c r="I278" s="14" t="str">
        <f>'data'!$B$70</f>
      </c>
      <c r="J278" s="14" t="str">
        <f>IF(UPPER(L279)="X",0,IF((LEN(SUBSTITUTE(SUBSTITUTE(SUBSTITUTE(J279," ",""),"0",""),"-",""))+LEN(SUBSTITUTE(SUBSTITUTE(SUBSTITUTE(K279," ",""),"0",""),"-","")))&gt;(LEN(SUBSTITUTE(SUBSTITUTE(SUBSTITUTE(M279," ",""),"0",""),"-",""))+LEN(SUBSTITUTE(SUBSTITUTE(SUBSTITUTE(N279," ",""),"0",""),"-",""))),1,0))+IF(UPPER(L280)="X",0,IF((LEN(SUBSTITUTE(SUBSTITUTE(SUBSTITUTE(J280," ",""),"0",""),"-",""))+LEN(SUBSTITUTE(SUBSTITUTE(SUBSTITUTE(K280," ",""),"0",""),"-","")))&gt;(LEN(SUBSTITUTE(SUBSTITUTE(SUBSTITUTE(M280," ",""),"0",""),"-",""))+LEN(SUBSTITUTE(SUBSTITUTE(SUBSTITUTE(N280," ",""),"0",""),"-",""))),1,0))+IF(UPPER(L281)="X",0,IF((LEN(SUBSTITUTE(SUBSTITUTE(SUBSTITUTE(J281,"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f>
      </c>
      <c r="K278" s="14" t="str">
        <f>LEN(SUBSTITUTE(SUBSTITUTE(SUBSTITUTE(J279," ",""),"0",""),"-",""))+LEN(SUBSTITUTE(SUBSTITUTE(SUBSTITUTE(K279," ",""),"0",""),"-",""))+LEN(SUBSTITUTE(SUBSTITUTE(SUBSTITUTE(J280," ",""),"0",""),"-",""))+LEN(SUBSTITUTE(SUBSTITUTE(SUBSTITUTE(K280," ",""),"0",""),"-",""))+LEN(SUBSTITUTE(SUBSTITUTE(SUBSTITUTE(J281," ",""),"0",""),"-",""))+LEN(SUBSTITUTE(SUBSTITUTE(SUBSTITUTE(K281," ",""),"0",""),"-",""))+LEN(SUBSTITUTE(SUBSTITUTE(SUBSTITUTE(J282," ",""),"0",""),"-",""))+LEN(SUBSTITUTE(SUBSTITUTE(SUBSTITUTE(K282," ",""),"0",""),"-",""))+LEN(SUBSTITUTE(SUBSTITUTE(SUBSTITUTE(J283," ",""),"0",""),"-",""))+LEN(SUBSTITUTE(SUBSTITUTE(SUBSTITUTE(K283," ",""),"0",""),"-",""))</f>
      </c>
      <c r="L278" s="18"/>
      <c r="M278" s="14" t="str">
        <f>LEN(SUBSTITUTE(SUBSTITUTE(SUBSTITUTE(M279," ",""),"0",""),"-",""))+LEN(SUBSTITUTE(SUBSTITUTE(SUBSTITUTE(N279," ",""),"0",""),"-",""))+LEN(SUBSTITUTE(SUBSTITUTE(SUBSTITUTE(M280," ",""),"0",""),"-",""))+LEN(SUBSTITUTE(SUBSTITUTE(SUBSTITUTE(N280," ",""),"0",""),"-",""))+LEN(SUBSTITUTE(SUBSTITUTE(SUBSTITUTE(M281," ",""),"0",""),"-",""))+LEN(SUBSTITUTE(SUBSTITUTE(SUBSTITUTE(N281," ",""),"0",""),"-",""))+LEN(SUBSTITUTE(SUBSTITUTE(SUBSTITUTE(M282," ",""),"0",""),"-",""))+LEN(SUBSTITUTE(SUBSTITUTE(SUBSTITUTE(N282," ",""),"0",""),"-",""))+LEN(SUBSTITUTE(SUBSTITUTE(SUBSTITUTE(M283," ",""),"0",""),"-",""))+LEN(SUBSTITUTE(SUBSTITUTE(SUBSTITUTE(N283," ",""),"0",""),"-",""))</f>
      </c>
      <c r="N278" s="14" t="str">
        <f>IF(UPPER(L279)="X",0,IF((LEN(SUBSTITUTE(SUBSTITUTE(SUBSTITUTE(M279," ",""),"0",""),"-",""))+LEN(SUBSTITUTE(SUBSTITUTE(SUBSTITUTE(N279," ",""),"0",""),"-","")))&gt;(LEN(SUBSTITUTE(SUBSTITUTE(SUBSTITUTE(J279," ",""),"0",""),"-",""))+LEN(SUBSTITUTE(SUBSTITUTE(SUBSTITUTE(K279," ",""),"0",""),"-",""))),1,0))+IF(UPPER(L280)="X",0,IF((LEN(SUBSTITUTE(SUBSTITUTE(SUBSTITUTE(M280," ",""),"0",""),"-",""))+LEN(SUBSTITUTE(SUBSTITUTE(SUBSTITUTE(N280," ",""),"0",""),"-","")))&gt;(LEN(SUBSTITUTE(SUBSTITUTE(SUBSTITUTE(J280," ",""),"0",""),"-",""))+LEN(SUBSTITUTE(SUBSTITUTE(SUBSTITUTE(K280," ",""),"0",""),"-",""))),1,0))+IF(UPPER(L281)="X",0,IF((LEN(SUBSTITUTE(SUBSTITUTE(SUBSTITUTE(M281,"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f>
      </c>
      <c r="O278" s="14" t="str">
        <f>'data'!$B$69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242</v>
      </c>
      <c r="B286" s="13" t="s">
        <v>243</v>
      </c>
      <c r="C286" s="13" t="s">
        <v>244</v>
      </c>
      <c r="D286" s="13" t="s">
        <v>245</v>
      </c>
      <c r="E286" s="13"/>
      <c r="F286" s="13"/>
      <c r="G286" s="13" t="s">
        <v>246</v>
      </c>
      <c r="I286" s="13" t="s">
        <v>242</v>
      </c>
      <c r="J286" s="13" t="s">
        <v>243</v>
      </c>
      <c r="K286" s="13" t="s">
        <v>244</v>
      </c>
      <c r="L286" s="13" t="s">
        <v>245</v>
      </c>
      <c r="M286" s="13"/>
      <c r="N286" s="13"/>
      <c r="O286" s="13" t="s">
        <v>246</v>
      </c>
    </row>
    <row r="287">
      <c r="A287" s="14" t="str">
        <f>'data'!$B$21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247</v>
      </c>
      <c r="C291" s="13" t="s">
        <v>248</v>
      </c>
      <c r="D291" s="13" t="s">
        <v>249</v>
      </c>
      <c r="E291" s="13" t="s">
        <v>250</v>
      </c>
      <c r="F291" s="13" t="s">
        <v>251</v>
      </c>
      <c r="I291" s="13"/>
      <c r="J291" s="13" t="s">
        <v>247</v>
      </c>
      <c r="K291" s="13" t="s">
        <v>248</v>
      </c>
      <c r="L291" s="13" t="s">
        <v>249</v>
      </c>
      <c r="M291" s="13" t="s">
        <v>250</v>
      </c>
      <c r="N291" s="13" t="s">
        <v>251</v>
      </c>
    </row>
    <row r="292">
      <c r="A292" s="14" t="str">
        <f>'data'!$B$21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252</v>
      </c>
      <c r="N297" s="13"/>
      <c r="O297" s="13" t="s">
        <v>252</v>
      </c>
    </row>
    <row r="298">
      <c r="F298" t="s">
        <v>253</v>
      </c>
      <c r="G298" s="19" t="str">
        <f>IFERROR(INDEX($A$287:$A$294, MATCH(1, $G$287:$G$294, 0)), "-")</f>
      </c>
      <c r="N298" t="s">
        <v>253</v>
      </c>
      <c r="O298" s="19" t="str">
        <f>IFERROR(INDEX($I$287:$I$294, MATCH(1, $O$287:$O$294, 0)), "-")</f>
      </c>
    </row>
    <row r="299">
      <c r="F299" t="s">
        <v>254</v>
      </c>
      <c r="G299" s="19" t="str">
        <f>IFERROR(INDEX($A$287:$A$294, MATCH(2, $G$287:$G$294, 0)), "-")</f>
      </c>
      <c r="N299" t="s">
        <v>254</v>
      </c>
      <c r="O299" s="19" t="str">
        <f>IFERROR(INDEX($I$287:$I$294, MATCH(2, $O$287:$O$294, 0)), "-")</f>
      </c>
    </row>
    <row r="300">
      <c r="F300" t="s">
        <v>255</v>
      </c>
      <c r="G300" s="19" t="str">
        <f>IFERROR(INDEX($A$287:$A$294, MATCH(3, $G$287:$G$294, 0)), "-")</f>
      </c>
      <c r="N300" t="s">
        <v>255</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239</v>
      </c>
      <c r="B304" s="14"/>
      <c r="C304" s="14"/>
      <c r="D304" s="14" t="s">
        <v>240</v>
      </c>
      <c r="E304" s="14"/>
      <c r="F304" s="14"/>
      <c r="G304" s="16" t="s">
        <v>241</v>
      </c>
      <c r="I304" s="17" t="s">
        <v>239</v>
      </c>
      <c r="J304" s="14"/>
      <c r="K304" s="14"/>
      <c r="L304" s="14" t="s">
        <v>240</v>
      </c>
      <c r="M304" s="14"/>
      <c r="N304" s="14"/>
      <c r="O304" s="16" t="s">
        <v>241</v>
      </c>
    </row>
    <row r="305">
      <c r="A305" s="14" t="str">
        <f>'data'!$B$25</f>
      </c>
      <c r="B305" s="14" t="str">
        <f>IF(UPPER(D306)="X",0,IF((LEN(SUBSTITUTE(SUBSTITUTE(SUBSTITUTE(B306," ",""),"0",""),"-",""))+LEN(SUBSTITUTE(SUBSTITUTE(SUBSTITUTE(C306," ",""),"0",""),"-","")))&gt;(LEN(SUBSTITUTE(SUBSTITUTE(SUBSTITUTE(E306," ",""),"0",""),"-",""))+LEN(SUBSTITUTE(SUBSTITUTE(SUBSTITUTE(F306," ",""),"0",""),"-",""))),1,0))+IF(UPPER(D307)="X",0,IF((LEN(SUBSTITUTE(SUBSTITUTE(SUBSTITUTE(B307," ",""),"0",""),"-",""))+LEN(SUBSTITUTE(SUBSTITUTE(SUBSTITUTE(C307," ",""),"0",""),"-","")))&gt;(LEN(SUBSTITUTE(SUBSTITUTE(SUBSTITUTE(E307," ",""),"0",""),"-",""))+LEN(SUBSTITUTE(SUBSTITUTE(SUBSTITUTE(F307," ",""),"0",""),"-",""))),1,0))+IF(UPPER(D308)="X",0,IF((LEN(SUBSTITUTE(SUBSTITUTE(SUBSTITUTE(B308," ",""),"0",""),"-",""))+LEN(SUBSTITUTE(SUBSTITUTE(SUBSTITUTE(C308," ",""),"0",""),"-","")))&gt;(LEN(SUBSTITUTE(SUBSTITUTE(SUBSTITUTE(E308," ",""),"0",""),"-",""))+LEN(SUBSTITUTE(SUBSTITUTE(SUBSTITUTE(F308," ",""),"0",""),"-",""))),1,0))+IF(UPPER(D309)="X",0,IF((LEN(SUBSTITUTE(SUBSTITUTE(SUBSTITUTE(B309," ",""),"0",""),"-",""))+LEN(SUBSTITUTE(SUBSTITUTE(SUBSTITUTE(C309," ",""),"0",""),"-","")))&gt;(LEN(SUBSTITUTE(SUBSTITUTE(SUBSTITUTE(E309," ",""),"0",""),"-",""))+LEN(SUBSTITUTE(SUBSTITUTE(SUBSTITUTE(F309," ",""),"0",""),"-",""))),1,0))+IF(UPPER(D310)="X",0,IF((LEN(SUBSTITUTE(SUBSTITUTE(SUBSTITUTE(B310," ",""),"0",""),"-",""))+LEN(SUBSTITUTE(SUBSTITUTE(SUBSTITUTE(C310," ",""),"0",""),"-","")))&gt;(LEN(SUBSTITUTE(SUBSTITUTE(SUBSTITUTE(E310," ",""),"0",""),"-",""))+LEN(SUBSTITUTE(SUBSTITUTE(SUBSTITUTE(F310," ",""),"0",""),"-",""))),1,0))</f>
      </c>
      <c r="C305" s="14" t="str">
        <f>LEN(SUBSTITUTE(SUBSTITUTE(SUBSTITUTE(B306," ",""),"0",""),"-",""))+LEN(SUBSTITUTE(SUBSTITUTE(SUBSTITUTE(C306," ",""),"0",""),"-",""))+LEN(SUBSTITUTE(SUBSTITUTE(SUBSTITUTE(B307," ",""),"0",""),"-",""))+LEN(SUBSTITUTE(SUBSTITUTE(SUBSTITUTE(C307," ",""),"0",""),"-",""))+LEN(SUBSTITUTE(SUBSTITUTE(SUBSTITUTE(B308," ",""),"0",""),"-",""))+LEN(SUBSTITUTE(SUBSTITUTE(SUBSTITUTE(C308," ",""),"0",""),"-",""))+LEN(SUBSTITUTE(SUBSTITUTE(SUBSTITUTE(B309," ",""),"0",""),"-",""))+LEN(SUBSTITUTE(SUBSTITUTE(SUBSTITUTE(C309," ",""),"0",""),"-",""))+LEN(SUBSTITUTE(SUBSTITUTE(SUBSTITUTE(B310," ",""),"0",""),"-",""))+LEN(SUBSTITUTE(SUBSTITUTE(SUBSTITUTE(C310," ",""),"0",""),"-",""))</f>
      </c>
      <c r="D305" s="18"/>
      <c r="E305" s="14" t="str">
        <f>LEN(SUBSTITUTE(SUBSTITUTE(SUBSTITUTE(E306," ",""),"0",""),"-",""))+LEN(SUBSTITUTE(SUBSTITUTE(SUBSTITUTE(F306," ",""),"0",""),"-",""))+LEN(SUBSTITUTE(SUBSTITUTE(SUBSTITUTE(E307," ",""),"0",""),"-",""))+LEN(SUBSTITUTE(SUBSTITUTE(SUBSTITUTE(F307," ",""),"0",""),"-",""))+LEN(SUBSTITUTE(SUBSTITUTE(SUBSTITUTE(E308," ",""),"0",""),"-",""))+LEN(SUBSTITUTE(SUBSTITUTE(SUBSTITUTE(F308," ",""),"0",""),"-",""))+LEN(SUBSTITUTE(SUBSTITUTE(SUBSTITUTE(E309," ",""),"0",""),"-",""))+LEN(SUBSTITUTE(SUBSTITUTE(SUBSTITUTE(F309," ",""),"0",""),"-",""))+LEN(SUBSTITUTE(SUBSTITUTE(SUBSTITUTE(E310," ",""),"0",""),"-",""))+LEN(SUBSTITUTE(SUBSTITUTE(SUBSTITUTE(F310," ",""),"0",""),"-",""))</f>
      </c>
      <c r="F305" s="14" t="str">
        <f>IF(UPPER(D306)="X",0,IF((LEN(SUBSTITUTE(SUBSTITUTE(SUBSTITUTE(E306," ",""),"0",""),"-",""))+LEN(SUBSTITUTE(SUBSTITUTE(SUBSTITUTE(F306," ",""),"0",""),"-","")))&gt;(LEN(SUBSTITUTE(SUBSTITUTE(SUBSTITUTE(B306," ",""),"0",""),"-",""))+LEN(SUBSTITUTE(SUBSTITUTE(SUBSTITUTE(C306," ",""),"0",""),"-",""))),1,0))+IF(UPPER(D307)="X",0,IF((LEN(SUBSTITUTE(SUBSTITUTE(SUBSTITUTE(E307," ",""),"0",""),"-",""))+LEN(SUBSTITUTE(SUBSTITUTE(SUBSTITUTE(F307," ",""),"0",""),"-","")))&gt;(LEN(SUBSTITUTE(SUBSTITUTE(SUBSTITUTE(B307," ",""),"0",""),"-",""))+LEN(SUBSTITUTE(SUBSTITUTE(SUBSTITUTE(C307," ",""),"0",""),"-",""))),1,0))+IF(UPPER(D308)="X",0,IF((LEN(SUBSTITUTE(SUBSTITUTE(SUBSTITUTE(E308," ",""),"0",""),"-",""))+LEN(SUBSTITUTE(SUBSTITUTE(SUBSTITUTE(F308," ",""),"0",""),"-","")))&gt;(LEN(SUBSTITUTE(SUBSTITUTE(SUBSTITUTE(B308," ",""),"0",""),"-",""))+LEN(SUBSTITUTE(SUBSTITUTE(SUBSTITUTE(C308," ",""),"0",""),"-",""))),1,0))+IF(UPPER(D309)="X",0,IF((LEN(SUBSTITUTE(SUBSTITUTE(SUBSTITUTE(E309," ",""),"0",""),"-",""))+LEN(SUBSTITUTE(SUBSTITUTE(SUBSTITUTE(F309," ",""),"0",""),"-","")))&gt;(LEN(SUBSTITUTE(SUBSTITUTE(SUBSTITUTE(B309," ",""),"0",""),"-",""))+LEN(SUBSTITUTE(SUBSTITUTE(SUBSTITUTE(C309," ",""),"0",""),"-",""))),1,0))+IF(UPPER(D310)="X",0,IF((LEN(SUBSTITUTE(SUBSTITUTE(SUBSTITUTE(E310," ",""),"0",""),"-",""))+LEN(SUBSTITUTE(SUBSTITUTE(SUBSTITUTE(F310," ",""),"0",""),"-","")))&gt;(LEN(SUBSTITUTE(SUBSTITUTE(SUBSTITUTE(B310," ",""),"0",""),"-",""))+LEN(SUBSTITUTE(SUBSTITUTE(SUBSTITUTE(C310," ",""),"0",""),"-",""))),1,0))</f>
      </c>
      <c r="G305" s="14" t="str">
        <f>'data'!$B$24</f>
      </c>
      <c r="I305" s="14" t="str">
        <f>'data'!$B$72</f>
      </c>
      <c r="J305" s="14" t="str">
        <f>IF(UPPER(L306)="X",0,IF((LEN(SUBSTITUTE(SUBSTITUTE(SUBSTITUTE(J306," ",""),"0",""),"-",""))+LEN(SUBSTITUTE(SUBSTITUTE(SUBSTITUTE(K306," ",""),"0",""),"-","")))&gt;(LEN(SUBSTITUTE(SUBSTITUTE(SUBSTITUTE(M306," ",""),"0",""),"-",""))+LEN(SUBSTITUTE(SUBSTITUTE(SUBSTITUTE(N306," ",""),"0",""),"-",""))),1,0))+IF(UPPER(L307)="X",0,IF((LEN(SUBSTITUTE(SUBSTITUTE(SUBSTITUTE(J307," ",""),"0",""),"-",""))+LEN(SUBSTITUTE(SUBSTITUTE(SUBSTITUTE(K307," ",""),"0",""),"-","")))&gt;(LEN(SUBSTITUTE(SUBSTITUTE(SUBSTITUTE(M307," ",""),"0",""),"-",""))+LEN(SUBSTITUTE(SUBSTITUTE(SUBSTITUTE(N307," ",""),"0",""),"-",""))),1,0))+IF(UPPER(L308)="X",0,IF((LEN(SUBSTITUTE(SUBSTITUTE(SUBSTITUTE(J308," ",""),"0",""),"-",""))+LEN(SUBSTITUTE(SUBSTITUTE(SUBSTITUTE(K308," ",""),"0",""),"-","")))&gt;(LEN(SUBSTITUTE(SUBSTITUTE(SUBSTITUTE(M308," ",""),"0",""),"-",""))+LEN(SUBSTITUTE(SUBSTITUTE(SUBSTITUTE(N308," ",""),"0",""),"-",""))),1,0))+IF(UPPER(L309)="X",0,IF((LEN(SUBSTITUTE(SUBSTITUTE(SUBSTITUTE(J309," ",""),"0",""),"-",""))+LEN(SUBSTITUTE(SUBSTITUTE(SUBSTITUTE(K309," ",""),"0",""),"-","")))&gt;(LEN(SUBSTITUTE(SUBSTITUTE(SUBSTITUTE(M309," ",""),"0",""),"-",""))+LEN(SUBSTITUTE(SUBSTITUTE(SUBSTITUTE(N309," ",""),"0",""),"-",""))),1,0))+IF(UPPER(L310)="X",0,IF((LEN(SUBSTITUTE(SUBSTITUTE(SUBSTITUTE(J310," ",""),"0",""),"-",""))+LEN(SUBSTITUTE(SUBSTITUTE(SUBSTITUTE(K310," ",""),"0",""),"-","")))&gt;(LEN(SUBSTITUTE(SUBSTITUTE(SUBSTITUTE(M310," ",""),"0",""),"-",""))+LEN(SUBSTITUTE(SUBSTITUTE(SUBSTITUTE(N310," ",""),"0",""),"-",""))),1,0))</f>
      </c>
      <c r="K305" s="14" t="str">
        <f>LEN(SUBSTITUTE(SUBSTITUTE(SUBSTITUTE(J306," ",""),"0",""),"-",""))+LEN(SUBSTITUTE(SUBSTITUTE(SUBSTITUTE(K306," ",""),"0",""),"-",""))+LEN(SUBSTITUTE(SUBSTITUTE(SUBSTITUTE(J307," ",""),"0",""),"-",""))+LEN(SUBSTITUTE(SUBSTITUTE(SUBSTITUTE(K307," ",""),"0",""),"-",""))+LEN(SUBSTITUTE(SUBSTITUTE(SUBSTITUTE(J308," ",""),"0",""),"-",""))+LEN(SUBSTITUTE(SUBSTITUTE(SUBSTITUTE(K308," ",""),"0",""),"-",""))+LEN(SUBSTITUTE(SUBSTITUTE(SUBSTITUTE(J309," ",""),"0",""),"-",""))+LEN(SUBSTITUTE(SUBSTITUTE(SUBSTITUTE(K309," ",""),"0",""),"-",""))+LEN(SUBSTITUTE(SUBSTITUTE(SUBSTITUTE(J310," ",""),"0",""),"-",""))+LEN(SUBSTITUTE(SUBSTITUTE(SUBSTITUTE(K310," ",""),"0",""),"-",""))</f>
      </c>
      <c r="L305" s="18"/>
      <c r="M305" s="14" t="str">
        <f>LEN(SUBSTITUTE(SUBSTITUTE(SUBSTITUTE(M306," ",""),"0",""),"-",""))+LEN(SUBSTITUTE(SUBSTITUTE(SUBSTITUTE(N306," ",""),"0",""),"-",""))+LEN(SUBSTITUTE(SUBSTITUTE(SUBSTITUTE(M307," ",""),"0",""),"-",""))+LEN(SUBSTITUTE(SUBSTITUTE(SUBSTITUTE(N307," ",""),"0",""),"-",""))+LEN(SUBSTITUTE(SUBSTITUTE(SUBSTITUTE(M308," ",""),"0",""),"-",""))+LEN(SUBSTITUTE(SUBSTITUTE(SUBSTITUTE(N308," ",""),"0",""),"-",""))+LEN(SUBSTITUTE(SUBSTITUTE(SUBSTITUTE(M309," ",""),"0",""),"-",""))+LEN(SUBSTITUTE(SUBSTITUTE(SUBSTITUTE(N309," ",""),"0",""),"-",""))+LEN(SUBSTITUTE(SUBSTITUTE(SUBSTITUTE(M310," ",""),"0",""),"-",""))+LEN(SUBSTITUTE(SUBSTITUTE(SUBSTITUTE(N310," ",""),"0",""),"-",""))</f>
      </c>
      <c r="N305" s="14" t="str">
        <f>IF(UPPER(L306)="X",0,IF((LEN(SUBSTITUTE(SUBSTITUTE(SUBSTITUTE(M306," ",""),"0",""),"-",""))+LEN(SUBSTITUTE(SUBSTITUTE(SUBSTITUTE(N306," ",""),"0",""),"-","")))&gt;(LEN(SUBSTITUTE(SUBSTITUTE(SUBSTITUTE(J306," ",""),"0",""),"-",""))+LEN(SUBSTITUTE(SUBSTITUTE(SUBSTITUTE(K306," ",""),"0",""),"-",""))),1,0))+IF(UPPER(L307)="X",0,IF((LEN(SUBSTITUTE(SUBSTITUTE(SUBSTITUTE(M307," ",""),"0",""),"-",""))+LEN(SUBSTITUTE(SUBSTITUTE(SUBSTITUTE(N307," ",""),"0",""),"-","")))&gt;(LEN(SUBSTITUTE(SUBSTITUTE(SUBSTITUTE(J307," ",""),"0",""),"-",""))+LEN(SUBSTITUTE(SUBSTITUTE(SUBSTITUTE(K307," ",""),"0",""),"-",""))),1,0))+IF(UPPER(L308)="X",0,IF((LEN(SUBSTITUTE(SUBSTITUTE(SUBSTITUTE(M308," ",""),"0",""),"-",""))+LEN(SUBSTITUTE(SUBSTITUTE(SUBSTITUTE(N308," ",""),"0",""),"-","")))&gt;(LEN(SUBSTITUTE(SUBSTITUTE(SUBSTITUTE(J308," ",""),"0",""),"-",""))+LEN(SUBSTITUTE(SUBSTITUTE(SUBSTITUTE(K308," ",""),"0",""),"-",""))),1,0))+IF(UPPER(L309)="X",0,IF((LEN(SUBSTITUTE(SUBSTITUTE(SUBSTITUTE(M309," ",""),"0",""),"-",""))+LEN(SUBSTITUTE(SUBSTITUTE(SUBSTITUTE(N309," ",""),"0",""),"-","")))&gt;(LEN(SUBSTITUTE(SUBSTITUTE(SUBSTITUTE(J309," ",""),"0",""),"-",""))+LEN(SUBSTITUTE(SUBSTITUTE(SUBSTITUTE(K309," ",""),"0",""),"-",""))),1,0))+IF(UPPER(L310)="X",0,IF((LEN(SUBSTITUTE(SUBSTITUTE(SUBSTITUTE(M310," ",""),"0",""),"-",""))+LEN(SUBSTITUTE(SUBSTITUTE(SUBSTITUTE(N310," ",""),"0",""),"-","")))&gt;(LEN(SUBSTITUTE(SUBSTITUTE(SUBSTITUTE(J310," ",""),"0",""),"-",""))+LEN(SUBSTITUTE(SUBSTITUTE(SUBSTITUTE(K310," ",""),"0",""),"-",""))),1,0))</f>
      </c>
      <c r="O305" s="14" t="str">
        <f>'data'!$B$71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239</v>
      </c>
      <c r="B312" s="14"/>
      <c r="C312" s="14"/>
      <c r="D312" s="14" t="s">
        <v>240</v>
      </c>
      <c r="E312" s="14"/>
      <c r="F312" s="14"/>
      <c r="G312" s="16" t="s">
        <v>241</v>
      </c>
      <c r="I312" s="17" t="s">
        <v>239</v>
      </c>
      <c r="J312" s="14"/>
      <c r="K312" s="14"/>
      <c r="L312" s="14" t="s">
        <v>240</v>
      </c>
      <c r="M312" s="14"/>
      <c r="N312" s="14"/>
      <c r="O312" s="16" t="s">
        <v>241</v>
      </c>
    </row>
    <row r="313">
      <c r="A313" s="14" t="str">
        <f>'data'!$B$26</f>
      </c>
      <c r="B313"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13"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13" s="18"/>
      <c r="E313"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13"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13" s="14" t="str">
        <f>'data'!$B$24</f>
      </c>
      <c r="I313" s="14" t="str">
        <f>'data'!$B$73</f>
      </c>
      <c r="J313"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13"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13" s="18"/>
      <c r="M313"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13"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13" s="14" t="str">
        <f>'data'!$B$71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239</v>
      </c>
      <c r="B320" s="14"/>
      <c r="C320" s="14"/>
      <c r="D320" s="14" t="s">
        <v>240</v>
      </c>
      <c r="E320" s="14"/>
      <c r="F320" s="14"/>
      <c r="G320" s="16" t="s">
        <v>241</v>
      </c>
      <c r="I320" s="17" t="s">
        <v>239</v>
      </c>
      <c r="J320" s="14"/>
      <c r="K320" s="14"/>
      <c r="L320" s="14" t="s">
        <v>240</v>
      </c>
      <c r="M320" s="14"/>
      <c r="N320" s="14"/>
      <c r="O320" s="16" t="s">
        <v>241</v>
      </c>
    </row>
    <row r="321">
      <c r="A321" s="14" t="str">
        <f>'data'!$B$26</f>
      </c>
      <c r="B321" s="14" t="str">
        <f>IF(UPPER(D322)="X",0,IF((LEN(SUBSTITUTE(SUBSTITUTE(SUBSTITUTE(B322," ",""),"0",""),"-",""))+LEN(SUBSTITUTE(SUBSTITUTE(SUBSTITUTE(C322," ",""),"0",""),"-","")))&gt;(LEN(SUBSTITUTE(SUBSTITUTE(SUBSTITUTE(E322," ",""),"0",""),"-",""))+LEN(SUBSTITUTE(SUBSTITUTE(SUBSTITUTE(F322," ",""),"0",""),"-",""))),1,0))+IF(UPPER(D323)="X",0,IF((LEN(SUBSTITUTE(SUBSTITUTE(SUBSTITUTE(B323," ",""),"0",""),"-",""))+LEN(SUBSTITUTE(SUBSTITUTE(SUBSTITUTE(C323," ",""),"0",""),"-","")))&gt;(LEN(SUBSTITUTE(SUBSTITUTE(SUBSTITUTE(E323," ",""),"0",""),"-",""))+LEN(SUBSTITUTE(SUBSTITUTE(SUBSTITUTE(F323," ",""),"0",""),"-",""))),1,0))+IF(UPPER(D324)="X",0,IF((LEN(SUBSTITUTE(SUBSTITUTE(SUBSTITUTE(B324,"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f>
      </c>
      <c r="C321" s="14" t="str">
        <f>LEN(SUBSTITUTE(SUBSTITUTE(SUBSTITUTE(B322," ",""),"0",""),"-",""))+LEN(SUBSTITUTE(SUBSTITUTE(SUBSTITUTE(C322," ",""),"0",""),"-",""))+LEN(SUBSTITUTE(SUBSTITUTE(SUBSTITUTE(B323," ",""),"0",""),"-",""))+LEN(SUBSTITUTE(SUBSTITUTE(SUBSTITUTE(C323," ",""),"0",""),"-",""))+LEN(SUBSTITUTE(SUBSTITUTE(SUBSTITUTE(B324," ",""),"0",""),"-",""))+LEN(SUBSTITUTE(SUBSTITUTE(SUBSTITUTE(C324," ",""),"0",""),"-",""))+LEN(SUBSTITUTE(SUBSTITUTE(SUBSTITUTE(B325," ",""),"0",""),"-",""))+LEN(SUBSTITUTE(SUBSTITUTE(SUBSTITUTE(C325," ",""),"0",""),"-",""))+LEN(SUBSTITUTE(SUBSTITUTE(SUBSTITUTE(B326," ",""),"0",""),"-",""))+LEN(SUBSTITUTE(SUBSTITUTE(SUBSTITUTE(C326," ",""),"0",""),"-",""))</f>
      </c>
      <c r="D321" s="18"/>
      <c r="E321" s="14" t="str">
        <f>LEN(SUBSTITUTE(SUBSTITUTE(SUBSTITUTE(E322," ",""),"0",""),"-",""))+LEN(SUBSTITUTE(SUBSTITUTE(SUBSTITUTE(F322," ",""),"0",""),"-",""))+LEN(SUBSTITUTE(SUBSTITUTE(SUBSTITUTE(E323," ",""),"0",""),"-",""))+LEN(SUBSTITUTE(SUBSTITUTE(SUBSTITUTE(F323," ",""),"0",""),"-",""))+LEN(SUBSTITUTE(SUBSTITUTE(SUBSTITUTE(E324," ",""),"0",""),"-",""))+LEN(SUBSTITUTE(SUBSTITUTE(SUBSTITUTE(F324," ",""),"0",""),"-",""))+LEN(SUBSTITUTE(SUBSTITUTE(SUBSTITUTE(E325," ",""),"0",""),"-",""))+LEN(SUBSTITUTE(SUBSTITUTE(SUBSTITUTE(F325," ",""),"0",""),"-",""))+LEN(SUBSTITUTE(SUBSTITUTE(SUBSTITUTE(E326," ",""),"0",""),"-",""))+LEN(SUBSTITUTE(SUBSTITUTE(SUBSTITUTE(F326," ",""),"0",""),"-",""))</f>
      </c>
      <c r="F321" s="14" t="str">
        <f>IF(UPPER(D322)="X",0,IF((LEN(SUBSTITUTE(SUBSTITUTE(SUBSTITUTE(E322," ",""),"0",""),"-",""))+LEN(SUBSTITUTE(SUBSTITUTE(SUBSTITUTE(F322," ",""),"0",""),"-","")))&gt;(LEN(SUBSTITUTE(SUBSTITUTE(SUBSTITUTE(B322," ",""),"0",""),"-",""))+LEN(SUBSTITUTE(SUBSTITUTE(SUBSTITUTE(C322," ",""),"0",""),"-",""))),1,0))+IF(UPPER(D323)="X",0,IF((LEN(SUBSTITUTE(SUBSTITUTE(SUBSTITUTE(E323," ",""),"0",""),"-",""))+LEN(SUBSTITUTE(SUBSTITUTE(SUBSTITUTE(F323," ",""),"0",""),"-","")))&gt;(LEN(SUBSTITUTE(SUBSTITUTE(SUBSTITUTE(B323," ",""),"0",""),"-",""))+LEN(SUBSTITUTE(SUBSTITUTE(SUBSTITUTE(C323," ",""),"0",""),"-",""))),1,0))+IF(UPPER(D324)="X",0,IF((LEN(SUBSTITUTE(SUBSTITUTE(SUBSTITUTE(E324,"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f>
      </c>
      <c r="G321" s="14" t="str">
        <f>'data'!$B$25</f>
      </c>
      <c r="I321" s="14" t="str">
        <f>'data'!$B$73</f>
      </c>
      <c r="J321" s="14" t="str">
        <f>IF(UPPER(L322)="X",0,IF((LEN(SUBSTITUTE(SUBSTITUTE(SUBSTITUTE(J322," ",""),"0",""),"-",""))+LEN(SUBSTITUTE(SUBSTITUTE(SUBSTITUTE(K322," ",""),"0",""),"-","")))&gt;(LEN(SUBSTITUTE(SUBSTITUTE(SUBSTITUTE(M322," ",""),"0",""),"-",""))+LEN(SUBSTITUTE(SUBSTITUTE(SUBSTITUTE(N322," ",""),"0",""),"-",""))),1,0))+IF(UPPER(L323)="X",0,IF((LEN(SUBSTITUTE(SUBSTITUTE(SUBSTITUTE(J323," ",""),"0",""),"-",""))+LEN(SUBSTITUTE(SUBSTITUTE(SUBSTITUTE(K323," ",""),"0",""),"-","")))&gt;(LEN(SUBSTITUTE(SUBSTITUTE(SUBSTITUTE(M323," ",""),"0",""),"-",""))+LEN(SUBSTITUTE(SUBSTITUTE(SUBSTITUTE(N323," ",""),"0",""),"-",""))),1,0))+IF(UPPER(L324)="X",0,IF((LEN(SUBSTITUTE(SUBSTITUTE(SUBSTITUTE(J324,"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f>
      </c>
      <c r="K321" s="14" t="str">
        <f>LEN(SUBSTITUTE(SUBSTITUTE(SUBSTITUTE(J322," ",""),"0",""),"-",""))+LEN(SUBSTITUTE(SUBSTITUTE(SUBSTITUTE(K322," ",""),"0",""),"-",""))+LEN(SUBSTITUTE(SUBSTITUTE(SUBSTITUTE(J323," ",""),"0",""),"-",""))+LEN(SUBSTITUTE(SUBSTITUTE(SUBSTITUTE(K323," ",""),"0",""),"-",""))+LEN(SUBSTITUTE(SUBSTITUTE(SUBSTITUTE(J324," ",""),"0",""),"-",""))+LEN(SUBSTITUTE(SUBSTITUTE(SUBSTITUTE(K324," ",""),"0",""),"-",""))+LEN(SUBSTITUTE(SUBSTITUTE(SUBSTITUTE(J325," ",""),"0",""),"-",""))+LEN(SUBSTITUTE(SUBSTITUTE(SUBSTITUTE(K325," ",""),"0",""),"-",""))+LEN(SUBSTITUTE(SUBSTITUTE(SUBSTITUTE(J326," ",""),"0",""),"-",""))+LEN(SUBSTITUTE(SUBSTITUTE(SUBSTITUTE(K326," ",""),"0",""),"-",""))</f>
      </c>
      <c r="L321" s="18"/>
      <c r="M321" s="14" t="str">
        <f>LEN(SUBSTITUTE(SUBSTITUTE(SUBSTITUTE(M322," ",""),"0",""),"-",""))+LEN(SUBSTITUTE(SUBSTITUTE(SUBSTITUTE(N322," ",""),"0",""),"-",""))+LEN(SUBSTITUTE(SUBSTITUTE(SUBSTITUTE(M323," ",""),"0",""),"-",""))+LEN(SUBSTITUTE(SUBSTITUTE(SUBSTITUTE(N323," ",""),"0",""),"-",""))+LEN(SUBSTITUTE(SUBSTITUTE(SUBSTITUTE(M324," ",""),"0",""),"-",""))+LEN(SUBSTITUTE(SUBSTITUTE(SUBSTITUTE(N324," ",""),"0",""),"-",""))+LEN(SUBSTITUTE(SUBSTITUTE(SUBSTITUTE(M325," ",""),"0",""),"-",""))+LEN(SUBSTITUTE(SUBSTITUTE(SUBSTITUTE(N325," ",""),"0",""),"-",""))+LEN(SUBSTITUTE(SUBSTITUTE(SUBSTITUTE(M326," ",""),"0",""),"-",""))+LEN(SUBSTITUTE(SUBSTITUTE(SUBSTITUTE(N326," ",""),"0",""),"-",""))</f>
      </c>
      <c r="N321" s="14" t="str">
        <f>IF(UPPER(L322)="X",0,IF((LEN(SUBSTITUTE(SUBSTITUTE(SUBSTITUTE(M322," ",""),"0",""),"-",""))+LEN(SUBSTITUTE(SUBSTITUTE(SUBSTITUTE(N322," ",""),"0",""),"-","")))&gt;(LEN(SUBSTITUTE(SUBSTITUTE(SUBSTITUTE(J322," ",""),"0",""),"-",""))+LEN(SUBSTITUTE(SUBSTITUTE(SUBSTITUTE(K322," ",""),"0",""),"-",""))),1,0))+IF(UPPER(L323)="X",0,IF((LEN(SUBSTITUTE(SUBSTITUTE(SUBSTITUTE(M323," ",""),"0",""),"-",""))+LEN(SUBSTITUTE(SUBSTITUTE(SUBSTITUTE(N323," ",""),"0",""),"-","")))&gt;(LEN(SUBSTITUTE(SUBSTITUTE(SUBSTITUTE(J323," ",""),"0",""),"-",""))+LEN(SUBSTITUTE(SUBSTITUTE(SUBSTITUTE(K323," ",""),"0",""),"-",""))),1,0))+IF(UPPER(L324)="X",0,IF((LEN(SUBSTITUTE(SUBSTITUTE(SUBSTITUTE(M324,"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f>
      </c>
      <c r="O321" s="14" t="str">
        <f>'data'!$B$72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242</v>
      </c>
      <c r="B329" s="13" t="s">
        <v>243</v>
      </c>
      <c r="C329" s="13" t="s">
        <v>244</v>
      </c>
      <c r="D329" s="13" t="s">
        <v>245</v>
      </c>
      <c r="E329" s="13"/>
      <c r="F329" s="13"/>
      <c r="G329" s="13" t="s">
        <v>246</v>
      </c>
      <c r="I329" s="13" t="s">
        <v>242</v>
      </c>
      <c r="J329" s="13" t="s">
        <v>243</v>
      </c>
      <c r="K329" s="13" t="s">
        <v>244</v>
      </c>
      <c r="L329" s="13" t="s">
        <v>245</v>
      </c>
      <c r="M329" s="13"/>
      <c r="N329" s="13"/>
      <c r="O329" s="13" t="s">
        <v>246</v>
      </c>
    </row>
    <row r="330">
      <c r="A330" s="14" t="str">
        <f>'data'!$B$24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247</v>
      </c>
      <c r="C334" s="13" t="s">
        <v>248</v>
      </c>
      <c r="D334" s="13" t="s">
        <v>249</v>
      </c>
      <c r="E334" s="13" t="s">
        <v>250</v>
      </c>
      <c r="F334" s="13" t="s">
        <v>251</v>
      </c>
      <c r="I334" s="13"/>
      <c r="J334" s="13" t="s">
        <v>247</v>
      </c>
      <c r="K334" s="13" t="s">
        <v>248</v>
      </c>
      <c r="L334" s="13" t="s">
        <v>249</v>
      </c>
      <c r="M334" s="13" t="s">
        <v>250</v>
      </c>
      <c r="N334" s="13" t="s">
        <v>251</v>
      </c>
    </row>
    <row r="335">
      <c r="A335" s="14" t="str">
        <f>'data'!$B$24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252</v>
      </c>
      <c r="N340" s="13"/>
      <c r="O340" s="13" t="s">
        <v>252</v>
      </c>
    </row>
    <row r="341">
      <c r="F341" t="s">
        <v>253</v>
      </c>
      <c r="G341" s="19" t="str">
        <f>IFERROR(INDEX($A$330:$A$337, MATCH(1, $G$330:$G$337, 0)), "-")</f>
      </c>
      <c r="N341" t="s">
        <v>253</v>
      </c>
      <c r="O341" s="19" t="str">
        <f>IFERROR(INDEX($I$330:$I$337, MATCH(1, $O$330:$O$337, 0)), "-")</f>
      </c>
    </row>
    <row r="342">
      <c r="F342" t="s">
        <v>254</v>
      </c>
      <c r="G342" s="19" t="str">
        <f>IFERROR(INDEX($A$330:$A$337, MATCH(2, $G$330:$G$337, 0)), "-")</f>
      </c>
      <c r="N342" t="s">
        <v>254</v>
      </c>
      <c r="O342" s="19" t="str">
        <f>IFERROR(INDEX($I$330:$I$337, MATCH(2, $O$330:$O$337, 0)), "-")</f>
      </c>
    </row>
    <row r="343">
      <c r="F343" t="s">
        <v>255</v>
      </c>
      <c r="G343" s="19" t="str">
        <f>IFERROR(INDEX($A$330:$A$337, MATCH(3, $G$330:$G$337, 0)), "-")</f>
      </c>
      <c r="N343" t="s">
        <v>255</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'data'!$B$28</f>
      </c>
      <c r="B348" s="14" t="str">
        <f>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",""),"0",""),"-",""))),1,0))+IF(UPPER(D351)="X",0,IF((LEN(SUBSTITUTE(SUBSTITUTE(SUBSTITUTE(B351," ",""),"0",""),"-",""))+LEN(SUBSTITUTE(SUBSTITUTE(SUBSTITUTE(C351," ",""),"0",""),"-","")))&gt;(LEN(SUBSTITUTE(SUBSTITUTE(SUBSTITUTE(E351," ",""),"0",""),"-",""))+LEN(SUBSTITUTE(SUBSTITUTE(SUBSTITUTE(F351," ",""),"0",""),"-",""))),1,0))+IF(UPPER(D352)="X",0,IF((LEN(SUBSTITUTE(SUBSTITUTE(SUBSTITUTE(B352," ",""),"0",""),"-",""))+LEN(SUBSTITUTE(SUBSTITUTE(SUBSTITUTE(C352," ",""),"0",""),"-","")))&gt;(LEN(SUBSTITUTE(SUBSTITUTE(SUBSTITUTE(E352," ",""),"0",""),"-",""))+LEN(SUBSTITUTE(SUBSTITUTE(SUBSTITUTE(F352," ",""),"0",""),"-",""))),1,0))+IF(UPPER(D353)="X",0,IF((LEN(SUBSTITUTE(SUBSTITUTE(SUBSTITUTE(B353," ",""),"0",""),"-",""))+LEN(SUBSTITUTE(SUBSTITUTE(SUBSTITUTE(C353," ",""),"0",""),"-","")))&gt;(LEN(SUBSTITUTE(SUBSTITUTE(SUBSTITUTE(E353," ",""),"0",""),"-",""))+LEN(SUBSTITUTE(SUBSTITUTE(SUBSTITUTE(F353," ",""),"0",""),"-",""))),1,0))</f>
      </c>
      <c r="C348" s="14" t="str">
        <f>LEN(SUBSTITUTE(SUBSTITUTE(SUBSTITUTE(B349," ",""),"0",""),"-",""))+LEN(SUBSTITUTE(SUBSTITUTE(SUBSTITUTE(C349," ",""),"0",""),"-",""))+LEN(SUBSTITUTE(SUBSTITUTE(SUBSTITUTE(B350," ",""),"0",""),"-",""))+LEN(SUBSTITUTE(SUBSTITUTE(SUBSTITUTE(C350," ",""),"0",""),"-",""))+LEN(SUBSTITUTE(SUBSTITUTE(SUBSTITUTE(B351," ",""),"0",""),"-",""))+LEN(SUBSTITUTE(SUBSTITUTE(SUBSTITUTE(C351," ",""),"0",""),"-",""))+LEN(SUBSTITUTE(SUBSTITUTE(SUBSTITUTE(B352," ",""),"0",""),"-",""))+LEN(SUBSTITUTE(SUBSTITUTE(SUBSTITUTE(C352," ",""),"0",""),"-",""))+LEN(SUBSTITUTE(SUBSTITUTE(SUBSTITUTE(B353," ",""),"0",""),"-",""))+LEN(SUBSTITUTE(SUBSTITUTE(SUBSTITUTE(C353," ",""),"0",""),"-",""))</f>
      </c>
      <c r="D348" s="18"/>
      <c r="E348" s="14" t="str">
        <f>LEN(SUBSTITUTE(SUBSTITUTE(SUBSTITUTE(E349," ",""),"0",""),"-",""))+LEN(SUBSTITUTE(SUBSTITUTE(SUBSTITUTE(F349," ",""),"0",""),"-",""))+LEN(SUBSTITUTE(SUBSTITUTE(SUBSTITUTE(E350," ",""),"0",""),"-",""))+LEN(SUBSTITUTE(SUBSTITUTE(SUBSTITUTE(F350," ",""),"0",""),"-",""))+LEN(SUBSTITUTE(SUBSTITUTE(SUBSTITUTE(E351," ",""),"0",""),"-",""))+LEN(SUBSTITUTE(SUBSTITUTE(SUBSTITUTE(F351," ",""),"0",""),"-",""))+LEN(SUBSTITUTE(SUBSTITUTE(SUBSTITUTE(E352," ",""),"0",""),"-",""))+LEN(SUBSTITUTE(SUBSTITUTE(SUBSTITUTE(F352," ",""),"0",""),"-",""))+LEN(SUBSTITUTE(SUBSTITUTE(SUBSTITUTE(E353," ",""),"0",""),"-",""))+LEN(SUBSTITUTE(SUBSTITUTE(SUBSTITUTE(F353," ",""),"0",""),"-",""))</f>
      </c>
      <c r="F348" s="14" t="str">
        <f>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",""),"0",""),"-",""))),1,0))+IF(UPPER(D351)="X",0,IF((LEN(SUBSTITUTE(SUBSTITUTE(SUBSTITUTE(E351," ",""),"0",""),"-",""))+LEN(SUBSTITUTE(SUBSTITUTE(SUBSTITUTE(F351," ",""),"0",""),"-","")))&gt;(LEN(SUBSTITUTE(SUBSTITUTE(SUBSTITUTE(B351," ",""),"0",""),"-",""))+LEN(SUBSTITUTE(SUBSTITUTE(SUBSTITUTE(C351," ",""),"0",""),"-",""))),1,0))+IF(UPPER(D352)="X",0,IF((LEN(SUBSTITUTE(SUBSTITUTE(SUBSTITUTE(E352," ",""),"0",""),"-",""))+LEN(SUBSTITUTE(SUBSTITUTE(SUBSTITUTE(F352," ",""),"0",""),"-","")))&gt;(LEN(SUBSTITUTE(SUBSTITUTE(SUBSTITUTE(B352," ",""),"0",""),"-",""))+LEN(SUBSTITUTE(SUBSTITUTE(SUBSTITUTE(C352," ",""),"0",""),"-",""))),1,0))+IF(UPPER(D353)="X",0,IF((LEN(SUBSTITUTE(SUBSTITUTE(SUBSTITUTE(E353," ",""),"0",""),"-",""))+LEN(SUBSTITUTE(SUBSTITUTE(SUBSTITUTE(F353," ",""),"0",""),"-","")))&gt;(LEN(SUBSTITUTE(SUBSTITUTE(SUBSTITUTE(B353," ",""),"0",""),"-",""))+LEN(SUBSTITUTE(SUBSTITUTE(SUBSTITUTE(C353," ",""),"0",""),"-",""))),1,0))</f>
      </c>
      <c r="G348" s="14" t="str">
        <f>'data'!$B$27</f>
      </c>
      <c r="I348" s="14" t="str">
        <f>'data'!$B$75</f>
      </c>
      <c r="J348" s="14" t="str">
        <f>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",""),"0",""),"-",""))),1,0))+IF(UPPER(L351)="X",0,IF((LEN(SUBSTITUTE(SUBSTITUTE(SUBSTITUTE(J351," ",""),"0",""),"-",""))+LEN(SUBSTITUTE(SUBSTITUTE(SUBSTITUTE(K351," ",""),"0",""),"-","")))&gt;(LEN(SUBSTITUTE(SUBSTITUTE(SUBSTITUTE(M351," ",""),"0",""),"-",""))+LEN(SUBSTITUTE(SUBSTITUTE(SUBSTITUTE(N351," ",""),"0",""),"-",""))),1,0))+IF(UPPER(L352)="X",0,IF((LEN(SUBSTITUTE(SUBSTITUTE(SUBSTITUTE(J352," ",""),"0",""),"-",""))+LEN(SUBSTITUTE(SUBSTITUTE(SUBSTITUTE(K352," ",""),"0",""),"-","")))&gt;(LEN(SUBSTITUTE(SUBSTITUTE(SUBSTITUTE(M352," ",""),"0",""),"-",""))+LEN(SUBSTITUTE(SUBSTITUTE(SUBSTITUTE(N352," ",""),"0",""),"-",""))),1,0))+IF(UPPER(L353)="X",0,IF((LEN(SUBSTITUTE(SUBSTITUTE(SUBSTITUTE(J353," ",""),"0",""),"-",""))+LEN(SUBSTITUTE(SUBSTITUTE(SUBSTITUTE(K353," ",""),"0",""),"-","")))&gt;(LEN(SUBSTITUTE(SUBSTITUTE(SUBSTITUTE(M353," ",""),"0",""),"-",""))+LEN(SUBSTITUTE(SUBSTITUTE(SUBSTITUTE(N353," ",""),"0",""),"-",""))),1,0))</f>
      </c>
      <c r="K348" s="14" t="str">
        <f>LEN(SUBSTITUTE(SUBSTITUTE(SUBSTITUTE(J349," ",""),"0",""),"-",""))+LEN(SUBSTITUTE(SUBSTITUTE(SUBSTITUTE(K349," ",""),"0",""),"-",""))+LEN(SUBSTITUTE(SUBSTITUTE(SUBSTITUTE(J350," ",""),"0",""),"-",""))+LEN(SUBSTITUTE(SUBSTITUTE(SUBSTITUTE(K350," ",""),"0",""),"-",""))+LEN(SUBSTITUTE(SUBSTITUTE(SUBSTITUTE(J351," ",""),"0",""),"-",""))+LEN(SUBSTITUTE(SUBSTITUTE(SUBSTITUTE(K351," ",""),"0",""),"-",""))+LEN(SUBSTITUTE(SUBSTITUTE(SUBSTITUTE(J352," ",""),"0",""),"-",""))+LEN(SUBSTITUTE(SUBSTITUTE(SUBSTITUTE(K352," ",""),"0",""),"-",""))+LEN(SUBSTITUTE(SUBSTITUTE(SUBSTITUTE(J353," ",""),"0",""),"-",""))+LEN(SUBSTITUTE(SUBSTITUTE(SUBSTITUTE(K353," ",""),"0",""),"-",""))</f>
      </c>
      <c r="L348" s="18"/>
      <c r="M348" s="14" t="str">
        <f>LEN(SUBSTITUTE(SUBSTITUTE(SUBSTITUTE(M349," ",""),"0",""),"-",""))+LEN(SUBSTITUTE(SUBSTITUTE(SUBSTITUTE(N349," ",""),"0",""),"-",""))+LEN(SUBSTITUTE(SUBSTITUTE(SUBSTITUTE(M350," ",""),"0",""),"-",""))+LEN(SUBSTITUTE(SUBSTITUTE(SUBSTITUTE(N350," ",""),"0",""),"-",""))+LEN(SUBSTITUTE(SUBSTITUTE(SUBSTITUTE(M351," ",""),"0",""),"-",""))+LEN(SUBSTITUTE(SUBSTITUTE(SUBSTITUTE(N351," ",""),"0",""),"-",""))+LEN(SUBSTITUTE(SUBSTITUTE(SUBSTITUTE(M352," ",""),"0",""),"-",""))+LEN(SUBSTITUTE(SUBSTITUTE(SUBSTITUTE(N352," ",""),"0",""),"-",""))+LEN(SUBSTITUTE(SUBSTITUTE(SUBSTITUTE(M353," ",""),"0",""),"-",""))+LEN(SUBSTITUTE(SUBSTITUTE(SUBSTITUTE(N353," ",""),"0",""),"-",""))</f>
      </c>
      <c r="N348" s="14" t="str">
        <f>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",""),"0",""),"-",""))),1,0))+IF(UPPER(L351)="X",0,IF((LEN(SUBSTITUTE(SUBSTITUTE(SUBSTITUTE(M351," ",""),"0",""),"-",""))+LEN(SUBSTITUTE(SUBSTITUTE(SUBSTITUTE(N351," ",""),"0",""),"-","")))&gt;(LEN(SUBSTITUTE(SUBSTITUTE(SUBSTITUTE(J351," ",""),"0",""),"-",""))+LEN(SUBSTITUTE(SUBSTITUTE(SUBSTITUTE(K351," ",""),"0",""),"-",""))),1,0))+IF(UPPER(L352)="X",0,IF((LEN(SUBSTITUTE(SUBSTITUTE(SUBSTITUTE(M352," ",""),"0",""),"-",""))+LEN(SUBSTITUTE(SUBSTITUTE(SUBSTITUTE(N352," ",""),"0",""),"-","")))&gt;(LEN(SUBSTITUTE(SUBSTITUTE(SUBSTITUTE(J352," ",""),"0",""),"-",""))+LEN(SUBSTITUTE(SUBSTITUTE(SUBSTITUTE(K352," ",""),"0",""),"-",""))),1,0))+IF(UPPER(L353)="X",0,IF((LEN(SUBSTITUTE(SUBSTITUTE(SUBSTITUTE(M353," ",""),"0",""),"-",""))+LEN(SUBSTITUTE(SUBSTITUTE(SUBSTITUTE(N353," ",""),"0",""),"-","")))&gt;(LEN(SUBSTITUTE(SUBSTITUTE(SUBSTITUTE(J353," ",""),"0",""),"-",""))+LEN(SUBSTITUTE(SUBSTITUTE(SUBSTITUTE(K353," ",""),"0",""),"-",""))),1,0))</f>
      </c>
      <c r="O348" s="14" t="str">
        <f>'data'!$B$74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239</v>
      </c>
      <c r="B355" s="14"/>
      <c r="C355" s="14"/>
      <c r="D355" s="14" t="s">
        <v>240</v>
      </c>
      <c r="E355" s="14"/>
      <c r="F355" s="14"/>
      <c r="G355" s="16" t="s">
        <v>241</v>
      </c>
      <c r="I355" s="17" t="s">
        <v>239</v>
      </c>
      <c r="J355" s="14"/>
      <c r="K355" s="14"/>
      <c r="L355" s="14" t="s">
        <v>240</v>
      </c>
      <c r="M355" s="14"/>
      <c r="N355" s="14"/>
      <c r="O355" s="16" t="s">
        <v>241</v>
      </c>
    </row>
    <row r="356">
      <c r="A356" s="14" t="str">
        <f>'data'!$B$29</f>
      </c>
      <c r="B356" s="14" t="str">
        <f>IF(UPPER(D357)="X",0,IF((LEN(SUBSTITUTE(SUBSTITUTE(SUBSTITUTE(B357," ",""),"0",""),"-",""))+LEN(SUBSTITUTE(SUBSTITUTE(SUBSTITUTE(C357," ",""),"0",""),"-","")))&gt;(LEN(SUBSTITUTE(SUBSTITUTE(SUBSTITUTE(E357," ",""),"0",""),"-",""))+LEN(SUBSTITUTE(SUBSTITUTE(SUBSTITUTE(F357," ",""),"0",""),"-",""))),1,0))+IF(UPPER(D358)="X",0,IF((LEN(SUBSTITUTE(SUBSTITUTE(SUBSTITUTE(B358," ",""),"0",""),"-",""))+LEN(SUBSTITUTE(SUBSTITUTE(SUBSTITUTE(C358," ",""),"0",""),"-","")))&gt;(LEN(SUBSTITUTE(SUBSTITUTE(SUBSTITUTE(E358," ",""),"0",""),"-",""))+LEN(SUBSTITUTE(SUBSTITUTE(SUBSTITUTE(F358," ",""),"0",""),"-",""))),1,0))+IF(UPPER(D359)="X",0,IF((LEN(SUBSTITUTE(SUBSTITUTE(SUBSTITUTE(B359,"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f>
      </c>
      <c r="C356" s="14" t="str">
        <f>LEN(SUBSTITUTE(SUBSTITUTE(SUBSTITUTE(B357," ",""),"0",""),"-",""))+LEN(SUBSTITUTE(SUBSTITUTE(SUBSTITUTE(C357," ",""),"0",""),"-",""))+LEN(SUBSTITUTE(SUBSTITUTE(SUBSTITUTE(B358," ",""),"0",""),"-",""))+LEN(SUBSTITUTE(SUBSTITUTE(SUBSTITUTE(C358," ",""),"0",""),"-",""))+LEN(SUBSTITUTE(SUBSTITUTE(SUBSTITUTE(B359," ",""),"0",""),"-",""))+LEN(SUBSTITUTE(SUBSTITUTE(SUBSTITUTE(C359," ",""),"0",""),"-",""))+LEN(SUBSTITUTE(SUBSTITUTE(SUBSTITUTE(B360," ",""),"0",""),"-",""))+LEN(SUBSTITUTE(SUBSTITUTE(SUBSTITUTE(C360," ",""),"0",""),"-",""))+LEN(SUBSTITUTE(SUBSTITUTE(SUBSTITUTE(B361," ",""),"0",""),"-",""))+LEN(SUBSTITUTE(SUBSTITUTE(SUBSTITUTE(C361," ",""),"0",""),"-",""))</f>
      </c>
      <c r="D356" s="18"/>
      <c r="E356" s="14" t="str">
        <f>LEN(SUBSTITUTE(SUBSTITUTE(SUBSTITUTE(E357," ",""),"0",""),"-",""))+LEN(SUBSTITUTE(SUBSTITUTE(SUBSTITUTE(F357," ",""),"0",""),"-",""))+LEN(SUBSTITUTE(SUBSTITUTE(SUBSTITUTE(E358," ",""),"0",""),"-",""))+LEN(SUBSTITUTE(SUBSTITUTE(SUBSTITUTE(F358," ",""),"0",""),"-",""))+LEN(SUBSTITUTE(SUBSTITUTE(SUBSTITUTE(E359," ",""),"0",""),"-",""))+LEN(SUBSTITUTE(SUBSTITUTE(SUBSTITUTE(F359," ",""),"0",""),"-",""))+LEN(SUBSTITUTE(SUBSTITUTE(SUBSTITUTE(E360," ",""),"0",""),"-",""))+LEN(SUBSTITUTE(SUBSTITUTE(SUBSTITUTE(F360," ",""),"0",""),"-",""))+LEN(SUBSTITUTE(SUBSTITUTE(SUBSTITUTE(E361," ",""),"0",""),"-",""))+LEN(SUBSTITUTE(SUBSTITUTE(SUBSTITUTE(F361," ",""),"0",""),"-",""))</f>
      </c>
      <c r="F356" s="14" t="str">
        <f>IF(UPPER(D357)="X",0,IF((LEN(SUBSTITUTE(SUBSTITUTE(SUBSTITUTE(E357," ",""),"0",""),"-",""))+LEN(SUBSTITUTE(SUBSTITUTE(SUBSTITUTE(F357," ",""),"0",""),"-","")))&gt;(LEN(SUBSTITUTE(SUBSTITUTE(SUBSTITUTE(B357," ",""),"0",""),"-",""))+LEN(SUBSTITUTE(SUBSTITUTE(SUBSTITUTE(C357," ",""),"0",""),"-",""))),1,0))+IF(UPPER(D358)="X",0,IF((LEN(SUBSTITUTE(SUBSTITUTE(SUBSTITUTE(E358," ",""),"0",""),"-",""))+LEN(SUBSTITUTE(SUBSTITUTE(SUBSTITUTE(F358," ",""),"0",""),"-","")))&gt;(LEN(SUBSTITUTE(SUBSTITUTE(SUBSTITUTE(B358," ",""),"0",""),"-",""))+LEN(SUBSTITUTE(SUBSTITUTE(SUBSTITUTE(C358," ",""),"0",""),"-",""))),1,0))+IF(UPPER(D359)="X",0,IF((LEN(SUBSTITUTE(SUBSTITUTE(SUBSTITUTE(E359,"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f>
      </c>
      <c r="G356" s="14" t="str">
        <f>'data'!$B$27</f>
      </c>
      <c r="I356" s="14" t="str">
        <f>'data'!$B$76</f>
      </c>
      <c r="J356" s="14" t="str">
        <f>IF(UPPER(L357)="X",0,IF((LEN(SUBSTITUTE(SUBSTITUTE(SUBSTITUTE(J357," ",""),"0",""),"-",""))+LEN(SUBSTITUTE(SUBSTITUTE(SUBSTITUTE(K357," ",""),"0",""),"-","")))&gt;(LEN(SUBSTITUTE(SUBSTITUTE(SUBSTITUTE(M357," ",""),"0",""),"-",""))+LEN(SUBSTITUTE(SUBSTITUTE(SUBSTITUTE(N357," ",""),"0",""),"-",""))),1,0))+IF(UPPER(L358)="X",0,IF((LEN(SUBSTITUTE(SUBSTITUTE(SUBSTITUTE(J358," ",""),"0",""),"-",""))+LEN(SUBSTITUTE(SUBSTITUTE(SUBSTITUTE(K358," ",""),"0",""),"-","")))&gt;(LEN(SUBSTITUTE(SUBSTITUTE(SUBSTITUTE(M358," ",""),"0",""),"-",""))+LEN(SUBSTITUTE(SUBSTITUTE(SUBSTITUTE(N358," ",""),"0",""),"-",""))),1,0))+IF(UPPER(L359)="X",0,IF((LEN(SUBSTITUTE(SUBSTITUTE(SUBSTITUTE(J359,"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f>
      </c>
      <c r="K356" s="14" t="str">
        <f>LEN(SUBSTITUTE(SUBSTITUTE(SUBSTITUTE(J357," ",""),"0",""),"-",""))+LEN(SUBSTITUTE(SUBSTITUTE(SUBSTITUTE(K357," ",""),"0",""),"-",""))+LEN(SUBSTITUTE(SUBSTITUTE(SUBSTITUTE(J358," ",""),"0",""),"-",""))+LEN(SUBSTITUTE(SUBSTITUTE(SUBSTITUTE(K358," ",""),"0",""),"-",""))+LEN(SUBSTITUTE(SUBSTITUTE(SUBSTITUTE(J359," ",""),"0",""),"-",""))+LEN(SUBSTITUTE(SUBSTITUTE(SUBSTITUTE(K359," ",""),"0",""),"-",""))+LEN(SUBSTITUTE(SUBSTITUTE(SUBSTITUTE(J360," ",""),"0",""),"-",""))+LEN(SUBSTITUTE(SUBSTITUTE(SUBSTITUTE(K360," ",""),"0",""),"-",""))+LEN(SUBSTITUTE(SUBSTITUTE(SUBSTITUTE(J361," ",""),"0",""),"-",""))+LEN(SUBSTITUTE(SUBSTITUTE(SUBSTITUTE(K361," ",""),"0",""),"-",""))</f>
      </c>
      <c r="L356" s="18"/>
      <c r="M356" s="14" t="str">
        <f>LEN(SUBSTITUTE(SUBSTITUTE(SUBSTITUTE(M357," ",""),"0",""),"-",""))+LEN(SUBSTITUTE(SUBSTITUTE(SUBSTITUTE(N357," ",""),"0",""),"-",""))+LEN(SUBSTITUTE(SUBSTITUTE(SUBSTITUTE(M358," ",""),"0",""),"-",""))+LEN(SUBSTITUTE(SUBSTITUTE(SUBSTITUTE(N358," ",""),"0",""),"-",""))+LEN(SUBSTITUTE(SUBSTITUTE(SUBSTITUTE(M359," ",""),"0",""),"-",""))+LEN(SUBSTITUTE(SUBSTITUTE(SUBSTITUTE(N359," ",""),"0",""),"-",""))+LEN(SUBSTITUTE(SUBSTITUTE(SUBSTITUTE(M360," ",""),"0",""),"-",""))+LEN(SUBSTITUTE(SUBSTITUTE(SUBSTITUTE(N360," ",""),"0",""),"-",""))+LEN(SUBSTITUTE(SUBSTITUTE(SUBSTITUTE(M361," ",""),"0",""),"-",""))+LEN(SUBSTITUTE(SUBSTITUTE(SUBSTITUTE(N361," ",""),"0",""),"-",""))</f>
      </c>
      <c r="N356" s="14" t="str">
        <f>IF(UPPER(L357)="X",0,IF((LEN(SUBSTITUTE(SUBSTITUTE(SUBSTITUTE(M357," ",""),"0",""),"-",""))+LEN(SUBSTITUTE(SUBSTITUTE(SUBSTITUTE(N357," ",""),"0",""),"-","")))&gt;(LEN(SUBSTITUTE(SUBSTITUTE(SUBSTITUTE(J357," ",""),"0",""),"-",""))+LEN(SUBSTITUTE(SUBSTITUTE(SUBSTITUTE(K357," ",""),"0",""),"-",""))),1,0))+IF(UPPER(L358)="X",0,IF((LEN(SUBSTITUTE(SUBSTITUTE(SUBSTITUTE(M358," ",""),"0",""),"-",""))+LEN(SUBSTITUTE(SUBSTITUTE(SUBSTITUTE(N358," ",""),"0",""),"-","")))&gt;(LEN(SUBSTITUTE(SUBSTITUTE(SUBSTITUTE(J358," ",""),"0",""),"-",""))+LEN(SUBSTITUTE(SUBSTITUTE(SUBSTITUTE(K358," ",""),"0",""),"-",""))),1,0))+IF(UPPER(L359)="X",0,IF((LEN(SUBSTITUTE(SUBSTITUTE(SUBSTITUTE(M359,"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f>
      </c>
      <c r="O356" s="14" t="str">
        <f>'data'!$B$74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'data'!$B$29</f>
      </c>
      <c r="B364" s="14" t="str">
        <f>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f>
      </c>
      <c r="C364" s="14" t="str">
        <f>LEN(SUBSTITUTE(SUBSTITUTE(SUBSTITUTE(B365," ",""),"0",""),"-",""))+LEN(SUBSTITUTE(SUBSTITUTE(SUBSTITUTE(C365," ",""),"0",""),"-",""))+LEN(SUBSTITUTE(SUBSTITUTE(SUBSTITUTE(B366," ",""),"0",""),"-",""))+LEN(SUBSTITUTE(SUBSTITUTE(SUBSTITUTE(C366," ",""),"0",""),"-",""))+LEN(SUBSTITUTE(SUBSTITUTE(SUBSTITUTE(B367," ",""),"0",""),"-",""))+LEN(SUBSTITUTE(SUBSTITUTE(SUBSTITUTE(C367," ",""),"0",""),"-",""))+LEN(SUBSTITUTE(SUBSTITUTE(SUBSTITUTE(B368," ",""),"0",""),"-",""))+LEN(SUBSTITUTE(SUBSTITUTE(SUBSTITUTE(C368," ",""),"0",""),"-",""))+LEN(SUBSTITUTE(SUBSTITUTE(SUBSTITUTE(B369," ",""),"0",""),"-",""))+LEN(SUBSTITUTE(SUBSTITUTE(SUBSTITUTE(C369," ",""),"0",""),"-",""))</f>
      </c>
      <c r="D364" s="18"/>
      <c r="E364" s="14" t="str">
        <f>LEN(SUBSTITUTE(SUBSTITUTE(SUBSTITUTE(E365," ",""),"0",""),"-",""))+LEN(SUBSTITUTE(SUBSTITUTE(SUBSTITUTE(F365," ",""),"0",""),"-",""))+LEN(SUBSTITUTE(SUBSTITUTE(SUBSTITUTE(E366," ",""),"0",""),"-",""))+LEN(SUBSTITUTE(SUBSTITUTE(SUBSTITUTE(F366," ",""),"0",""),"-",""))+LEN(SUBSTITUTE(SUBSTITUTE(SUBSTITUTE(E367," ",""),"0",""),"-",""))+LEN(SUBSTITUTE(SUBSTITUTE(SUBSTITUTE(F367," ",""),"0",""),"-",""))+LEN(SUBSTITUTE(SUBSTITUTE(SUBSTITUTE(E368," ",""),"0",""),"-",""))+LEN(SUBSTITUTE(SUBSTITUTE(SUBSTITUTE(F368," ",""),"0",""),"-",""))+LEN(SUBSTITUTE(SUBSTITUTE(SUBSTITUTE(E369," ",""),"0",""),"-",""))+LEN(SUBSTITUTE(SUBSTITUTE(SUBSTITUTE(F369," ",""),"0",""),"-",""))</f>
      </c>
      <c r="F364" s="14" t="str">
        <f>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f>
      </c>
      <c r="G364" s="14" t="str">
        <f>'data'!$B$28</f>
      </c>
      <c r="I364" s="14" t="str">
        <f>'data'!$B$76</f>
      </c>
      <c r="J364" s="14" t="str">
        <f>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f>
      </c>
      <c r="K364" s="14" t="str">
        <f>LEN(SUBSTITUTE(SUBSTITUTE(SUBSTITUTE(J365," ",""),"0",""),"-",""))+LEN(SUBSTITUTE(SUBSTITUTE(SUBSTITUTE(K365," ",""),"0",""),"-",""))+LEN(SUBSTITUTE(SUBSTITUTE(SUBSTITUTE(J366," ",""),"0",""),"-",""))+LEN(SUBSTITUTE(SUBSTITUTE(SUBSTITUTE(K366," ",""),"0",""),"-",""))+LEN(SUBSTITUTE(SUBSTITUTE(SUBSTITUTE(J367," ",""),"0",""),"-",""))+LEN(SUBSTITUTE(SUBSTITUTE(SUBSTITUTE(K367," ",""),"0",""),"-",""))+LEN(SUBSTITUTE(SUBSTITUTE(SUBSTITUTE(J368," ",""),"0",""),"-",""))+LEN(SUBSTITUTE(SUBSTITUTE(SUBSTITUTE(K368," ",""),"0",""),"-",""))+LEN(SUBSTITUTE(SUBSTITUTE(SUBSTITUTE(J369," ",""),"0",""),"-",""))+LEN(SUBSTITUTE(SUBSTITUTE(SUBSTITUTE(K369," ",""),"0",""),"-",""))</f>
      </c>
      <c r="L364" s="18"/>
      <c r="M364" s="14" t="str">
        <f>LEN(SUBSTITUTE(SUBSTITUTE(SUBSTITUTE(M365," ",""),"0",""),"-",""))+LEN(SUBSTITUTE(SUBSTITUTE(SUBSTITUTE(N365," ",""),"0",""),"-",""))+LEN(SUBSTITUTE(SUBSTITUTE(SUBSTITUTE(M366," ",""),"0",""),"-",""))+LEN(SUBSTITUTE(SUBSTITUTE(SUBSTITUTE(N366," ",""),"0",""),"-",""))+LEN(SUBSTITUTE(SUBSTITUTE(SUBSTITUTE(M367," ",""),"0",""),"-",""))+LEN(SUBSTITUTE(SUBSTITUTE(SUBSTITUTE(N367," ",""),"0",""),"-",""))+LEN(SUBSTITUTE(SUBSTITUTE(SUBSTITUTE(M368," ",""),"0",""),"-",""))+LEN(SUBSTITUTE(SUBSTITUTE(SUBSTITUTE(N368," ",""),"0",""),"-",""))+LEN(SUBSTITUTE(SUBSTITUTE(SUBSTITUTE(M369," ",""),"0",""),"-",""))+LEN(SUBSTITUTE(SUBSTITUTE(SUBSTITUTE(N369," ",""),"0",""),"-",""))</f>
      </c>
      <c r="N364" s="14" t="str">
        <f>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f>
      </c>
      <c r="O364" s="14" t="str">
        <f>'data'!$B$75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242</v>
      </c>
      <c r="B372" s="13" t="s">
        <v>243</v>
      </c>
      <c r="C372" s="13" t="s">
        <v>244</v>
      </c>
      <c r="D372" s="13" t="s">
        <v>245</v>
      </c>
      <c r="E372" s="13"/>
      <c r="F372" s="13"/>
      <c r="G372" s="13" t="s">
        <v>246</v>
      </c>
      <c r="I372" s="13" t="s">
        <v>242</v>
      </c>
      <c r="J372" s="13" t="s">
        <v>243</v>
      </c>
      <c r="K372" s="13" t="s">
        <v>244</v>
      </c>
      <c r="L372" s="13" t="s">
        <v>245</v>
      </c>
      <c r="M372" s="13"/>
      <c r="N372" s="13"/>
      <c r="O372" s="13" t="s">
        <v>246</v>
      </c>
    </row>
    <row r="373">
      <c r="A373" s="14" t="str">
        <f>'data'!$B$27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247</v>
      </c>
      <c r="C377" s="13" t="s">
        <v>248</v>
      </c>
      <c r="D377" s="13" t="s">
        <v>249</v>
      </c>
      <c r="E377" s="13" t="s">
        <v>250</v>
      </c>
      <c r="F377" s="13" t="s">
        <v>251</v>
      </c>
      <c r="I377" s="13"/>
      <c r="J377" s="13" t="s">
        <v>247</v>
      </c>
      <c r="K377" s="13" t="s">
        <v>248</v>
      </c>
      <c r="L377" s="13" t="s">
        <v>249</v>
      </c>
      <c r="M377" s="13" t="s">
        <v>250</v>
      </c>
      <c r="N377" s="13" t="s">
        <v>251</v>
      </c>
    </row>
    <row r="378">
      <c r="A378" s="14" t="str">
        <f>'data'!$B$27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252</v>
      </c>
      <c r="N383" s="13"/>
      <c r="O383" s="13" t="s">
        <v>252</v>
      </c>
    </row>
    <row r="384">
      <c r="F384" t="s">
        <v>253</v>
      </c>
      <c r="G384" s="19" t="str">
        <f>IFERROR(INDEX($A$373:$A$380, MATCH(1, $G$373:$G$380, 0)), "-")</f>
      </c>
      <c r="N384" t="s">
        <v>253</v>
      </c>
      <c r="O384" s="19" t="str">
        <f>IFERROR(INDEX($I$373:$I$380, MATCH(1, $O$373:$O$380, 0)), "-")</f>
      </c>
    </row>
    <row r="385">
      <c r="F385" t="s">
        <v>254</v>
      </c>
      <c r="G385" s="19" t="str">
        <f>IFERROR(INDEX($A$373:$A$380, MATCH(2, $G$373:$G$380, 0)), "-")</f>
      </c>
      <c r="N385" t="s">
        <v>254</v>
      </c>
      <c r="O385" s="19" t="str">
        <f>IFERROR(INDEX($I$373:$I$380, MATCH(2, $O$373:$O$380, 0)), "-")</f>
      </c>
    </row>
    <row r="386">
      <c r="F386" t="s">
        <v>255</v>
      </c>
      <c r="G386" s="19" t="str">
        <f>IFERROR(INDEX($A$373:$A$380, MATCH(3, $G$373:$G$380, 0)), "-")</f>
      </c>
      <c r="N386" t="s">
        <v>255</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239</v>
      </c>
      <c r="B390" s="14"/>
      <c r="C390" s="14"/>
      <c r="D390" s="14" t="s">
        <v>240</v>
      </c>
      <c r="E390" s="14"/>
      <c r="F390" s="14"/>
      <c r="G390" s="16" t="s">
        <v>241</v>
      </c>
      <c r="I390" s="17" t="s">
        <v>239</v>
      </c>
      <c r="J390" s="14"/>
      <c r="K390" s="14"/>
      <c r="L390" s="14" t="s">
        <v>240</v>
      </c>
      <c r="M390" s="14"/>
      <c r="N390" s="14"/>
      <c r="O390" s="16" t="s">
        <v>241</v>
      </c>
    </row>
    <row r="391">
      <c r="A391" s="14" t="str">
        <f>'data'!$B$31</f>
      </c>
      <c r="B391" s="14" t="str">
        <f>IF(UPPER(D392)="X",0,IF((LEN(SUBSTITUTE(SUBSTITUTE(SUBSTITUTE(B392," ",""),"0",""),"-",""))+LEN(SUBSTITUTE(SUBSTITUTE(SUBSTITUTE(C392," ",""),"0",""),"-","")))&gt;(LEN(SUBSTITUTE(SUBSTITUTE(SUBSTITUTE(E392," ",""),"0",""),"-",""))+LEN(SUBSTITUTE(SUBSTITUTE(SUBSTITUTE(F392," ",""),"0",""),"-",""))),1,0))+IF(UPPER(D393)="X",0,IF((LEN(SUBSTITUTE(SUBSTITUTE(SUBSTITUTE(B393," ",""),"0",""),"-",""))+LEN(SUBSTITUTE(SUBSTITUTE(SUBSTITUTE(C393," ",""),"0",""),"-","")))&gt;(LEN(SUBSTITUTE(SUBSTITUTE(SUBSTITUTE(E393," ",""),"0",""),"-",""))+LEN(SUBSTITUTE(SUBSTITUTE(SUBSTITUTE(F393," ",""),"0",""),"-",""))),1,0))+IF(UPPER(D394)="X",0,IF((LEN(SUBSTITUTE(SUBSTITUTE(SUBSTITUTE(B394," ",""),"0",""),"-",""))+LEN(SUBSTITUTE(SUBSTITUTE(SUBSTITUTE(C394," ",""),"0",""),"-","")))&gt;(LEN(SUBSTITUTE(SUBSTITUTE(SUBSTITUTE(E394," ",""),"0",""),"-",""))+LEN(SUBSTITUTE(SUBSTITUTE(SUBSTITUTE(F394," ",""),"0",""),"-",""))),1,0))+IF(UPPER(D395)="X",0,IF((LEN(SUBSTITUTE(SUBSTITUTE(SUBSTITUTE(B395," ",""),"0",""),"-",""))+LEN(SUBSTITUTE(SUBSTITUTE(SUBSTITUTE(C395," ",""),"0",""),"-","")))&gt;(LEN(SUBSTITUTE(SUBSTITUTE(SUBSTITUTE(E395," ",""),"0",""),"-",""))+LEN(SUBSTITUTE(SUBSTITUTE(SUBSTITUTE(F395," ",""),"0",""),"-",""))),1,0))+IF(UPPER(D396)="X",0,IF((LEN(SUBSTITUTE(SUBSTITUTE(SUBSTITUTE(B396," ",""),"0",""),"-",""))+LEN(SUBSTITUTE(SUBSTITUTE(SUBSTITUTE(C396," ",""),"0",""),"-","")))&gt;(LEN(SUBSTITUTE(SUBSTITUTE(SUBSTITUTE(E396," ",""),"0",""),"-",""))+LEN(SUBSTITUTE(SUBSTITUTE(SUBSTITUTE(F396," ",""),"0",""),"-",""))),1,0))</f>
      </c>
      <c r="C391" s="14" t="str">
        <f>LEN(SUBSTITUTE(SUBSTITUTE(SUBSTITUTE(B392," ",""),"0",""),"-",""))+LEN(SUBSTITUTE(SUBSTITUTE(SUBSTITUTE(C392," ",""),"0",""),"-",""))+LEN(SUBSTITUTE(SUBSTITUTE(SUBSTITUTE(B393," ",""),"0",""),"-",""))+LEN(SUBSTITUTE(SUBSTITUTE(SUBSTITUTE(C393," ",""),"0",""),"-",""))+LEN(SUBSTITUTE(SUBSTITUTE(SUBSTITUTE(B394," ",""),"0",""),"-",""))+LEN(SUBSTITUTE(SUBSTITUTE(SUBSTITUTE(C394," ",""),"0",""),"-",""))+LEN(SUBSTITUTE(SUBSTITUTE(SUBSTITUTE(B395," ",""),"0",""),"-",""))+LEN(SUBSTITUTE(SUBSTITUTE(SUBSTITUTE(C395," ",""),"0",""),"-",""))+LEN(SUBSTITUTE(SUBSTITUTE(SUBSTITUTE(B396," ",""),"0",""),"-",""))+LEN(SUBSTITUTE(SUBSTITUTE(SUBSTITUTE(C396," ",""),"0",""),"-",""))</f>
      </c>
      <c r="D391" s="18"/>
      <c r="E391" s="14" t="str">
        <f>LEN(SUBSTITUTE(SUBSTITUTE(SUBSTITUTE(E392," ",""),"0",""),"-",""))+LEN(SUBSTITUTE(SUBSTITUTE(SUBSTITUTE(F392," ",""),"0",""),"-",""))+LEN(SUBSTITUTE(SUBSTITUTE(SUBSTITUTE(E393," ",""),"0",""),"-",""))+LEN(SUBSTITUTE(SUBSTITUTE(SUBSTITUTE(F393," ",""),"0",""),"-",""))+LEN(SUBSTITUTE(SUBSTITUTE(SUBSTITUTE(E394," ",""),"0",""),"-",""))+LEN(SUBSTITUTE(SUBSTITUTE(SUBSTITUTE(F394," ",""),"0",""),"-",""))+LEN(SUBSTITUTE(SUBSTITUTE(SUBSTITUTE(E395," ",""),"0",""),"-",""))+LEN(SUBSTITUTE(SUBSTITUTE(SUBSTITUTE(F395," ",""),"0",""),"-",""))+LEN(SUBSTITUTE(SUBSTITUTE(SUBSTITUTE(E396," ",""),"0",""),"-",""))+LEN(SUBSTITUTE(SUBSTITUTE(SUBSTITUTE(F396," ",""),"0",""),"-",""))</f>
      </c>
      <c r="F391" s="14" t="str">
        <f>IF(UPPER(D392)="X",0,IF((LEN(SUBSTITUTE(SUBSTITUTE(SUBSTITUTE(E392," ",""),"0",""),"-",""))+LEN(SUBSTITUTE(SUBSTITUTE(SUBSTITUTE(F392," ",""),"0",""),"-","")))&gt;(LEN(SUBSTITUTE(SUBSTITUTE(SUBSTITUTE(B392," ",""),"0",""),"-",""))+LEN(SUBSTITUTE(SUBSTITUTE(SUBSTITUTE(C392," ",""),"0",""),"-",""))),1,0))+IF(UPPER(D393)="X",0,IF((LEN(SUBSTITUTE(SUBSTITUTE(SUBSTITUTE(E393," ",""),"0",""),"-",""))+LEN(SUBSTITUTE(SUBSTITUTE(SUBSTITUTE(F393," ",""),"0",""),"-","")))&gt;(LEN(SUBSTITUTE(SUBSTITUTE(SUBSTITUTE(B393," ",""),"0",""),"-",""))+LEN(SUBSTITUTE(SUBSTITUTE(SUBSTITUTE(C393," ",""),"0",""),"-",""))),1,0))+IF(UPPER(D394)="X",0,IF((LEN(SUBSTITUTE(SUBSTITUTE(SUBSTITUTE(E394," ",""),"0",""),"-",""))+LEN(SUBSTITUTE(SUBSTITUTE(SUBSTITUTE(F394," ",""),"0",""),"-","")))&gt;(LEN(SUBSTITUTE(SUBSTITUTE(SUBSTITUTE(B394," ",""),"0",""),"-",""))+LEN(SUBSTITUTE(SUBSTITUTE(SUBSTITUTE(C394," ",""),"0",""),"-",""))),1,0))+IF(UPPER(D395)="X",0,IF((LEN(SUBSTITUTE(SUBSTITUTE(SUBSTITUTE(E395," ",""),"0",""),"-",""))+LEN(SUBSTITUTE(SUBSTITUTE(SUBSTITUTE(F395," ",""),"0",""),"-","")))&gt;(LEN(SUBSTITUTE(SUBSTITUTE(SUBSTITUTE(B395," ",""),"0",""),"-",""))+LEN(SUBSTITUTE(SUBSTITUTE(SUBSTITUTE(C395," ",""),"0",""),"-",""))),1,0))+IF(UPPER(D396)="X",0,IF((LEN(SUBSTITUTE(SUBSTITUTE(SUBSTITUTE(E396," ",""),"0",""),"-",""))+LEN(SUBSTITUTE(SUBSTITUTE(SUBSTITUTE(F396," ",""),"0",""),"-","")))&gt;(LEN(SUBSTITUTE(SUBSTITUTE(SUBSTITUTE(B396," ",""),"0",""),"-",""))+LEN(SUBSTITUTE(SUBSTITUTE(SUBSTITUTE(C396," ",""),"0",""),"-",""))),1,0))</f>
      </c>
      <c r="G391" s="14" t="str">
        <f>'data'!$B$30</f>
      </c>
      <c r="I391" s="14" t="str">
        <f>'data'!$B$78</f>
      </c>
      <c r="J391" s="14" t="str">
        <f>IF(UPPER(L392)="X",0,IF((LEN(SUBSTITUTE(SUBSTITUTE(SUBSTITUTE(J392," ",""),"0",""),"-",""))+LEN(SUBSTITUTE(SUBSTITUTE(SUBSTITUTE(K392," ",""),"0",""),"-","")))&gt;(LEN(SUBSTITUTE(SUBSTITUTE(SUBSTITUTE(M392," ",""),"0",""),"-",""))+LEN(SUBSTITUTE(SUBSTITUTE(SUBSTITUTE(N392," ",""),"0",""),"-",""))),1,0))+IF(UPPER(L393)="X",0,IF((LEN(SUBSTITUTE(SUBSTITUTE(SUBSTITUTE(J393," ",""),"0",""),"-",""))+LEN(SUBSTITUTE(SUBSTITUTE(SUBSTITUTE(K393," ",""),"0",""),"-","")))&gt;(LEN(SUBSTITUTE(SUBSTITUTE(SUBSTITUTE(M393," ",""),"0",""),"-",""))+LEN(SUBSTITUTE(SUBSTITUTE(SUBSTITUTE(N393," ",""),"0",""),"-",""))),1,0))+IF(UPPER(L394)="X",0,IF((LEN(SUBSTITUTE(SUBSTITUTE(SUBSTITUTE(J394," ",""),"0",""),"-",""))+LEN(SUBSTITUTE(SUBSTITUTE(SUBSTITUTE(K394," ",""),"0",""),"-","")))&gt;(LEN(SUBSTITUTE(SUBSTITUTE(SUBSTITUTE(M394," ",""),"0",""),"-",""))+LEN(SUBSTITUTE(SUBSTITUTE(SUBSTITUTE(N394," ",""),"0",""),"-",""))),1,0))+IF(UPPER(L395)="X",0,IF((LEN(SUBSTITUTE(SUBSTITUTE(SUBSTITUTE(J395," ",""),"0",""),"-",""))+LEN(SUBSTITUTE(SUBSTITUTE(SUBSTITUTE(K395," ",""),"0",""),"-","")))&gt;(LEN(SUBSTITUTE(SUBSTITUTE(SUBSTITUTE(M395," ",""),"0",""),"-",""))+LEN(SUBSTITUTE(SUBSTITUTE(SUBSTITUTE(N395," ",""),"0",""),"-",""))),1,0))+IF(UPPER(L396)="X",0,IF((LEN(SUBSTITUTE(SUBSTITUTE(SUBSTITUTE(J396," ",""),"0",""),"-",""))+LEN(SUBSTITUTE(SUBSTITUTE(SUBSTITUTE(K396," ",""),"0",""),"-","")))&gt;(LEN(SUBSTITUTE(SUBSTITUTE(SUBSTITUTE(M396," ",""),"0",""),"-",""))+LEN(SUBSTITUTE(SUBSTITUTE(SUBSTITUTE(N396," ",""),"0",""),"-",""))),1,0))</f>
      </c>
      <c r="K391" s="14" t="str">
        <f>LEN(SUBSTITUTE(SUBSTITUTE(SUBSTITUTE(J392," ",""),"0",""),"-",""))+LEN(SUBSTITUTE(SUBSTITUTE(SUBSTITUTE(K392," ",""),"0",""),"-",""))+LEN(SUBSTITUTE(SUBSTITUTE(SUBSTITUTE(J393," ",""),"0",""),"-",""))+LEN(SUBSTITUTE(SUBSTITUTE(SUBSTITUTE(K393," ",""),"0",""),"-",""))+LEN(SUBSTITUTE(SUBSTITUTE(SUBSTITUTE(J394," ",""),"0",""),"-",""))+LEN(SUBSTITUTE(SUBSTITUTE(SUBSTITUTE(K394," ",""),"0",""),"-",""))+LEN(SUBSTITUTE(SUBSTITUTE(SUBSTITUTE(J395," ",""),"0",""),"-",""))+LEN(SUBSTITUTE(SUBSTITUTE(SUBSTITUTE(K395," ",""),"0",""),"-",""))+LEN(SUBSTITUTE(SUBSTITUTE(SUBSTITUTE(J396," ",""),"0",""),"-",""))+LEN(SUBSTITUTE(SUBSTITUTE(SUBSTITUTE(K396," ",""),"0",""),"-",""))</f>
      </c>
      <c r="L391" s="18"/>
      <c r="M391" s="14" t="str">
        <f>LEN(SUBSTITUTE(SUBSTITUTE(SUBSTITUTE(M392," ",""),"0",""),"-",""))+LEN(SUBSTITUTE(SUBSTITUTE(SUBSTITUTE(N392," ",""),"0",""),"-",""))+LEN(SUBSTITUTE(SUBSTITUTE(SUBSTITUTE(M393," ",""),"0",""),"-",""))+LEN(SUBSTITUTE(SUBSTITUTE(SUBSTITUTE(N393," ",""),"0",""),"-",""))+LEN(SUBSTITUTE(SUBSTITUTE(SUBSTITUTE(M394," ",""),"0",""),"-",""))+LEN(SUBSTITUTE(SUBSTITUTE(SUBSTITUTE(N394," ",""),"0",""),"-",""))+LEN(SUBSTITUTE(SUBSTITUTE(SUBSTITUTE(M395," ",""),"0",""),"-",""))+LEN(SUBSTITUTE(SUBSTITUTE(SUBSTITUTE(N395," ",""),"0",""),"-",""))+LEN(SUBSTITUTE(SUBSTITUTE(SUBSTITUTE(M396," ",""),"0",""),"-",""))+LEN(SUBSTITUTE(SUBSTITUTE(SUBSTITUTE(N396," ",""),"0",""),"-",""))</f>
      </c>
      <c r="N391" s="14" t="str">
        <f>IF(UPPER(L392)="X",0,IF((LEN(SUBSTITUTE(SUBSTITUTE(SUBSTITUTE(M392," ",""),"0",""),"-",""))+LEN(SUBSTITUTE(SUBSTITUTE(SUBSTITUTE(N392," ",""),"0",""),"-","")))&gt;(LEN(SUBSTITUTE(SUBSTITUTE(SUBSTITUTE(J392," ",""),"0",""),"-",""))+LEN(SUBSTITUTE(SUBSTITUTE(SUBSTITUTE(K392," ",""),"0",""),"-",""))),1,0))+IF(UPPER(L393)="X",0,IF((LEN(SUBSTITUTE(SUBSTITUTE(SUBSTITUTE(M393," ",""),"0",""),"-",""))+LEN(SUBSTITUTE(SUBSTITUTE(SUBSTITUTE(N393," ",""),"0",""),"-","")))&gt;(LEN(SUBSTITUTE(SUBSTITUTE(SUBSTITUTE(J393," ",""),"0",""),"-",""))+LEN(SUBSTITUTE(SUBSTITUTE(SUBSTITUTE(K393," ",""),"0",""),"-",""))),1,0))+IF(UPPER(L394)="X",0,IF((LEN(SUBSTITUTE(SUBSTITUTE(SUBSTITUTE(M394," ",""),"0",""),"-",""))+LEN(SUBSTITUTE(SUBSTITUTE(SUBSTITUTE(N394," ",""),"0",""),"-","")))&gt;(LEN(SUBSTITUTE(SUBSTITUTE(SUBSTITUTE(J394," ",""),"0",""),"-",""))+LEN(SUBSTITUTE(SUBSTITUTE(SUBSTITUTE(K394," ",""),"0",""),"-",""))),1,0))+IF(UPPER(L395)="X",0,IF((LEN(SUBSTITUTE(SUBSTITUTE(SUBSTITUTE(M395," ",""),"0",""),"-",""))+LEN(SUBSTITUTE(SUBSTITUTE(SUBSTITUTE(N395," ",""),"0",""),"-","")))&gt;(LEN(SUBSTITUTE(SUBSTITUTE(SUBSTITUTE(J395," ",""),"0",""),"-",""))+LEN(SUBSTITUTE(SUBSTITUTE(SUBSTITUTE(K395," ",""),"0",""),"-",""))),1,0))+IF(UPPER(L396)="X",0,IF((LEN(SUBSTITUTE(SUBSTITUTE(SUBSTITUTE(M396," ",""),"0",""),"-",""))+LEN(SUBSTITUTE(SUBSTITUTE(SUBSTITUTE(N396," ",""),"0",""),"-","")))&gt;(LEN(SUBSTITUTE(SUBSTITUTE(SUBSTITUTE(J396," ",""),"0",""),"-",""))+LEN(SUBSTITUTE(SUBSTITUTE(SUBSTITUTE(K396," ",""),"0",""),"-",""))),1,0))</f>
      </c>
      <c r="O391" s="14" t="str">
        <f>'data'!$B$77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239</v>
      </c>
      <c r="B398" s="14"/>
      <c r="C398" s="14"/>
      <c r="D398" s="14" t="s">
        <v>240</v>
      </c>
      <c r="E398" s="14"/>
      <c r="F398" s="14"/>
      <c r="G398" s="16" t="s">
        <v>241</v>
      </c>
      <c r="I398" s="17" t="s">
        <v>239</v>
      </c>
      <c r="J398" s="14"/>
      <c r="K398" s="14"/>
      <c r="L398" s="14" t="s">
        <v>240</v>
      </c>
      <c r="M398" s="14"/>
      <c r="N398" s="14"/>
      <c r="O398" s="16" t="s">
        <v>241</v>
      </c>
    </row>
    <row r="399">
      <c r="A399" s="14" t="str">
        <f>'data'!$B$32</f>
      </c>
      <c r="B399" s="14" t="str">
        <f>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f>
      </c>
      <c r="C399" s="14" t="str">
        <f>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",""),"0",""),"-",""))+LEN(SUBSTITUTE(SUBSTITUTE(SUBSTITUTE(B404," ",""),"0",""),"-",""))+LEN(SUBSTITUTE(SUBSTITUTE(SUBSTITUTE(C404," ",""),"0",""),"-",""))</f>
      </c>
      <c r="D399" s="18"/>
      <c r="E399" s="14" t="str">
        <f>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",""),"0",""),"-",""))+LEN(SUBSTITUTE(SUBSTITUTE(SUBSTITUTE(E404," ",""),"0",""),"-",""))+LEN(SUBSTITUTE(SUBSTITUTE(SUBSTITUTE(F404," ",""),"0",""),"-",""))</f>
      </c>
      <c r="F399" s="14" t="str">
        <f>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f>
      </c>
      <c r="G399" s="14" t="str">
        <f>'data'!$B$30</f>
      </c>
      <c r="I399" s="14" t="str">
        <f>'data'!$B$79</f>
      </c>
      <c r="J399" s="14" t="str">
        <f>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f>
      </c>
      <c r="K399" s="14" t="str">
        <f>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",""),"0",""),"-",""))+LEN(SUBSTITUTE(SUBSTITUTE(SUBSTITUTE(J404," ",""),"0",""),"-",""))+LEN(SUBSTITUTE(SUBSTITUTE(SUBSTITUTE(K404," ",""),"0",""),"-",""))</f>
      </c>
      <c r="L399" s="18"/>
      <c r="M399" s="14" t="str">
        <f>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",""),"0",""),"-",""))+LEN(SUBSTITUTE(SUBSTITUTE(SUBSTITUTE(M404," ",""),"0",""),"-",""))+LEN(SUBSTITUTE(SUBSTITUTE(SUBSTITUTE(N404," ",""),"0",""),"-",""))</f>
      </c>
      <c r="N399" s="14" t="str">
        <f>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f>
      </c>
      <c r="O399" s="14" t="str">
        <f>'data'!$B$77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239</v>
      </c>
      <c r="B406" s="14"/>
      <c r="C406" s="14"/>
      <c r="D406" s="14" t="s">
        <v>240</v>
      </c>
      <c r="E406" s="14"/>
      <c r="F406" s="14"/>
      <c r="G406" s="16" t="s">
        <v>241</v>
      </c>
      <c r="I406" s="17" t="s">
        <v>239</v>
      </c>
      <c r="J406" s="14"/>
      <c r="K406" s="14"/>
      <c r="L406" s="14" t="s">
        <v>240</v>
      </c>
      <c r="M406" s="14"/>
      <c r="N406" s="14"/>
      <c r="O406" s="16" t="s">
        <v>241</v>
      </c>
    </row>
    <row r="407">
      <c r="A407" s="14" t="str">
        <f>'data'!$B$32</f>
      </c>
      <c r="B407" s="14" t="str">
        <f>IF(UPPER(D408)="X",0,IF((LEN(SUBSTITUTE(SUBSTITUTE(SUBSTITUTE(B408," ",""),"0",""),"-",""))+LEN(SUBSTITUTE(SUBSTITUTE(SUBSTITUTE(C408," ",""),"0",""),"-","")))&gt;(LEN(SUBSTITUTE(SUBSTITUTE(SUBSTITUTE(E408," ",""),"0",""),"-",""))+LEN(SUBSTITUTE(SUBSTITUTE(SUBSTITUTE(F408," ",""),"0",""),"-",""))),1,0))+IF(UPPER(D409)="X",0,IF((LEN(SUBSTITUTE(SUBSTITUTE(SUBSTITUTE(B409," ",""),"0",""),"-",""))+LEN(SUBSTITUTE(SUBSTITUTE(SUBSTITUTE(C409," ",""),"0",""),"-","")))&gt;(LEN(SUBSTITUTE(SUBSTITUTE(SUBSTITUTE(E409," ",""),"0",""),"-",""))+LEN(SUBSTITUTE(SUBSTITUTE(SUBSTITUTE(F409," ",""),"0",""),"-",""))),1,0))+IF(UPPER(D410)="X",0,IF((LEN(SUBSTITUTE(SUBSTITUTE(SUBSTITUTE(B410,"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f>
      </c>
      <c r="C407" s="14" t="str">
        <f>LEN(SUBSTITUTE(SUBSTITUTE(SUBSTITUTE(B408," ",""),"0",""),"-",""))+LEN(SUBSTITUTE(SUBSTITUTE(SUBSTITUTE(C408," ",""),"0",""),"-",""))+LEN(SUBSTITUTE(SUBSTITUTE(SUBSTITUTE(B409," ",""),"0",""),"-",""))+LEN(SUBSTITUTE(SUBSTITUTE(SUBSTITUTE(C409," ",""),"0",""),"-",""))+LEN(SUBSTITUTE(SUBSTITUTE(SUBSTITUTE(B410," ",""),"0",""),"-",""))+LEN(SUBSTITUTE(SUBSTITUTE(SUBSTITUTE(C410," ",""),"0",""),"-",""))+LEN(SUBSTITUTE(SUBSTITUTE(SUBSTITUTE(B411," ",""),"0",""),"-",""))+LEN(SUBSTITUTE(SUBSTITUTE(SUBSTITUTE(C411," ",""),"0",""),"-",""))+LEN(SUBSTITUTE(SUBSTITUTE(SUBSTITUTE(B412," ",""),"0",""),"-",""))+LEN(SUBSTITUTE(SUBSTITUTE(SUBSTITUTE(C412," ",""),"0",""),"-",""))</f>
      </c>
      <c r="D407" s="18"/>
      <c r="E407" s="14" t="str">
        <f>LEN(SUBSTITUTE(SUBSTITUTE(SUBSTITUTE(E408," ",""),"0",""),"-",""))+LEN(SUBSTITUTE(SUBSTITUTE(SUBSTITUTE(F408," ",""),"0",""),"-",""))+LEN(SUBSTITUTE(SUBSTITUTE(SUBSTITUTE(E409," ",""),"0",""),"-",""))+LEN(SUBSTITUTE(SUBSTITUTE(SUBSTITUTE(F409," ",""),"0",""),"-",""))+LEN(SUBSTITUTE(SUBSTITUTE(SUBSTITUTE(E410," ",""),"0",""),"-",""))+LEN(SUBSTITUTE(SUBSTITUTE(SUBSTITUTE(F410," ",""),"0",""),"-",""))+LEN(SUBSTITUTE(SUBSTITUTE(SUBSTITUTE(E411," ",""),"0",""),"-",""))+LEN(SUBSTITUTE(SUBSTITUTE(SUBSTITUTE(F411," ",""),"0",""),"-",""))+LEN(SUBSTITUTE(SUBSTITUTE(SUBSTITUTE(E412," ",""),"0",""),"-",""))+LEN(SUBSTITUTE(SUBSTITUTE(SUBSTITUTE(F412," ",""),"0",""),"-",""))</f>
      </c>
      <c r="F407" s="14" t="str">
        <f>IF(UPPER(D408)="X",0,IF((LEN(SUBSTITUTE(SUBSTITUTE(SUBSTITUTE(E408," ",""),"0",""),"-",""))+LEN(SUBSTITUTE(SUBSTITUTE(SUBSTITUTE(F408," ",""),"0",""),"-","")))&gt;(LEN(SUBSTITUTE(SUBSTITUTE(SUBSTITUTE(B408," ",""),"0",""),"-",""))+LEN(SUBSTITUTE(SUBSTITUTE(SUBSTITUTE(C408," ",""),"0",""),"-",""))),1,0))+IF(UPPER(D409)="X",0,IF((LEN(SUBSTITUTE(SUBSTITUTE(SUBSTITUTE(E409," ",""),"0",""),"-",""))+LEN(SUBSTITUTE(SUBSTITUTE(SUBSTITUTE(F409," ",""),"0",""),"-","")))&gt;(LEN(SUBSTITUTE(SUBSTITUTE(SUBSTITUTE(B409," ",""),"0",""),"-",""))+LEN(SUBSTITUTE(SUBSTITUTE(SUBSTITUTE(C409," ",""),"0",""),"-",""))),1,0))+IF(UPPER(D410)="X",0,IF((LEN(SUBSTITUTE(SUBSTITUTE(SUBSTITUTE(E410,"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f>
      </c>
      <c r="G407" s="14" t="str">
        <f>'data'!$B$31</f>
      </c>
      <c r="I407" s="14" t="str">
        <f>'data'!$B$79</f>
      </c>
      <c r="J407" s="14" t="str">
        <f>IF(UPPER(L408)="X",0,IF((LEN(SUBSTITUTE(SUBSTITUTE(SUBSTITUTE(J408," ",""),"0",""),"-",""))+LEN(SUBSTITUTE(SUBSTITUTE(SUBSTITUTE(K408," ",""),"0",""),"-","")))&gt;(LEN(SUBSTITUTE(SUBSTITUTE(SUBSTITUTE(M408," ",""),"0",""),"-",""))+LEN(SUBSTITUTE(SUBSTITUTE(SUBSTITUTE(N408," ",""),"0",""),"-",""))),1,0))+IF(UPPER(L409)="X",0,IF((LEN(SUBSTITUTE(SUBSTITUTE(SUBSTITUTE(J409," ",""),"0",""),"-",""))+LEN(SUBSTITUTE(SUBSTITUTE(SUBSTITUTE(K409," ",""),"0",""),"-","")))&gt;(LEN(SUBSTITUTE(SUBSTITUTE(SUBSTITUTE(M409," ",""),"0",""),"-",""))+LEN(SUBSTITUTE(SUBSTITUTE(SUBSTITUTE(N409," ",""),"0",""),"-",""))),1,0))+IF(UPPER(L410)="X",0,IF((LEN(SUBSTITUTE(SUBSTITUTE(SUBSTITUTE(J410,"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f>
      </c>
      <c r="K407" s="14" t="str">
        <f>LEN(SUBSTITUTE(SUBSTITUTE(SUBSTITUTE(J408," ",""),"0",""),"-",""))+LEN(SUBSTITUTE(SUBSTITUTE(SUBSTITUTE(K408," ",""),"0",""),"-",""))+LEN(SUBSTITUTE(SUBSTITUTE(SUBSTITUTE(J409," ",""),"0",""),"-",""))+LEN(SUBSTITUTE(SUBSTITUTE(SUBSTITUTE(K409," ",""),"0",""),"-",""))+LEN(SUBSTITUTE(SUBSTITUTE(SUBSTITUTE(J410," ",""),"0",""),"-",""))+LEN(SUBSTITUTE(SUBSTITUTE(SUBSTITUTE(K410," ",""),"0",""),"-",""))+LEN(SUBSTITUTE(SUBSTITUTE(SUBSTITUTE(J411," ",""),"0",""),"-",""))+LEN(SUBSTITUTE(SUBSTITUTE(SUBSTITUTE(K411," ",""),"0",""),"-",""))+LEN(SUBSTITUTE(SUBSTITUTE(SUBSTITUTE(J412," ",""),"0",""),"-",""))+LEN(SUBSTITUTE(SUBSTITUTE(SUBSTITUTE(K412," ",""),"0",""),"-",""))</f>
      </c>
      <c r="L407" s="18"/>
      <c r="M407" s="14" t="str">
        <f>LEN(SUBSTITUTE(SUBSTITUTE(SUBSTITUTE(M408," ",""),"0",""),"-",""))+LEN(SUBSTITUTE(SUBSTITUTE(SUBSTITUTE(N408," ",""),"0",""),"-",""))+LEN(SUBSTITUTE(SUBSTITUTE(SUBSTITUTE(M409," ",""),"0",""),"-",""))+LEN(SUBSTITUTE(SUBSTITUTE(SUBSTITUTE(N409," ",""),"0",""),"-",""))+LEN(SUBSTITUTE(SUBSTITUTE(SUBSTITUTE(M410," ",""),"0",""),"-",""))+LEN(SUBSTITUTE(SUBSTITUTE(SUBSTITUTE(N410," ",""),"0",""),"-",""))+LEN(SUBSTITUTE(SUBSTITUTE(SUBSTITUTE(M411," ",""),"0",""),"-",""))+LEN(SUBSTITUTE(SUBSTITUTE(SUBSTITUTE(N411," ",""),"0",""),"-",""))+LEN(SUBSTITUTE(SUBSTITUTE(SUBSTITUTE(M412," ",""),"0",""),"-",""))+LEN(SUBSTITUTE(SUBSTITUTE(SUBSTITUTE(N412," ",""),"0",""),"-",""))</f>
      </c>
      <c r="N407" s="14" t="str">
        <f>IF(UPPER(L408)="X",0,IF((LEN(SUBSTITUTE(SUBSTITUTE(SUBSTITUTE(M408," ",""),"0",""),"-",""))+LEN(SUBSTITUTE(SUBSTITUTE(SUBSTITUTE(N408," ",""),"0",""),"-","")))&gt;(LEN(SUBSTITUTE(SUBSTITUTE(SUBSTITUTE(J408," ",""),"0",""),"-",""))+LEN(SUBSTITUTE(SUBSTITUTE(SUBSTITUTE(K408," ",""),"0",""),"-",""))),1,0))+IF(UPPER(L409)="X",0,IF((LEN(SUBSTITUTE(SUBSTITUTE(SUBSTITUTE(M409," ",""),"0",""),"-",""))+LEN(SUBSTITUTE(SUBSTITUTE(SUBSTITUTE(N409," ",""),"0",""),"-","")))&gt;(LEN(SUBSTITUTE(SUBSTITUTE(SUBSTITUTE(J409," ",""),"0",""),"-",""))+LEN(SUBSTITUTE(SUBSTITUTE(SUBSTITUTE(K409," ",""),"0",""),"-",""))),1,0))+IF(UPPER(L410)="X",0,IF((LEN(SUBSTITUTE(SUBSTITUTE(SUBSTITUTE(M410,"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f>
      </c>
      <c r="O407" s="14" t="str">
        <f>'data'!$B$78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242</v>
      </c>
      <c r="B415" s="13" t="s">
        <v>243</v>
      </c>
      <c r="C415" s="13" t="s">
        <v>244</v>
      </c>
      <c r="D415" s="13" t="s">
        <v>245</v>
      </c>
      <c r="E415" s="13"/>
      <c r="F415" s="13"/>
      <c r="G415" s="13" t="s">
        <v>246</v>
      </c>
      <c r="I415" s="13" t="s">
        <v>242</v>
      </c>
      <c r="J415" s="13" t="s">
        <v>243</v>
      </c>
      <c r="K415" s="13" t="s">
        <v>244</v>
      </c>
      <c r="L415" s="13" t="s">
        <v>245</v>
      </c>
      <c r="M415" s="13"/>
      <c r="N415" s="13"/>
      <c r="O415" s="13" t="s">
        <v>246</v>
      </c>
    </row>
    <row r="416">
      <c r="A416" s="14" t="str">
        <f>'data'!$B$30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247</v>
      </c>
      <c r="C420" s="13" t="s">
        <v>248</v>
      </c>
      <c r="D420" s="13" t="s">
        <v>249</v>
      </c>
      <c r="E420" s="13" t="s">
        <v>250</v>
      </c>
      <c r="F420" s="13" t="s">
        <v>251</v>
      </c>
      <c r="I420" s="13"/>
      <c r="J420" s="13" t="s">
        <v>247</v>
      </c>
      <c r="K420" s="13" t="s">
        <v>248</v>
      </c>
      <c r="L420" s="13" t="s">
        <v>249</v>
      </c>
      <c r="M420" s="13" t="s">
        <v>250</v>
      </c>
      <c r="N420" s="13" t="s">
        <v>251</v>
      </c>
    </row>
    <row r="421">
      <c r="A421" s="14" t="str">
        <f>'data'!$B$30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252</v>
      </c>
      <c r="N426" s="13"/>
      <c r="O426" s="13" t="s">
        <v>252</v>
      </c>
    </row>
    <row r="427">
      <c r="F427" t="s">
        <v>253</v>
      </c>
      <c r="G427" s="19" t="str">
        <f>IFERROR(INDEX($A$416:$A$423, MATCH(1, $G$416:$G$423, 0)), "-")</f>
      </c>
      <c r="N427" t="s">
        <v>253</v>
      </c>
      <c r="O427" s="19" t="str">
        <f>IFERROR(INDEX($I$416:$I$423, MATCH(1, $O$416:$O$423, 0)), "-")</f>
      </c>
    </row>
    <row r="428">
      <c r="F428" t="s">
        <v>254</v>
      </c>
      <c r="G428" s="19" t="str">
        <f>IFERROR(INDEX($A$416:$A$423, MATCH(2, $G$416:$G$423, 0)), "-")</f>
      </c>
      <c r="N428" t="s">
        <v>254</v>
      </c>
      <c r="O428" s="19" t="str">
        <f>IFERROR(INDEX($I$416:$I$423, MATCH(2, $O$416:$O$423, 0)), "-")</f>
      </c>
    </row>
    <row r="429">
      <c r="F429" t="s">
        <v>255</v>
      </c>
      <c r="G429" s="19" t="str">
        <f>IFERROR(INDEX($A$416:$A$423, MATCH(3, $G$416:$G$423, 0)), "-")</f>
      </c>
      <c r="N429" t="s">
        <v>255</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239</v>
      </c>
      <c r="B433" s="14"/>
      <c r="C433" s="14"/>
      <c r="D433" s="14" t="s">
        <v>240</v>
      </c>
      <c r="E433" s="14"/>
      <c r="F433" s="14"/>
      <c r="G433" s="16" t="s">
        <v>241</v>
      </c>
      <c r="I433" s="17" t="s">
        <v>239</v>
      </c>
      <c r="J433" s="14"/>
      <c r="K433" s="14"/>
      <c r="L433" s="14" t="s">
        <v>240</v>
      </c>
      <c r="M433" s="14"/>
      <c r="N433" s="14"/>
      <c r="O433" s="16" t="s">
        <v>241</v>
      </c>
    </row>
    <row r="434">
      <c r="A434" s="14" t="str">
        <f>'data'!$B$34</f>
      </c>
      <c r="B434" s="14" t="str">
        <f>IF(UPPER(D435)="X",0,IF((LEN(SUBSTITUTE(SUBSTITUTE(SUBSTITUTE(B435," ",""),"0",""),"-",""))+LEN(SUBSTITUTE(SUBSTITUTE(SUBSTITUTE(C435," ",""),"0",""),"-","")))&gt;(LEN(SUBSTITUTE(SUBSTITUTE(SUBSTITUTE(E435," ",""),"0",""),"-",""))+LEN(SUBSTITUTE(SUBSTITUTE(SUBSTITUTE(F435," ",""),"0",""),"-",""))),1,0))+IF(UPPER(D436)="X",0,IF((LEN(SUBSTITUTE(SUBSTITUTE(SUBSTITUTE(B436,"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f>
      </c>
      <c r="C434" s="14" t="str">
        <f>LEN(SUBSTITUTE(SUBSTITUTE(SUBSTITUTE(B435," ",""),"0",""),"-",""))+LEN(SUBSTITUTE(SUBSTITUTE(SUBSTITUTE(C435," ",""),"0",""),"-",""))+LEN(SUBSTITUTE(SUBSTITUTE(SUBSTITUTE(B436,"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f>
      </c>
      <c r="D434" s="18"/>
      <c r="E434" s="14" t="str">
        <f>LEN(SUBSTITUTE(SUBSTITUTE(SUBSTITUTE(E435," ",""),"0",""),"-",""))+LEN(SUBSTITUTE(SUBSTITUTE(SUBSTITUTE(F435," ",""),"0",""),"-",""))+LEN(SUBSTITUTE(SUBSTITUTE(SUBSTITUTE(E436,"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f>
      </c>
      <c r="F434" s="14" t="str">
        <f>IF(UPPER(D435)="X",0,IF((LEN(SUBSTITUTE(SUBSTITUTE(SUBSTITUTE(E435," ",""),"0",""),"-",""))+LEN(SUBSTITUTE(SUBSTITUTE(SUBSTITUTE(F435," ",""),"0",""),"-","")))&gt;(LEN(SUBSTITUTE(SUBSTITUTE(SUBSTITUTE(B435," ",""),"0",""),"-",""))+LEN(SUBSTITUTE(SUBSTITUTE(SUBSTITUTE(C435," ",""),"0",""),"-",""))),1,0))+IF(UPPER(D436)="X",0,IF((LEN(SUBSTITUTE(SUBSTITUTE(SUBSTITUTE(E436,"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f>
      </c>
      <c r="G434" s="14" t="str">
        <f>'data'!$B$33</f>
      </c>
      <c r="I434" s="14" t="str">
        <f>'data'!$B$81</f>
      </c>
      <c r="J434" s="14" t="str">
        <f>IF(UPPER(L435)="X",0,IF((LEN(SUBSTITUTE(SUBSTITUTE(SUBSTITUTE(J435," ",""),"0",""),"-",""))+LEN(SUBSTITUTE(SUBSTITUTE(SUBSTITUTE(K435," ",""),"0",""),"-","")))&gt;(LEN(SUBSTITUTE(SUBSTITUTE(SUBSTITUTE(M435," ",""),"0",""),"-",""))+LEN(SUBSTITUTE(SUBSTITUTE(SUBSTITUTE(N435," ",""),"0",""),"-",""))),1,0))+IF(UPPER(L436)="X",0,IF((LEN(SUBSTITUTE(SUBSTITUTE(SUBSTITUTE(J436,"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f>
      </c>
      <c r="K434" s="14" t="str">
        <f>LEN(SUBSTITUTE(SUBSTITUTE(SUBSTITUTE(J435," ",""),"0",""),"-",""))+LEN(SUBSTITUTE(SUBSTITUTE(SUBSTITUTE(K435," ",""),"0",""),"-",""))+LEN(SUBSTITUTE(SUBSTITUTE(SUBSTITUTE(J436,"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f>
      </c>
      <c r="L434" s="18"/>
      <c r="M434" s="14" t="str">
        <f>LEN(SUBSTITUTE(SUBSTITUTE(SUBSTITUTE(M435," ",""),"0",""),"-",""))+LEN(SUBSTITUTE(SUBSTITUTE(SUBSTITUTE(N435," ",""),"0",""),"-",""))+LEN(SUBSTITUTE(SUBSTITUTE(SUBSTITUTE(M436,"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f>
      </c>
      <c r="N434" s="14" t="str">
        <f>IF(UPPER(L435)="X",0,IF((LEN(SUBSTITUTE(SUBSTITUTE(SUBSTITUTE(M435," ",""),"0",""),"-",""))+LEN(SUBSTITUTE(SUBSTITUTE(SUBSTITUTE(N435," ",""),"0",""),"-","")))&gt;(LEN(SUBSTITUTE(SUBSTITUTE(SUBSTITUTE(J435," ",""),"0",""),"-",""))+LEN(SUBSTITUTE(SUBSTITUTE(SUBSTITUTE(K435," ",""),"0",""),"-",""))),1,0))+IF(UPPER(L436)="X",0,IF((LEN(SUBSTITUTE(SUBSTITUTE(SUBSTITUTE(M436,"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f>
      </c>
      <c r="O434" s="14" t="str">
        <f>'data'!$B$80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239</v>
      </c>
      <c r="B441" s="14"/>
      <c r="C441" s="14"/>
      <c r="D441" s="14" t="s">
        <v>240</v>
      </c>
      <c r="E441" s="14"/>
      <c r="F441" s="14"/>
      <c r="G441" s="16" t="s">
        <v>241</v>
      </c>
      <c r="I441" s="17" t="s">
        <v>239</v>
      </c>
      <c r="J441" s="14"/>
      <c r="K441" s="14"/>
      <c r="L441" s="14" t="s">
        <v>240</v>
      </c>
      <c r="M441" s="14"/>
      <c r="N441" s="14"/>
      <c r="O441" s="16" t="s">
        <v>241</v>
      </c>
    </row>
    <row r="442">
      <c r="A442" s="14" t="str">
        <f>'data'!$B$35</f>
      </c>
      <c r="B442" s="14" t="str">
        <f>IF(UPPER(D443)="X",0,IF((LEN(SUBSTITUTE(SUBSTITUTE(SUBSTITUTE(B443," ",""),"0",""),"-",""))+LEN(SUBSTITUTE(SUBSTITUTE(SUBSTITUTE(C443," ",""),"0",""),"-","")))&gt;(LEN(SUBSTITUTE(SUBSTITUTE(SUBSTITUTE(E443," ",""),"0",""),"-",""))+LEN(SUBSTITUTE(SUBSTITUTE(SUBSTITUTE(F443," ",""),"0",""),"-",""))),1,0))+IF(UPPER(D444)="X",0,IF((LEN(SUBSTITUTE(SUBSTITUTE(SUBSTITUTE(B444," ",""),"0",""),"-",""))+LEN(SUBSTITUTE(SUBSTITUTE(SUBSTITUTE(C444," ",""),"0",""),"-","")))&gt;(LEN(SUBSTITUTE(SUBSTITUTE(SUBSTITUTE(E444," ",""),"0",""),"-",""))+LEN(SUBSTITUTE(SUBSTITUTE(SUBSTITUTE(F444," ",""),"0",""),"-",""))),1,0))+IF(UPPER(D445)="X",0,IF((LEN(SUBSTITUTE(SUBSTITUTE(SUBSTITUTE(B445,"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f>
      </c>
      <c r="C442" s="14" t="str">
        <f>LEN(SUBSTITUTE(SUBSTITUTE(SUBSTITUTE(B443," ",""),"0",""),"-",""))+LEN(SUBSTITUTE(SUBSTITUTE(SUBSTITUTE(C443," ",""),"0",""),"-",""))+LEN(SUBSTITUTE(SUBSTITUTE(SUBSTITUTE(B444," ",""),"0",""),"-",""))+LEN(SUBSTITUTE(SUBSTITUTE(SUBSTITUTE(C444," ",""),"0",""),"-",""))+LEN(SUBSTITUTE(SUBSTITUTE(SUBSTITUTE(B445," ",""),"0",""),"-",""))+LEN(SUBSTITUTE(SUBSTITUTE(SUBSTITUTE(C445," ",""),"0",""),"-",""))+LEN(SUBSTITUTE(SUBSTITUTE(SUBSTITUTE(B446," ",""),"0",""),"-",""))+LEN(SUBSTITUTE(SUBSTITUTE(SUBSTITUTE(C446," ",""),"0",""),"-",""))+LEN(SUBSTITUTE(SUBSTITUTE(SUBSTITUTE(B447," ",""),"0",""),"-",""))+LEN(SUBSTITUTE(SUBSTITUTE(SUBSTITUTE(C447," ",""),"0",""),"-",""))</f>
      </c>
      <c r="D442" s="18"/>
      <c r="E442" s="14" t="str">
        <f>LEN(SUBSTITUTE(SUBSTITUTE(SUBSTITUTE(E443," ",""),"0",""),"-",""))+LEN(SUBSTITUTE(SUBSTITUTE(SUBSTITUTE(F443," ",""),"0",""),"-",""))+LEN(SUBSTITUTE(SUBSTITUTE(SUBSTITUTE(E444," ",""),"0",""),"-",""))+LEN(SUBSTITUTE(SUBSTITUTE(SUBSTITUTE(F444," ",""),"0",""),"-",""))+LEN(SUBSTITUTE(SUBSTITUTE(SUBSTITUTE(E445," ",""),"0",""),"-",""))+LEN(SUBSTITUTE(SUBSTITUTE(SUBSTITUTE(F445," ",""),"0",""),"-",""))+LEN(SUBSTITUTE(SUBSTITUTE(SUBSTITUTE(E446," ",""),"0",""),"-",""))+LEN(SUBSTITUTE(SUBSTITUTE(SUBSTITUTE(F446," ",""),"0",""),"-",""))+LEN(SUBSTITUTE(SUBSTITUTE(SUBSTITUTE(E447," ",""),"0",""),"-",""))+LEN(SUBSTITUTE(SUBSTITUTE(SUBSTITUTE(F447," ",""),"0",""),"-",""))</f>
      </c>
      <c r="F442" s="14" t="str">
        <f>IF(UPPER(D443)="X",0,IF((LEN(SUBSTITUTE(SUBSTITUTE(SUBSTITUTE(E443," ",""),"0",""),"-",""))+LEN(SUBSTITUTE(SUBSTITUTE(SUBSTITUTE(F443," ",""),"0",""),"-","")))&gt;(LEN(SUBSTITUTE(SUBSTITUTE(SUBSTITUTE(B443," ",""),"0",""),"-",""))+LEN(SUBSTITUTE(SUBSTITUTE(SUBSTITUTE(C443," ",""),"0",""),"-",""))),1,0))+IF(UPPER(D444)="X",0,IF((LEN(SUBSTITUTE(SUBSTITUTE(SUBSTITUTE(E444," ",""),"0",""),"-",""))+LEN(SUBSTITUTE(SUBSTITUTE(SUBSTITUTE(F444," ",""),"0",""),"-","")))&gt;(LEN(SUBSTITUTE(SUBSTITUTE(SUBSTITUTE(B444," ",""),"0",""),"-",""))+LEN(SUBSTITUTE(SUBSTITUTE(SUBSTITUTE(C444," ",""),"0",""),"-",""))),1,0))+IF(UPPER(D445)="X",0,IF((LEN(SUBSTITUTE(SUBSTITUTE(SUBSTITUTE(E445,"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f>
      </c>
      <c r="G442" s="14" t="str">
        <f>'data'!$B$33</f>
      </c>
      <c r="I442" s="14" t="str">
        <f>'data'!$B$82</f>
      </c>
      <c r="J442" s="14" t="str">
        <f>IF(UPPER(L443)="X",0,IF((LEN(SUBSTITUTE(SUBSTITUTE(SUBSTITUTE(J443," ",""),"0",""),"-",""))+LEN(SUBSTITUTE(SUBSTITUTE(SUBSTITUTE(K443," ",""),"0",""),"-","")))&gt;(LEN(SUBSTITUTE(SUBSTITUTE(SUBSTITUTE(M443," ",""),"0",""),"-",""))+LEN(SUBSTITUTE(SUBSTITUTE(SUBSTITUTE(N443," ",""),"0",""),"-",""))),1,0))+IF(UPPER(L444)="X",0,IF((LEN(SUBSTITUTE(SUBSTITUTE(SUBSTITUTE(J444," ",""),"0",""),"-",""))+LEN(SUBSTITUTE(SUBSTITUTE(SUBSTITUTE(K444," ",""),"0",""),"-","")))&gt;(LEN(SUBSTITUTE(SUBSTITUTE(SUBSTITUTE(M444," ",""),"0",""),"-",""))+LEN(SUBSTITUTE(SUBSTITUTE(SUBSTITUTE(N444," ",""),"0",""),"-",""))),1,0))+IF(UPPER(L445)="X",0,IF((LEN(SUBSTITUTE(SUBSTITUTE(SUBSTITUTE(J445,"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f>
      </c>
      <c r="K442" s="14" t="str">
        <f>LEN(SUBSTITUTE(SUBSTITUTE(SUBSTITUTE(J443," ",""),"0",""),"-",""))+LEN(SUBSTITUTE(SUBSTITUTE(SUBSTITUTE(K443," ",""),"0",""),"-",""))+LEN(SUBSTITUTE(SUBSTITUTE(SUBSTITUTE(J444," ",""),"0",""),"-",""))+LEN(SUBSTITUTE(SUBSTITUTE(SUBSTITUTE(K444," ",""),"0",""),"-",""))+LEN(SUBSTITUTE(SUBSTITUTE(SUBSTITUTE(J445," ",""),"0",""),"-",""))+LEN(SUBSTITUTE(SUBSTITUTE(SUBSTITUTE(K445," ",""),"0",""),"-",""))+LEN(SUBSTITUTE(SUBSTITUTE(SUBSTITUTE(J446," ",""),"0",""),"-",""))+LEN(SUBSTITUTE(SUBSTITUTE(SUBSTITUTE(K446," ",""),"0",""),"-",""))+LEN(SUBSTITUTE(SUBSTITUTE(SUBSTITUTE(J447," ",""),"0",""),"-",""))+LEN(SUBSTITUTE(SUBSTITUTE(SUBSTITUTE(K447," ",""),"0",""),"-",""))</f>
      </c>
      <c r="L442" s="18"/>
      <c r="M442" s="14" t="str">
        <f>LEN(SUBSTITUTE(SUBSTITUTE(SUBSTITUTE(M443," ",""),"0",""),"-",""))+LEN(SUBSTITUTE(SUBSTITUTE(SUBSTITUTE(N443," ",""),"0",""),"-",""))+LEN(SUBSTITUTE(SUBSTITUTE(SUBSTITUTE(M444," ",""),"0",""),"-",""))+LEN(SUBSTITUTE(SUBSTITUTE(SUBSTITUTE(N444," ",""),"0",""),"-",""))+LEN(SUBSTITUTE(SUBSTITUTE(SUBSTITUTE(M445," ",""),"0",""),"-",""))+LEN(SUBSTITUTE(SUBSTITUTE(SUBSTITUTE(N445," ",""),"0",""),"-",""))+LEN(SUBSTITUTE(SUBSTITUTE(SUBSTITUTE(M446," ",""),"0",""),"-",""))+LEN(SUBSTITUTE(SUBSTITUTE(SUBSTITUTE(N446," ",""),"0",""),"-",""))+LEN(SUBSTITUTE(SUBSTITUTE(SUBSTITUTE(M447," ",""),"0",""),"-",""))+LEN(SUBSTITUTE(SUBSTITUTE(SUBSTITUTE(N447," ",""),"0",""),"-",""))</f>
      </c>
      <c r="N442" s="14" t="str">
        <f>IF(UPPER(L443)="X",0,IF((LEN(SUBSTITUTE(SUBSTITUTE(SUBSTITUTE(M443," ",""),"0",""),"-",""))+LEN(SUBSTITUTE(SUBSTITUTE(SUBSTITUTE(N443," ",""),"0",""),"-","")))&gt;(LEN(SUBSTITUTE(SUBSTITUTE(SUBSTITUTE(J443," ",""),"0",""),"-",""))+LEN(SUBSTITUTE(SUBSTITUTE(SUBSTITUTE(K443," ",""),"0",""),"-",""))),1,0))+IF(UPPER(L444)="X",0,IF((LEN(SUBSTITUTE(SUBSTITUTE(SUBSTITUTE(M444," ",""),"0",""),"-",""))+LEN(SUBSTITUTE(SUBSTITUTE(SUBSTITUTE(N444," ",""),"0",""),"-","")))&gt;(LEN(SUBSTITUTE(SUBSTITUTE(SUBSTITUTE(J444," ",""),"0",""),"-",""))+LEN(SUBSTITUTE(SUBSTITUTE(SUBSTITUTE(K444," ",""),"0",""),"-",""))),1,0))+IF(UPPER(L445)="X",0,IF((LEN(SUBSTITUTE(SUBSTITUTE(SUBSTITUTE(M445,"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f>
      </c>
      <c r="O442" s="14" t="str">
        <f>'data'!$B$80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239</v>
      </c>
      <c r="B449" s="14"/>
      <c r="C449" s="14"/>
      <c r="D449" s="14" t="s">
        <v>240</v>
      </c>
      <c r="E449" s="14"/>
      <c r="F449" s="14"/>
      <c r="G449" s="16" t="s">
        <v>241</v>
      </c>
      <c r="I449" s="17" t="s">
        <v>239</v>
      </c>
      <c r="J449" s="14"/>
      <c r="K449" s="14"/>
      <c r="L449" s="14" t="s">
        <v>240</v>
      </c>
      <c r="M449" s="14"/>
      <c r="N449" s="14"/>
      <c r="O449" s="16" t="s">
        <v>241</v>
      </c>
    </row>
    <row r="450">
      <c r="A450" s="14" t="str">
        <f>'data'!$B$35</f>
      </c>
      <c r="B450" s="14" t="str">
        <f>IF(UPPER(D451)="X",0,IF((LEN(SUBSTITUTE(SUBSTITUTE(SUBSTITUTE(B451," ",""),"0",""),"-",""))+LEN(SUBSTITUTE(SUBSTITUTE(SUBSTITUTE(C451," ",""),"0",""),"-","")))&gt;(LEN(SUBSTITUTE(SUBSTITUTE(SUBSTITUTE(E451," ",""),"0",""),"-",""))+LEN(SUBSTITUTE(SUBSTITUTE(SUBSTITUTE(F451," ",""),"0",""),"-",""))),1,0))+IF(UPPER(D452)="X",0,IF((LEN(SUBSTITUTE(SUBSTITUTE(SUBSTITUTE(B452,"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f>
      </c>
      <c r="C450" s="14" t="str">
        <f>LEN(SUBSTITUTE(SUBSTITUTE(SUBSTITUTE(B451," ",""),"0",""),"-",""))+LEN(SUBSTITUTE(SUBSTITUTE(SUBSTITUTE(C451," ",""),"0",""),"-",""))+LEN(SUBSTITUTE(SUBSTITUTE(SUBSTITUTE(B452,"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f>
      </c>
      <c r="D450" s="18"/>
      <c r="E450" s="14" t="str">
        <f>LEN(SUBSTITUTE(SUBSTITUTE(SUBSTITUTE(E451," ",""),"0",""),"-",""))+LEN(SUBSTITUTE(SUBSTITUTE(SUBSTITUTE(F451," ",""),"0",""),"-",""))+LEN(SUBSTITUTE(SUBSTITUTE(SUBSTITUTE(E452,"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f>
      </c>
      <c r="F450" s="14" t="str">
        <f>IF(UPPER(D451)="X",0,IF((LEN(SUBSTITUTE(SUBSTITUTE(SUBSTITUTE(E451," ",""),"0",""),"-",""))+LEN(SUBSTITUTE(SUBSTITUTE(SUBSTITUTE(F451," ",""),"0",""),"-","")))&gt;(LEN(SUBSTITUTE(SUBSTITUTE(SUBSTITUTE(B451," ",""),"0",""),"-",""))+LEN(SUBSTITUTE(SUBSTITUTE(SUBSTITUTE(C451," ",""),"0",""),"-",""))),1,0))+IF(UPPER(D452)="X",0,IF((LEN(SUBSTITUTE(SUBSTITUTE(SUBSTITUTE(E452,"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f>
      </c>
      <c r="G450" s="14" t="str">
        <f>'data'!$B$34</f>
      </c>
      <c r="I450" s="14" t="str">
        <f>'data'!$B$82</f>
      </c>
      <c r="J450" s="14" t="str">
        <f>IF(UPPER(L451)="X",0,IF((LEN(SUBSTITUTE(SUBSTITUTE(SUBSTITUTE(J451," ",""),"0",""),"-",""))+LEN(SUBSTITUTE(SUBSTITUTE(SUBSTITUTE(K451," ",""),"0",""),"-","")))&gt;(LEN(SUBSTITUTE(SUBSTITUTE(SUBSTITUTE(M451," ",""),"0",""),"-",""))+LEN(SUBSTITUTE(SUBSTITUTE(SUBSTITUTE(N451," ",""),"0",""),"-",""))),1,0))+IF(UPPER(L452)="X",0,IF((LEN(SUBSTITUTE(SUBSTITUTE(SUBSTITUTE(J452,"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f>
      </c>
      <c r="K450" s="14" t="str">
        <f>LEN(SUBSTITUTE(SUBSTITUTE(SUBSTITUTE(J451," ",""),"0",""),"-",""))+LEN(SUBSTITUTE(SUBSTITUTE(SUBSTITUTE(K451," ",""),"0",""),"-",""))+LEN(SUBSTITUTE(SUBSTITUTE(SUBSTITUTE(J452,"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f>
      </c>
      <c r="L450" s="18"/>
      <c r="M450" s="14" t="str">
        <f>LEN(SUBSTITUTE(SUBSTITUTE(SUBSTITUTE(M451," ",""),"0",""),"-",""))+LEN(SUBSTITUTE(SUBSTITUTE(SUBSTITUTE(N451," ",""),"0",""),"-",""))+LEN(SUBSTITUTE(SUBSTITUTE(SUBSTITUTE(M452,"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f>
      </c>
      <c r="N450" s="14" t="str">
        <f>IF(UPPER(L451)="X",0,IF((LEN(SUBSTITUTE(SUBSTITUTE(SUBSTITUTE(M451," ",""),"0",""),"-",""))+LEN(SUBSTITUTE(SUBSTITUTE(SUBSTITUTE(N451," ",""),"0",""),"-","")))&gt;(LEN(SUBSTITUTE(SUBSTITUTE(SUBSTITUTE(J451," ",""),"0",""),"-",""))+LEN(SUBSTITUTE(SUBSTITUTE(SUBSTITUTE(K451," ",""),"0",""),"-",""))),1,0))+IF(UPPER(L452)="X",0,IF((LEN(SUBSTITUTE(SUBSTITUTE(SUBSTITUTE(M452,"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f>
      </c>
      <c r="O450" s="14" t="str">
        <f>'data'!$B$81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242</v>
      </c>
      <c r="B458" s="13" t="s">
        <v>243</v>
      </c>
      <c r="C458" s="13" t="s">
        <v>244</v>
      </c>
      <c r="D458" s="13" t="s">
        <v>245</v>
      </c>
      <c r="E458" s="13"/>
      <c r="F458" s="13"/>
      <c r="G458" s="13" t="s">
        <v>246</v>
      </c>
      <c r="I458" s="13" t="s">
        <v>242</v>
      </c>
      <c r="J458" s="13" t="s">
        <v>243</v>
      </c>
      <c r="K458" s="13" t="s">
        <v>244</v>
      </c>
      <c r="L458" s="13" t="s">
        <v>245</v>
      </c>
      <c r="M458" s="13"/>
      <c r="N458" s="13"/>
      <c r="O458" s="13" t="s">
        <v>246</v>
      </c>
    </row>
    <row r="459">
      <c r="A459" s="14" t="str">
        <f>'data'!$B$33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247</v>
      </c>
      <c r="C463" s="13" t="s">
        <v>248</v>
      </c>
      <c r="D463" s="13" t="s">
        <v>249</v>
      </c>
      <c r="E463" s="13" t="s">
        <v>250</v>
      </c>
      <c r="F463" s="13" t="s">
        <v>251</v>
      </c>
      <c r="I463" s="13"/>
      <c r="J463" s="13" t="s">
        <v>247</v>
      </c>
      <c r="K463" s="13" t="s">
        <v>248</v>
      </c>
      <c r="L463" s="13" t="s">
        <v>249</v>
      </c>
      <c r="M463" s="13" t="s">
        <v>250</v>
      </c>
      <c r="N463" s="13" t="s">
        <v>251</v>
      </c>
    </row>
    <row r="464">
      <c r="A464" s="14" t="str">
        <f>'data'!$B$33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252</v>
      </c>
      <c r="N469" s="13"/>
      <c r="O469" s="13" t="s">
        <v>252</v>
      </c>
    </row>
    <row r="470">
      <c r="F470" t="s">
        <v>253</v>
      </c>
      <c r="G470" s="19" t="str">
        <f>IFERROR(INDEX($A$459:$A$466, MATCH(1, $G$459:$G$466, 0)), "-")</f>
      </c>
      <c r="N470" t="s">
        <v>253</v>
      </c>
      <c r="O470" s="19" t="str">
        <f>IFERROR(INDEX($I$459:$I$466, MATCH(1, $O$459:$O$466, 0)), "-")</f>
      </c>
    </row>
    <row r="471">
      <c r="F471" t="s">
        <v>254</v>
      </c>
      <c r="G471" s="19" t="str">
        <f>IFERROR(INDEX($A$459:$A$466, MATCH(2, $G$459:$G$466, 0)), "-")</f>
      </c>
      <c r="N471" t="s">
        <v>254</v>
      </c>
      <c r="O471" s="19" t="str">
        <f>IFERROR(INDEX($I$459:$I$466, MATCH(2, $O$459:$O$466, 0)), "-")</f>
      </c>
    </row>
    <row r="472">
      <c r="F472" t="s">
        <v>255</v>
      </c>
      <c r="G472" s="19" t="str">
        <f>IFERROR(INDEX($A$459:$A$466, MATCH(3, $G$459:$G$466, 0)), "-")</f>
      </c>
      <c r="N472" t="s">
        <v>255</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239</v>
      </c>
      <c r="B476" s="14"/>
      <c r="C476" s="14"/>
      <c r="D476" s="14" t="s">
        <v>240</v>
      </c>
      <c r="E476" s="14"/>
      <c r="F476" s="14"/>
      <c r="G476" s="16" t="s">
        <v>241</v>
      </c>
      <c r="I476" s="17" t="s">
        <v>239</v>
      </c>
      <c r="J476" s="14"/>
      <c r="K476" s="14"/>
      <c r="L476" s="14" t="s">
        <v>240</v>
      </c>
      <c r="M476" s="14"/>
      <c r="N476" s="14"/>
      <c r="O476" s="16" t="s">
        <v>241</v>
      </c>
    </row>
    <row r="477">
      <c r="A477" s="14" t="str">
        <f>'data'!$B$37</f>
      </c>
      <c r="B477" s="14" t="str">
        <f>IF(UPPER(D478)="X",0,IF((LEN(SUBSTITUTE(SUBSTITUTE(SUBSTITUTE(B478," ",""),"0",""),"-",""))+LEN(SUBSTITUTE(SUBSTITUTE(SUBSTITUTE(C478," ",""),"0",""),"-","")))&gt;(LEN(SUBSTITUTE(SUBSTITUTE(SUBSTITUTE(E478," ",""),"0",""),"-",""))+LEN(SUBSTITUTE(SUBSTITUTE(SUBSTITUTE(F478," ",""),"0",""),"-",""))),1,0))+IF(UPPER(D479)="X",0,IF((LEN(SUBSTITUTE(SUBSTITUTE(SUBSTITUTE(B479," ",""),"0",""),"-",""))+LEN(SUBSTITUTE(SUBSTITUTE(SUBSTITUTE(C479," ",""),"0",""),"-","")))&gt;(LEN(SUBSTITUTE(SUBSTITUTE(SUBSTITUTE(E479," ",""),"0",""),"-",""))+LEN(SUBSTITUTE(SUBSTITUTE(SUBSTITUTE(F479," ",""),"0",""),"-",""))),1,0))+IF(UPPER(D480)="X",0,IF((LEN(SUBSTITUTE(SUBSTITUTE(SUBSTITUTE(B480," ",""),"0",""),"-",""))+LEN(SUBSTITUTE(SUBSTITUTE(SUBSTITUTE(C480," ",""),"0",""),"-","")))&gt;(LEN(SUBSTITUTE(SUBSTITUTE(SUBSTITUTE(E480," ",""),"0",""),"-",""))+LEN(SUBSTITUTE(SUBSTITUTE(SUBSTITUTE(F480," ",""),"0",""),"-",""))),1,0))+IF(UPPER(D481)="X",0,IF((LEN(SUBSTITUTE(SUBSTITUTE(SUBSTITUTE(B481," ",""),"0",""),"-",""))+LEN(SUBSTITUTE(SUBSTITUTE(SUBSTITUTE(C481," ",""),"0",""),"-","")))&gt;(LEN(SUBSTITUTE(SUBSTITUTE(SUBSTITUTE(E481," ",""),"0",""),"-",""))+LEN(SUBSTITUTE(SUBSTITUTE(SUBSTITUTE(F481," ",""),"0",""),"-",""))),1,0))+IF(UPPER(D482)="X",0,IF((LEN(SUBSTITUTE(SUBSTITUTE(SUBSTITUTE(B482," ",""),"0",""),"-",""))+LEN(SUBSTITUTE(SUBSTITUTE(SUBSTITUTE(C482," ",""),"0",""),"-","")))&gt;(LEN(SUBSTITUTE(SUBSTITUTE(SUBSTITUTE(E482," ",""),"0",""),"-",""))+LEN(SUBSTITUTE(SUBSTITUTE(SUBSTITUTE(F482," ",""),"0",""),"-",""))),1,0))</f>
      </c>
      <c r="C477" s="14" t="str">
        <f>LEN(SUBSTITUTE(SUBSTITUTE(SUBSTITUTE(B478," ",""),"0",""),"-",""))+LEN(SUBSTITUTE(SUBSTITUTE(SUBSTITUTE(C478," ",""),"0",""),"-",""))+LEN(SUBSTITUTE(SUBSTITUTE(SUBSTITUTE(B479," ",""),"0",""),"-",""))+LEN(SUBSTITUTE(SUBSTITUTE(SUBSTITUTE(C479," ",""),"0",""),"-",""))+LEN(SUBSTITUTE(SUBSTITUTE(SUBSTITUTE(B480," ",""),"0",""),"-",""))+LEN(SUBSTITUTE(SUBSTITUTE(SUBSTITUTE(C480," ",""),"0",""),"-",""))+LEN(SUBSTITUTE(SUBSTITUTE(SUBSTITUTE(B481," ",""),"0",""),"-",""))+LEN(SUBSTITUTE(SUBSTITUTE(SUBSTITUTE(C481," ",""),"0",""),"-",""))+LEN(SUBSTITUTE(SUBSTITUTE(SUBSTITUTE(B482," ",""),"0",""),"-",""))+LEN(SUBSTITUTE(SUBSTITUTE(SUBSTITUTE(C482," ",""),"0",""),"-",""))</f>
      </c>
      <c r="D477" s="18"/>
      <c r="E477" s="14" t="str">
        <f>LEN(SUBSTITUTE(SUBSTITUTE(SUBSTITUTE(E478," ",""),"0",""),"-",""))+LEN(SUBSTITUTE(SUBSTITUTE(SUBSTITUTE(F478," ",""),"0",""),"-",""))+LEN(SUBSTITUTE(SUBSTITUTE(SUBSTITUTE(E479," ",""),"0",""),"-",""))+LEN(SUBSTITUTE(SUBSTITUTE(SUBSTITUTE(F479," ",""),"0",""),"-",""))+LEN(SUBSTITUTE(SUBSTITUTE(SUBSTITUTE(E480," ",""),"0",""),"-",""))+LEN(SUBSTITUTE(SUBSTITUTE(SUBSTITUTE(F480," ",""),"0",""),"-",""))+LEN(SUBSTITUTE(SUBSTITUTE(SUBSTITUTE(E481," ",""),"0",""),"-",""))+LEN(SUBSTITUTE(SUBSTITUTE(SUBSTITUTE(F481," ",""),"0",""),"-",""))+LEN(SUBSTITUTE(SUBSTITUTE(SUBSTITUTE(E482," ",""),"0",""),"-",""))+LEN(SUBSTITUTE(SUBSTITUTE(SUBSTITUTE(F482," ",""),"0",""),"-",""))</f>
      </c>
      <c r="F477" s="14" t="str">
        <f>IF(UPPER(D478)="X",0,IF((LEN(SUBSTITUTE(SUBSTITUTE(SUBSTITUTE(E478," ",""),"0",""),"-",""))+LEN(SUBSTITUTE(SUBSTITUTE(SUBSTITUTE(F478," ",""),"0",""),"-","")))&gt;(LEN(SUBSTITUTE(SUBSTITUTE(SUBSTITUTE(B478," ",""),"0",""),"-",""))+LEN(SUBSTITUTE(SUBSTITUTE(SUBSTITUTE(C478," ",""),"0",""),"-",""))),1,0))+IF(UPPER(D479)="X",0,IF((LEN(SUBSTITUTE(SUBSTITUTE(SUBSTITUTE(E479," ",""),"0",""),"-",""))+LEN(SUBSTITUTE(SUBSTITUTE(SUBSTITUTE(F479," ",""),"0",""),"-","")))&gt;(LEN(SUBSTITUTE(SUBSTITUTE(SUBSTITUTE(B479," ",""),"0",""),"-",""))+LEN(SUBSTITUTE(SUBSTITUTE(SUBSTITUTE(C479," ",""),"0",""),"-",""))),1,0))+IF(UPPER(D480)="X",0,IF((LEN(SUBSTITUTE(SUBSTITUTE(SUBSTITUTE(E480," ",""),"0",""),"-",""))+LEN(SUBSTITUTE(SUBSTITUTE(SUBSTITUTE(F480," ",""),"0",""),"-","")))&gt;(LEN(SUBSTITUTE(SUBSTITUTE(SUBSTITUTE(B480," ",""),"0",""),"-",""))+LEN(SUBSTITUTE(SUBSTITUTE(SUBSTITUTE(C480," ",""),"0",""),"-",""))),1,0))+IF(UPPER(D481)="X",0,IF((LEN(SUBSTITUTE(SUBSTITUTE(SUBSTITUTE(E481," ",""),"0",""),"-",""))+LEN(SUBSTITUTE(SUBSTITUTE(SUBSTITUTE(F481," ",""),"0",""),"-","")))&gt;(LEN(SUBSTITUTE(SUBSTITUTE(SUBSTITUTE(B481," ",""),"0",""),"-",""))+LEN(SUBSTITUTE(SUBSTITUTE(SUBSTITUTE(C481," ",""),"0",""),"-",""))),1,0))+IF(UPPER(D482)="X",0,IF((LEN(SUBSTITUTE(SUBSTITUTE(SUBSTITUTE(E482," ",""),"0",""),"-",""))+LEN(SUBSTITUTE(SUBSTITUTE(SUBSTITUTE(F482," ",""),"0",""),"-","")))&gt;(LEN(SUBSTITUTE(SUBSTITUTE(SUBSTITUTE(B482," ",""),"0",""),"-",""))+LEN(SUBSTITUTE(SUBSTITUTE(SUBSTITUTE(C482," ",""),"0",""),"-",""))),1,0))</f>
      </c>
      <c r="G477" s="14" t="str">
        <f>'data'!$B$36</f>
      </c>
      <c r="I477" s="14" t="str">
        <f>'data'!$B$84</f>
      </c>
      <c r="J477" s="14" t="str">
        <f>IF(UPPER(L478)="X",0,IF((LEN(SUBSTITUTE(SUBSTITUTE(SUBSTITUTE(J478," ",""),"0",""),"-",""))+LEN(SUBSTITUTE(SUBSTITUTE(SUBSTITUTE(K478," ",""),"0",""),"-","")))&gt;(LEN(SUBSTITUTE(SUBSTITUTE(SUBSTITUTE(M478," ",""),"0",""),"-",""))+LEN(SUBSTITUTE(SUBSTITUTE(SUBSTITUTE(N478," ",""),"0",""),"-",""))),1,0))+IF(UPPER(L479)="X",0,IF((LEN(SUBSTITUTE(SUBSTITUTE(SUBSTITUTE(J479," ",""),"0",""),"-",""))+LEN(SUBSTITUTE(SUBSTITUTE(SUBSTITUTE(K479," ",""),"0",""),"-","")))&gt;(LEN(SUBSTITUTE(SUBSTITUTE(SUBSTITUTE(M479," ",""),"0",""),"-",""))+LEN(SUBSTITUTE(SUBSTITUTE(SUBSTITUTE(N479," ",""),"0",""),"-",""))),1,0))+IF(UPPER(L480)="X",0,IF((LEN(SUBSTITUTE(SUBSTITUTE(SUBSTITUTE(J480," ",""),"0",""),"-",""))+LEN(SUBSTITUTE(SUBSTITUTE(SUBSTITUTE(K480," ",""),"0",""),"-","")))&gt;(LEN(SUBSTITUTE(SUBSTITUTE(SUBSTITUTE(M480," ",""),"0",""),"-",""))+LEN(SUBSTITUTE(SUBSTITUTE(SUBSTITUTE(N480," ",""),"0",""),"-",""))),1,0))+IF(UPPER(L481)="X",0,IF((LEN(SUBSTITUTE(SUBSTITUTE(SUBSTITUTE(J481," ",""),"0",""),"-",""))+LEN(SUBSTITUTE(SUBSTITUTE(SUBSTITUTE(K481," ",""),"0",""),"-","")))&gt;(LEN(SUBSTITUTE(SUBSTITUTE(SUBSTITUTE(M481," ",""),"0",""),"-",""))+LEN(SUBSTITUTE(SUBSTITUTE(SUBSTITUTE(N481," ",""),"0",""),"-",""))),1,0))+IF(UPPER(L482)="X",0,IF((LEN(SUBSTITUTE(SUBSTITUTE(SUBSTITUTE(J482," ",""),"0",""),"-",""))+LEN(SUBSTITUTE(SUBSTITUTE(SUBSTITUTE(K482," ",""),"0",""),"-","")))&gt;(LEN(SUBSTITUTE(SUBSTITUTE(SUBSTITUTE(M482," ",""),"0",""),"-",""))+LEN(SUBSTITUTE(SUBSTITUTE(SUBSTITUTE(N482," ",""),"0",""),"-",""))),1,0))</f>
      </c>
      <c r="K477" s="14" t="str">
        <f>LEN(SUBSTITUTE(SUBSTITUTE(SUBSTITUTE(J478," ",""),"0",""),"-",""))+LEN(SUBSTITUTE(SUBSTITUTE(SUBSTITUTE(K478," ",""),"0",""),"-",""))+LEN(SUBSTITUTE(SUBSTITUTE(SUBSTITUTE(J479," ",""),"0",""),"-",""))+LEN(SUBSTITUTE(SUBSTITUTE(SUBSTITUTE(K479," ",""),"0",""),"-",""))+LEN(SUBSTITUTE(SUBSTITUTE(SUBSTITUTE(J480," ",""),"0",""),"-",""))+LEN(SUBSTITUTE(SUBSTITUTE(SUBSTITUTE(K480," ",""),"0",""),"-",""))+LEN(SUBSTITUTE(SUBSTITUTE(SUBSTITUTE(J481," ",""),"0",""),"-",""))+LEN(SUBSTITUTE(SUBSTITUTE(SUBSTITUTE(K481," ",""),"0",""),"-",""))+LEN(SUBSTITUTE(SUBSTITUTE(SUBSTITUTE(J482," ",""),"0",""),"-",""))+LEN(SUBSTITUTE(SUBSTITUTE(SUBSTITUTE(K482," ",""),"0",""),"-",""))</f>
      </c>
      <c r="L477" s="18"/>
      <c r="M477" s="14" t="str">
        <f>LEN(SUBSTITUTE(SUBSTITUTE(SUBSTITUTE(M478," ",""),"0",""),"-",""))+LEN(SUBSTITUTE(SUBSTITUTE(SUBSTITUTE(N478," ",""),"0",""),"-",""))+LEN(SUBSTITUTE(SUBSTITUTE(SUBSTITUTE(M479," ",""),"0",""),"-",""))+LEN(SUBSTITUTE(SUBSTITUTE(SUBSTITUTE(N479," ",""),"0",""),"-",""))+LEN(SUBSTITUTE(SUBSTITUTE(SUBSTITUTE(M480," ",""),"0",""),"-",""))+LEN(SUBSTITUTE(SUBSTITUTE(SUBSTITUTE(N480," ",""),"0",""),"-",""))+LEN(SUBSTITUTE(SUBSTITUTE(SUBSTITUTE(M481," ",""),"0",""),"-",""))+LEN(SUBSTITUTE(SUBSTITUTE(SUBSTITUTE(N481," ",""),"0",""),"-",""))+LEN(SUBSTITUTE(SUBSTITUTE(SUBSTITUTE(M482," ",""),"0",""),"-",""))+LEN(SUBSTITUTE(SUBSTITUTE(SUBSTITUTE(N482," ",""),"0",""),"-",""))</f>
      </c>
      <c r="N477" s="14" t="str">
        <f>IF(UPPER(L478)="X",0,IF((LEN(SUBSTITUTE(SUBSTITUTE(SUBSTITUTE(M478," ",""),"0",""),"-",""))+LEN(SUBSTITUTE(SUBSTITUTE(SUBSTITUTE(N478," ",""),"0",""),"-","")))&gt;(LEN(SUBSTITUTE(SUBSTITUTE(SUBSTITUTE(J478," ",""),"0",""),"-",""))+LEN(SUBSTITUTE(SUBSTITUTE(SUBSTITUTE(K478," ",""),"0",""),"-",""))),1,0))+IF(UPPER(L479)="X",0,IF((LEN(SUBSTITUTE(SUBSTITUTE(SUBSTITUTE(M479," ",""),"0",""),"-",""))+LEN(SUBSTITUTE(SUBSTITUTE(SUBSTITUTE(N479," ",""),"0",""),"-","")))&gt;(LEN(SUBSTITUTE(SUBSTITUTE(SUBSTITUTE(J479," ",""),"0",""),"-",""))+LEN(SUBSTITUTE(SUBSTITUTE(SUBSTITUTE(K479," ",""),"0",""),"-",""))),1,0))+IF(UPPER(L480)="X",0,IF((LEN(SUBSTITUTE(SUBSTITUTE(SUBSTITUTE(M480," ",""),"0",""),"-",""))+LEN(SUBSTITUTE(SUBSTITUTE(SUBSTITUTE(N480," ",""),"0",""),"-","")))&gt;(LEN(SUBSTITUTE(SUBSTITUTE(SUBSTITUTE(J480," ",""),"0",""),"-",""))+LEN(SUBSTITUTE(SUBSTITUTE(SUBSTITUTE(K480," ",""),"0",""),"-",""))),1,0))+IF(UPPER(L481)="X",0,IF((LEN(SUBSTITUTE(SUBSTITUTE(SUBSTITUTE(M481," ",""),"0",""),"-",""))+LEN(SUBSTITUTE(SUBSTITUTE(SUBSTITUTE(N481," ",""),"0",""),"-","")))&gt;(LEN(SUBSTITUTE(SUBSTITUTE(SUBSTITUTE(J481," ",""),"0",""),"-",""))+LEN(SUBSTITUTE(SUBSTITUTE(SUBSTITUTE(K481," ",""),"0",""),"-",""))),1,0))+IF(UPPER(L482)="X",0,IF((LEN(SUBSTITUTE(SUBSTITUTE(SUBSTITUTE(M482," ",""),"0",""),"-",""))+LEN(SUBSTITUTE(SUBSTITUTE(SUBSTITUTE(N482," ",""),"0",""),"-","")))&gt;(LEN(SUBSTITUTE(SUBSTITUTE(SUBSTITUTE(J482," ",""),"0",""),"-",""))+LEN(SUBSTITUTE(SUBSTITUTE(SUBSTITUTE(K482," ",""),"0",""),"-",""))),1,0))</f>
      </c>
      <c r="O477" s="14" t="str">
        <f>'data'!$B$83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239</v>
      </c>
      <c r="B484" s="14"/>
      <c r="C484" s="14"/>
      <c r="D484" s="14" t="s">
        <v>240</v>
      </c>
      <c r="E484" s="14"/>
      <c r="F484" s="14"/>
      <c r="G484" s="16" t="s">
        <v>241</v>
      </c>
      <c r="I484" s="17" t="s">
        <v>239</v>
      </c>
      <c r="J484" s="14"/>
      <c r="K484" s="14"/>
      <c r="L484" s="14" t="s">
        <v>240</v>
      </c>
      <c r="M484" s="14"/>
      <c r="N484" s="14"/>
      <c r="O484" s="16" t="s">
        <v>241</v>
      </c>
    </row>
    <row r="485">
      <c r="A485" s="14" t="str">
        <f>'data'!$B$38</f>
      </c>
      <c r="B485" s="14" t="str">
        <f>IF(UPPER(D486)="X",0,IF((LEN(SUBSTITUTE(SUBSTITUTE(SUBSTITUTE(B486," ",""),"0",""),"-",""))+LEN(SUBSTITUTE(SUBSTITUTE(SUBSTITUTE(C486," ",""),"0",""),"-","")))&gt;(LEN(SUBSTITUTE(SUBSTITUTE(SUBSTITUTE(E486," ",""),"0",""),"-",""))+LEN(SUBSTITUTE(SUBSTITUTE(SUBSTITUTE(F486," ",""),"0",""),"-",""))),1,0))+IF(UPPER(D487)="X",0,IF((LEN(SUBSTITUTE(SUBSTITUTE(SUBSTITUTE(B487," ",""),"0",""),"-",""))+LEN(SUBSTITUTE(SUBSTITUTE(SUBSTITUTE(C487," ",""),"0",""),"-","")))&gt;(LEN(SUBSTITUTE(SUBSTITUTE(SUBSTITUTE(E487," ",""),"0",""),"-",""))+LEN(SUBSTITUTE(SUBSTITUTE(SUBSTITUTE(F487," ",""),"0",""),"-",""))),1,0))+IF(UPPER(D488)="X",0,IF((LEN(SUBSTITUTE(SUBSTITUTE(SUBSTITUTE(B488,"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f>
      </c>
      <c r="C485" s="14" t="str">
        <f>LEN(SUBSTITUTE(SUBSTITUTE(SUBSTITUTE(B486," ",""),"0",""),"-",""))+LEN(SUBSTITUTE(SUBSTITUTE(SUBSTITUTE(C486," ",""),"0",""),"-",""))+LEN(SUBSTITUTE(SUBSTITUTE(SUBSTITUTE(B487," ",""),"0",""),"-",""))+LEN(SUBSTITUTE(SUBSTITUTE(SUBSTITUTE(C487," ",""),"0",""),"-",""))+LEN(SUBSTITUTE(SUBSTITUTE(SUBSTITUTE(B488," ",""),"0",""),"-",""))+LEN(SUBSTITUTE(SUBSTITUTE(SUBSTITUTE(C488," ",""),"0",""),"-",""))+LEN(SUBSTITUTE(SUBSTITUTE(SUBSTITUTE(B489," ",""),"0",""),"-",""))+LEN(SUBSTITUTE(SUBSTITUTE(SUBSTITUTE(C489," ",""),"0",""),"-",""))+LEN(SUBSTITUTE(SUBSTITUTE(SUBSTITUTE(B490," ",""),"0",""),"-",""))+LEN(SUBSTITUTE(SUBSTITUTE(SUBSTITUTE(C490," ",""),"0",""),"-",""))</f>
      </c>
      <c r="D485" s="18"/>
      <c r="E485" s="14" t="str">
        <f>LEN(SUBSTITUTE(SUBSTITUTE(SUBSTITUTE(E486," ",""),"0",""),"-",""))+LEN(SUBSTITUTE(SUBSTITUTE(SUBSTITUTE(F486," ",""),"0",""),"-",""))+LEN(SUBSTITUTE(SUBSTITUTE(SUBSTITUTE(E487," ",""),"0",""),"-",""))+LEN(SUBSTITUTE(SUBSTITUTE(SUBSTITUTE(F487," ",""),"0",""),"-",""))+LEN(SUBSTITUTE(SUBSTITUTE(SUBSTITUTE(E488," ",""),"0",""),"-",""))+LEN(SUBSTITUTE(SUBSTITUTE(SUBSTITUTE(F488," ",""),"0",""),"-",""))+LEN(SUBSTITUTE(SUBSTITUTE(SUBSTITUTE(E489," ",""),"0",""),"-",""))+LEN(SUBSTITUTE(SUBSTITUTE(SUBSTITUTE(F489," ",""),"0",""),"-",""))+LEN(SUBSTITUTE(SUBSTITUTE(SUBSTITUTE(E490," ",""),"0",""),"-",""))+LEN(SUBSTITUTE(SUBSTITUTE(SUBSTITUTE(F490," ",""),"0",""),"-",""))</f>
      </c>
      <c r="F485" s="14" t="str">
        <f>IF(UPPER(D486)="X",0,IF((LEN(SUBSTITUTE(SUBSTITUTE(SUBSTITUTE(E486," ",""),"0",""),"-",""))+LEN(SUBSTITUTE(SUBSTITUTE(SUBSTITUTE(F486," ",""),"0",""),"-","")))&gt;(LEN(SUBSTITUTE(SUBSTITUTE(SUBSTITUTE(B486," ",""),"0",""),"-",""))+LEN(SUBSTITUTE(SUBSTITUTE(SUBSTITUTE(C486," ",""),"0",""),"-",""))),1,0))+IF(UPPER(D487)="X",0,IF((LEN(SUBSTITUTE(SUBSTITUTE(SUBSTITUTE(E487," ",""),"0",""),"-",""))+LEN(SUBSTITUTE(SUBSTITUTE(SUBSTITUTE(F487," ",""),"0",""),"-","")))&gt;(LEN(SUBSTITUTE(SUBSTITUTE(SUBSTITUTE(B487," ",""),"0",""),"-",""))+LEN(SUBSTITUTE(SUBSTITUTE(SUBSTITUTE(C487," ",""),"0",""),"-",""))),1,0))+IF(UPPER(D488)="X",0,IF((LEN(SUBSTITUTE(SUBSTITUTE(SUBSTITUTE(E488,"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f>
      </c>
      <c r="G485" s="14" t="str">
        <f>'data'!$B$36</f>
      </c>
      <c r="I485" s="14" t="str">
        <f>'data'!$B$85</f>
      </c>
      <c r="J485" s="14" t="str">
        <f>IF(UPPER(L486)="X",0,IF((LEN(SUBSTITUTE(SUBSTITUTE(SUBSTITUTE(J486," ",""),"0",""),"-",""))+LEN(SUBSTITUTE(SUBSTITUTE(SUBSTITUTE(K486," ",""),"0",""),"-","")))&gt;(LEN(SUBSTITUTE(SUBSTITUTE(SUBSTITUTE(M486," ",""),"0",""),"-",""))+LEN(SUBSTITUTE(SUBSTITUTE(SUBSTITUTE(N486," ",""),"0",""),"-",""))),1,0))+IF(UPPER(L487)="X",0,IF((LEN(SUBSTITUTE(SUBSTITUTE(SUBSTITUTE(J487," ",""),"0",""),"-",""))+LEN(SUBSTITUTE(SUBSTITUTE(SUBSTITUTE(K487," ",""),"0",""),"-","")))&gt;(LEN(SUBSTITUTE(SUBSTITUTE(SUBSTITUTE(M487," ",""),"0",""),"-",""))+LEN(SUBSTITUTE(SUBSTITUTE(SUBSTITUTE(N487," ",""),"0",""),"-",""))),1,0))+IF(UPPER(L488)="X",0,IF((LEN(SUBSTITUTE(SUBSTITUTE(SUBSTITUTE(J488,"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f>
      </c>
      <c r="K485" s="14" t="str">
        <f>LEN(SUBSTITUTE(SUBSTITUTE(SUBSTITUTE(J486," ",""),"0",""),"-",""))+LEN(SUBSTITUTE(SUBSTITUTE(SUBSTITUTE(K486," ",""),"0",""),"-",""))+LEN(SUBSTITUTE(SUBSTITUTE(SUBSTITUTE(J487," ",""),"0",""),"-",""))+LEN(SUBSTITUTE(SUBSTITUTE(SUBSTITUTE(K487," ",""),"0",""),"-",""))+LEN(SUBSTITUTE(SUBSTITUTE(SUBSTITUTE(J488," ",""),"0",""),"-",""))+LEN(SUBSTITUTE(SUBSTITUTE(SUBSTITUTE(K488," ",""),"0",""),"-",""))+LEN(SUBSTITUTE(SUBSTITUTE(SUBSTITUTE(J489," ",""),"0",""),"-",""))+LEN(SUBSTITUTE(SUBSTITUTE(SUBSTITUTE(K489," ",""),"0",""),"-",""))+LEN(SUBSTITUTE(SUBSTITUTE(SUBSTITUTE(J490," ",""),"0",""),"-",""))+LEN(SUBSTITUTE(SUBSTITUTE(SUBSTITUTE(K490," ",""),"0",""),"-",""))</f>
      </c>
      <c r="L485" s="18"/>
      <c r="M485" s="14" t="str">
        <f>LEN(SUBSTITUTE(SUBSTITUTE(SUBSTITUTE(M486," ",""),"0",""),"-",""))+LEN(SUBSTITUTE(SUBSTITUTE(SUBSTITUTE(N486," ",""),"0",""),"-",""))+LEN(SUBSTITUTE(SUBSTITUTE(SUBSTITUTE(M487," ",""),"0",""),"-",""))+LEN(SUBSTITUTE(SUBSTITUTE(SUBSTITUTE(N487," ",""),"0",""),"-",""))+LEN(SUBSTITUTE(SUBSTITUTE(SUBSTITUTE(M488," ",""),"0",""),"-",""))+LEN(SUBSTITUTE(SUBSTITUTE(SUBSTITUTE(N488," ",""),"0",""),"-",""))+LEN(SUBSTITUTE(SUBSTITUTE(SUBSTITUTE(M489," ",""),"0",""),"-",""))+LEN(SUBSTITUTE(SUBSTITUTE(SUBSTITUTE(N489," ",""),"0",""),"-",""))+LEN(SUBSTITUTE(SUBSTITUTE(SUBSTITUTE(M490," ",""),"0",""),"-",""))+LEN(SUBSTITUTE(SUBSTITUTE(SUBSTITUTE(N490," ",""),"0",""),"-",""))</f>
      </c>
      <c r="N485" s="14" t="str">
        <f>IF(UPPER(L486)="X",0,IF((LEN(SUBSTITUTE(SUBSTITUTE(SUBSTITUTE(M486," ",""),"0",""),"-",""))+LEN(SUBSTITUTE(SUBSTITUTE(SUBSTITUTE(N486," ",""),"0",""),"-","")))&gt;(LEN(SUBSTITUTE(SUBSTITUTE(SUBSTITUTE(J486," ",""),"0",""),"-",""))+LEN(SUBSTITUTE(SUBSTITUTE(SUBSTITUTE(K486," ",""),"0",""),"-",""))),1,0))+IF(UPPER(L487)="X",0,IF((LEN(SUBSTITUTE(SUBSTITUTE(SUBSTITUTE(M487," ",""),"0",""),"-",""))+LEN(SUBSTITUTE(SUBSTITUTE(SUBSTITUTE(N487," ",""),"0",""),"-","")))&gt;(LEN(SUBSTITUTE(SUBSTITUTE(SUBSTITUTE(J487," ",""),"0",""),"-",""))+LEN(SUBSTITUTE(SUBSTITUTE(SUBSTITUTE(K487," ",""),"0",""),"-",""))),1,0))+IF(UPPER(L488)="X",0,IF((LEN(SUBSTITUTE(SUBSTITUTE(SUBSTITUTE(M488,"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f>
      </c>
      <c r="O485" s="14" t="str">
        <f>'data'!$B$83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239</v>
      </c>
      <c r="B492" s="14"/>
      <c r="C492" s="14"/>
      <c r="D492" s="14" t="s">
        <v>240</v>
      </c>
      <c r="E492" s="14"/>
      <c r="F492" s="14"/>
      <c r="G492" s="16" t="s">
        <v>241</v>
      </c>
      <c r="I492" s="17" t="s">
        <v>239</v>
      </c>
      <c r="J492" s="14"/>
      <c r="K492" s="14"/>
      <c r="L492" s="14" t="s">
        <v>240</v>
      </c>
      <c r="M492" s="14"/>
      <c r="N492" s="14"/>
      <c r="O492" s="16" t="s">
        <v>241</v>
      </c>
    </row>
    <row r="493">
      <c r="A493" s="14" t="str">
        <f>'data'!$B$38</f>
      </c>
      <c r="B493"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493"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493" s="18"/>
      <c r="E493"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493"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493" s="14" t="str">
        <f>'data'!$B$37</f>
      </c>
      <c r="I493" s="14" t="str">
        <f>'data'!$B$85</f>
      </c>
      <c r="J493" s="14" t="str">
        <f>IF(UPPER(L494)="X",0,IF((LEN(SUBSTITUTE(SUBSTITUTE(SUBSTITUTE(J494," ",""),"0",""),"-",""))+LEN(SUBSTITUTE(SUBSTITUTE(SUBSTITUTE(K494," ",""),"0",""),"-","")))&gt;(LEN(SUBSTITUTE(SUBSTITUTE(SUBSTITUTE(M494," ",""),"0",""),"-",""))+LEN(SUBSTITUTE(SUBSTITUTE(SUBSTITUTE(N494," ",""),"0",""),"-",""))),1,0))+IF(UPPER(L495)="X",0,IF((LEN(SUBSTITUTE(SUBSTITUTE(SUBSTITUTE(J495," ",""),"0",""),"-",""))+LEN(SUBSTITUTE(SUBSTITUTE(SUBSTITUTE(K495," ",""),"0",""),"-","")))&gt;(LEN(SUBSTITUTE(SUBSTITUTE(SUBSTITUTE(M495," ",""),"0",""),"-",""))+LEN(SUBSTITUTE(SUBSTITUTE(SUBSTITUTE(N495," ",""),"0",""),"-",""))),1,0))+IF(UPPER(L496)="X",0,IF((LEN(SUBSTITUTE(SUBSTITUTE(SUBSTITUTE(J496,"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f>
      </c>
      <c r="K493" s="14" t="str">
        <f>LEN(SUBSTITUTE(SUBSTITUTE(SUBSTITUTE(J494," ",""),"0",""),"-",""))+LEN(SUBSTITUTE(SUBSTITUTE(SUBSTITUTE(K494," ",""),"0",""),"-",""))+LEN(SUBSTITUTE(SUBSTITUTE(SUBSTITUTE(J495," ",""),"0",""),"-",""))+LEN(SUBSTITUTE(SUBSTITUTE(SUBSTITUTE(K495," ",""),"0",""),"-",""))+LEN(SUBSTITUTE(SUBSTITUTE(SUBSTITUTE(J496," ",""),"0",""),"-",""))+LEN(SUBSTITUTE(SUBSTITUTE(SUBSTITUTE(K496," ",""),"0",""),"-",""))+LEN(SUBSTITUTE(SUBSTITUTE(SUBSTITUTE(J497," ",""),"0",""),"-",""))+LEN(SUBSTITUTE(SUBSTITUTE(SUBSTITUTE(K497," ",""),"0",""),"-",""))+LEN(SUBSTITUTE(SUBSTITUTE(SUBSTITUTE(J498," ",""),"0",""),"-",""))+LEN(SUBSTITUTE(SUBSTITUTE(SUBSTITUTE(K498," ",""),"0",""),"-",""))</f>
      </c>
      <c r="L493" s="18"/>
      <c r="M493" s="14" t="str">
        <f>LEN(SUBSTITUTE(SUBSTITUTE(SUBSTITUTE(M494," ",""),"0",""),"-",""))+LEN(SUBSTITUTE(SUBSTITUTE(SUBSTITUTE(N494," ",""),"0",""),"-",""))+LEN(SUBSTITUTE(SUBSTITUTE(SUBSTITUTE(M495," ",""),"0",""),"-",""))+LEN(SUBSTITUTE(SUBSTITUTE(SUBSTITUTE(N495," ",""),"0",""),"-",""))+LEN(SUBSTITUTE(SUBSTITUTE(SUBSTITUTE(M496," ",""),"0",""),"-",""))+LEN(SUBSTITUTE(SUBSTITUTE(SUBSTITUTE(N496," ",""),"0",""),"-",""))+LEN(SUBSTITUTE(SUBSTITUTE(SUBSTITUTE(M497," ",""),"0",""),"-",""))+LEN(SUBSTITUTE(SUBSTITUTE(SUBSTITUTE(N497," ",""),"0",""),"-",""))+LEN(SUBSTITUTE(SUBSTITUTE(SUBSTITUTE(M498," ",""),"0",""),"-",""))+LEN(SUBSTITUTE(SUBSTITUTE(SUBSTITUTE(N498," ",""),"0",""),"-",""))</f>
      </c>
      <c r="N493" s="14" t="str">
        <f>IF(UPPER(L494)="X",0,IF((LEN(SUBSTITUTE(SUBSTITUTE(SUBSTITUTE(M494," ",""),"0",""),"-",""))+LEN(SUBSTITUTE(SUBSTITUTE(SUBSTITUTE(N494," ",""),"0",""),"-","")))&gt;(LEN(SUBSTITUTE(SUBSTITUTE(SUBSTITUTE(J494," ",""),"0",""),"-",""))+LEN(SUBSTITUTE(SUBSTITUTE(SUBSTITUTE(K494," ",""),"0",""),"-",""))),1,0))+IF(UPPER(L495)="X",0,IF((LEN(SUBSTITUTE(SUBSTITUTE(SUBSTITUTE(M495," ",""),"0",""),"-",""))+LEN(SUBSTITUTE(SUBSTITUTE(SUBSTITUTE(N495," ",""),"0",""),"-","")))&gt;(LEN(SUBSTITUTE(SUBSTITUTE(SUBSTITUTE(J495," ",""),"0",""),"-",""))+LEN(SUBSTITUTE(SUBSTITUTE(SUBSTITUTE(K495," ",""),"0",""),"-",""))),1,0))+IF(UPPER(L496)="X",0,IF((LEN(SUBSTITUTE(SUBSTITUTE(SUBSTITUTE(M496,"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f>
      </c>
      <c r="O493" s="14" t="str">
        <f>'data'!$B$84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242</v>
      </c>
      <c r="B501" s="13" t="s">
        <v>243</v>
      </c>
      <c r="C501" s="13" t="s">
        <v>244</v>
      </c>
      <c r="D501" s="13" t="s">
        <v>245</v>
      </c>
      <c r="E501" s="13"/>
      <c r="F501" s="13"/>
      <c r="G501" s="13" t="s">
        <v>246</v>
      </c>
      <c r="I501" s="13" t="s">
        <v>242</v>
      </c>
      <c r="J501" s="13" t="s">
        <v>243</v>
      </c>
      <c r="K501" s="13" t="s">
        <v>244</v>
      </c>
      <c r="L501" s="13" t="s">
        <v>245</v>
      </c>
      <c r="M501" s="13"/>
      <c r="N501" s="13"/>
      <c r="O501" s="13" t="s">
        <v>246</v>
      </c>
    </row>
    <row r="502">
      <c r="A502" s="14" t="str">
        <f>'data'!$B$36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247</v>
      </c>
      <c r="C506" s="13" t="s">
        <v>248</v>
      </c>
      <c r="D506" s="13" t="s">
        <v>249</v>
      </c>
      <c r="E506" s="13" t="s">
        <v>250</v>
      </c>
      <c r="F506" s="13" t="s">
        <v>251</v>
      </c>
      <c r="I506" s="13"/>
      <c r="J506" s="13" t="s">
        <v>247</v>
      </c>
      <c r="K506" s="13" t="s">
        <v>248</v>
      </c>
      <c r="L506" s="13" t="s">
        <v>249</v>
      </c>
      <c r="M506" s="13" t="s">
        <v>250</v>
      </c>
      <c r="N506" s="13" t="s">
        <v>251</v>
      </c>
    </row>
    <row r="507">
      <c r="A507" s="14" t="str">
        <f>'data'!$B$36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252</v>
      </c>
      <c r="N512" s="13"/>
      <c r="O512" s="13" t="s">
        <v>252</v>
      </c>
    </row>
    <row r="513">
      <c r="F513" t="s">
        <v>253</v>
      </c>
      <c r="G513" s="19" t="str">
        <f>IFERROR(INDEX($A$502:$A$509, MATCH(1, $G$502:$G$509, 0)), "-")</f>
      </c>
      <c r="N513" t="s">
        <v>253</v>
      </c>
      <c r="O513" s="19" t="str">
        <f>IFERROR(INDEX($I$502:$I$509, MATCH(1, $O$502:$O$509, 0)), "-")</f>
      </c>
    </row>
    <row r="514">
      <c r="F514" t="s">
        <v>254</v>
      </c>
      <c r="G514" s="19" t="str">
        <f>IFERROR(INDEX($A$502:$A$509, MATCH(2, $G$502:$G$509, 0)), "-")</f>
      </c>
      <c r="N514" t="s">
        <v>254</v>
      </c>
      <c r="O514" s="19" t="str">
        <f>IFERROR(INDEX($I$502:$I$509, MATCH(2, $O$502:$O$509, 0)), "-")</f>
      </c>
    </row>
    <row r="515">
      <c r="F515" t="s">
        <v>255</v>
      </c>
      <c r="G515" s="19" t="str">
        <f>IFERROR(INDEX($A$502:$A$509, MATCH(3, $G$502:$G$509, 0)), "-")</f>
      </c>
      <c r="N515" t="s">
        <v>255</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239</v>
      </c>
      <c r="B519" s="14"/>
      <c r="C519" s="14"/>
      <c r="D519" s="14" t="s">
        <v>240</v>
      </c>
      <c r="E519" s="14"/>
      <c r="F519" s="14"/>
      <c r="G519" s="16" t="s">
        <v>241</v>
      </c>
      <c r="I519" s="17" t="s">
        <v>239</v>
      </c>
      <c r="J519" s="14"/>
      <c r="K519" s="14"/>
      <c r="L519" s="14" t="s">
        <v>240</v>
      </c>
      <c r="M519" s="14"/>
      <c r="N519" s="14"/>
      <c r="O519" s="16" t="s">
        <v>241</v>
      </c>
    </row>
    <row r="520">
      <c r="A520" s="14" t="str">
        <f>'data'!$B$40</f>
      </c>
      <c r="B520" s="14" t="str">
        <f>IF(UPPER(D521)="X",0,IF((LEN(SUBSTITUTE(SUBSTITUTE(SUBSTITUTE(B521," ",""),"0",""),"-",""))+LEN(SUBSTITUTE(SUBSTITUTE(SUBSTITUTE(C521," ",""),"0",""),"-","")))&gt;(LEN(SUBSTITUTE(SUBSTITUTE(SUBSTITUTE(E521," ",""),"0",""),"-",""))+LEN(SUBSTITUTE(SUBSTITUTE(SUBSTITUTE(F521," ",""),"0",""),"-",""))),1,0))+IF(UPPER(D522)="X",0,IF((LEN(SUBSTITUTE(SUBSTITUTE(SUBSTITUTE(B522," ",""),"0",""),"-",""))+LEN(SUBSTITUTE(SUBSTITUTE(SUBSTITUTE(C522," ",""),"0",""),"-","")))&gt;(LEN(SUBSTITUTE(SUBSTITUTE(SUBSTITUTE(E522," ",""),"0",""),"-",""))+LEN(SUBSTITUTE(SUBSTITUTE(SUBSTITUTE(F522," ",""),"0",""),"-",""))),1,0))+IF(UPPER(D523)="X",0,IF((LEN(SUBSTITUTE(SUBSTITUTE(SUBSTITUTE(B523," ",""),"0",""),"-",""))+LEN(SUBSTITUTE(SUBSTITUTE(SUBSTITUTE(C523," ",""),"0",""),"-","")))&gt;(LEN(SUBSTITUTE(SUBSTITUTE(SUBSTITUTE(E523," ",""),"0",""),"-",""))+LEN(SUBSTITUTE(SUBSTITUTE(SUBSTITUTE(F523," ",""),"0",""),"-",""))),1,0))+IF(UPPER(D524)="X",0,IF((LEN(SUBSTITUTE(SUBSTITUTE(SUBSTITUTE(B524," ",""),"0",""),"-",""))+LEN(SUBSTITUTE(SUBSTITUTE(SUBSTITUTE(C524," ",""),"0",""),"-","")))&gt;(LEN(SUBSTITUTE(SUBSTITUTE(SUBSTITUTE(E524," ",""),"0",""),"-",""))+LEN(SUBSTITUTE(SUBSTITUTE(SUBSTITUTE(F524," ",""),"0",""),"-",""))),1,0))+IF(UPPER(D525)="X",0,IF((LEN(SUBSTITUTE(SUBSTITUTE(SUBSTITUTE(B525," ",""),"0",""),"-",""))+LEN(SUBSTITUTE(SUBSTITUTE(SUBSTITUTE(C525," ",""),"0",""),"-","")))&gt;(LEN(SUBSTITUTE(SUBSTITUTE(SUBSTITUTE(E525," ",""),"0",""),"-",""))+LEN(SUBSTITUTE(SUBSTITUTE(SUBSTITUTE(F525," ",""),"0",""),"-",""))),1,0))</f>
      </c>
      <c r="C520" s="14" t="str">
        <f>LEN(SUBSTITUTE(SUBSTITUTE(SUBSTITUTE(B521," ",""),"0",""),"-",""))+LEN(SUBSTITUTE(SUBSTITUTE(SUBSTITUTE(C521," ",""),"0",""),"-",""))+LEN(SUBSTITUTE(SUBSTITUTE(SUBSTITUTE(B522," ",""),"0",""),"-",""))+LEN(SUBSTITUTE(SUBSTITUTE(SUBSTITUTE(C522," ",""),"0",""),"-",""))+LEN(SUBSTITUTE(SUBSTITUTE(SUBSTITUTE(B523," ",""),"0",""),"-",""))+LEN(SUBSTITUTE(SUBSTITUTE(SUBSTITUTE(C523," ",""),"0",""),"-",""))+LEN(SUBSTITUTE(SUBSTITUTE(SUBSTITUTE(B524," ",""),"0",""),"-",""))+LEN(SUBSTITUTE(SUBSTITUTE(SUBSTITUTE(C524," ",""),"0",""),"-",""))+LEN(SUBSTITUTE(SUBSTITUTE(SUBSTITUTE(B525," ",""),"0",""),"-",""))+LEN(SUBSTITUTE(SUBSTITUTE(SUBSTITUTE(C525," ",""),"0",""),"-",""))</f>
      </c>
      <c r="D520" s="18"/>
      <c r="E520" s="14" t="str">
        <f>LEN(SUBSTITUTE(SUBSTITUTE(SUBSTITUTE(E521," ",""),"0",""),"-",""))+LEN(SUBSTITUTE(SUBSTITUTE(SUBSTITUTE(F521," ",""),"0",""),"-",""))+LEN(SUBSTITUTE(SUBSTITUTE(SUBSTITUTE(E522," ",""),"0",""),"-",""))+LEN(SUBSTITUTE(SUBSTITUTE(SUBSTITUTE(F522," ",""),"0",""),"-",""))+LEN(SUBSTITUTE(SUBSTITUTE(SUBSTITUTE(E523," ",""),"0",""),"-",""))+LEN(SUBSTITUTE(SUBSTITUTE(SUBSTITUTE(F523," ",""),"0",""),"-",""))+LEN(SUBSTITUTE(SUBSTITUTE(SUBSTITUTE(E524," ",""),"0",""),"-",""))+LEN(SUBSTITUTE(SUBSTITUTE(SUBSTITUTE(F524," ",""),"0",""),"-",""))+LEN(SUBSTITUTE(SUBSTITUTE(SUBSTITUTE(E525," ",""),"0",""),"-",""))+LEN(SUBSTITUTE(SUBSTITUTE(SUBSTITUTE(F525," ",""),"0",""),"-",""))</f>
      </c>
      <c r="F520" s="14" t="str">
        <f>IF(UPPER(D521)="X",0,IF((LEN(SUBSTITUTE(SUBSTITUTE(SUBSTITUTE(E521," ",""),"0",""),"-",""))+LEN(SUBSTITUTE(SUBSTITUTE(SUBSTITUTE(F521," ",""),"0",""),"-","")))&gt;(LEN(SUBSTITUTE(SUBSTITUTE(SUBSTITUTE(B521," ",""),"0",""),"-",""))+LEN(SUBSTITUTE(SUBSTITUTE(SUBSTITUTE(C521," ",""),"0",""),"-",""))),1,0))+IF(UPPER(D522)="X",0,IF((LEN(SUBSTITUTE(SUBSTITUTE(SUBSTITUTE(E522," ",""),"0",""),"-",""))+LEN(SUBSTITUTE(SUBSTITUTE(SUBSTITUTE(F522," ",""),"0",""),"-","")))&gt;(LEN(SUBSTITUTE(SUBSTITUTE(SUBSTITUTE(B522," ",""),"0",""),"-",""))+LEN(SUBSTITUTE(SUBSTITUTE(SUBSTITUTE(C522," ",""),"0",""),"-",""))),1,0))+IF(UPPER(D523)="X",0,IF((LEN(SUBSTITUTE(SUBSTITUTE(SUBSTITUTE(E523," ",""),"0",""),"-",""))+LEN(SUBSTITUTE(SUBSTITUTE(SUBSTITUTE(F523," ",""),"0",""),"-","")))&gt;(LEN(SUBSTITUTE(SUBSTITUTE(SUBSTITUTE(B523," ",""),"0",""),"-",""))+LEN(SUBSTITUTE(SUBSTITUTE(SUBSTITUTE(C523," ",""),"0",""),"-",""))),1,0))+IF(UPPER(D524)="X",0,IF((LEN(SUBSTITUTE(SUBSTITUTE(SUBSTITUTE(E524," ",""),"0",""),"-",""))+LEN(SUBSTITUTE(SUBSTITUTE(SUBSTITUTE(F524," ",""),"0",""),"-","")))&gt;(LEN(SUBSTITUTE(SUBSTITUTE(SUBSTITUTE(B524," ",""),"0",""),"-",""))+LEN(SUBSTITUTE(SUBSTITUTE(SUBSTITUTE(C524," ",""),"0",""),"-",""))),1,0))+IF(UPPER(D525)="X",0,IF((LEN(SUBSTITUTE(SUBSTITUTE(SUBSTITUTE(E525," ",""),"0",""),"-",""))+LEN(SUBSTITUTE(SUBSTITUTE(SUBSTITUTE(F525," ",""),"0",""),"-","")))&gt;(LEN(SUBSTITUTE(SUBSTITUTE(SUBSTITUTE(B525," ",""),"0",""),"-",""))+LEN(SUBSTITUTE(SUBSTITUTE(SUBSTITUTE(C525," ",""),"0",""),"-",""))),1,0))</f>
      </c>
      <c r="G520" s="14" t="str">
        <f>'data'!$B$39</f>
      </c>
      <c r="I520" s="14" t="str">
        <f>'data'!$B$87</f>
      </c>
      <c r="J520" s="14" t="str">
        <f>IF(UPPER(L521)="X",0,IF((LEN(SUBSTITUTE(SUBSTITUTE(SUBSTITUTE(J521," ",""),"0",""),"-",""))+LEN(SUBSTITUTE(SUBSTITUTE(SUBSTITUTE(K521," ",""),"0",""),"-","")))&gt;(LEN(SUBSTITUTE(SUBSTITUTE(SUBSTITUTE(M521," ",""),"0",""),"-",""))+LEN(SUBSTITUTE(SUBSTITUTE(SUBSTITUTE(N521," ",""),"0",""),"-",""))),1,0))+IF(UPPER(L522)="X",0,IF((LEN(SUBSTITUTE(SUBSTITUTE(SUBSTITUTE(J522," ",""),"0",""),"-",""))+LEN(SUBSTITUTE(SUBSTITUTE(SUBSTITUTE(K522," ",""),"0",""),"-","")))&gt;(LEN(SUBSTITUTE(SUBSTITUTE(SUBSTITUTE(M522," ",""),"0",""),"-",""))+LEN(SUBSTITUTE(SUBSTITUTE(SUBSTITUTE(N522," ",""),"0",""),"-",""))),1,0))+IF(UPPER(L523)="X",0,IF((LEN(SUBSTITUTE(SUBSTITUTE(SUBSTITUTE(J523," ",""),"0",""),"-",""))+LEN(SUBSTITUTE(SUBSTITUTE(SUBSTITUTE(K523," ",""),"0",""),"-","")))&gt;(LEN(SUBSTITUTE(SUBSTITUTE(SUBSTITUTE(M523," ",""),"0",""),"-",""))+LEN(SUBSTITUTE(SUBSTITUTE(SUBSTITUTE(N523," ",""),"0",""),"-",""))),1,0))+IF(UPPER(L524)="X",0,IF((LEN(SUBSTITUTE(SUBSTITUTE(SUBSTITUTE(J524," ",""),"0",""),"-",""))+LEN(SUBSTITUTE(SUBSTITUTE(SUBSTITUTE(K524," ",""),"0",""),"-","")))&gt;(LEN(SUBSTITUTE(SUBSTITUTE(SUBSTITUTE(M524," ",""),"0",""),"-",""))+LEN(SUBSTITUTE(SUBSTITUTE(SUBSTITUTE(N524," ",""),"0",""),"-",""))),1,0))+IF(UPPER(L525)="X",0,IF((LEN(SUBSTITUTE(SUBSTITUTE(SUBSTITUTE(J525," ",""),"0",""),"-",""))+LEN(SUBSTITUTE(SUBSTITUTE(SUBSTITUTE(K525," ",""),"0",""),"-","")))&gt;(LEN(SUBSTITUTE(SUBSTITUTE(SUBSTITUTE(M525," ",""),"0",""),"-",""))+LEN(SUBSTITUTE(SUBSTITUTE(SUBSTITUTE(N525," ",""),"0",""),"-",""))),1,0))</f>
      </c>
      <c r="K520" s="14" t="str">
        <f>LEN(SUBSTITUTE(SUBSTITUTE(SUBSTITUTE(J521," ",""),"0",""),"-",""))+LEN(SUBSTITUTE(SUBSTITUTE(SUBSTITUTE(K521," ",""),"0",""),"-",""))+LEN(SUBSTITUTE(SUBSTITUTE(SUBSTITUTE(J522," ",""),"0",""),"-",""))+LEN(SUBSTITUTE(SUBSTITUTE(SUBSTITUTE(K522," ",""),"0",""),"-",""))+LEN(SUBSTITUTE(SUBSTITUTE(SUBSTITUTE(J523," ",""),"0",""),"-",""))+LEN(SUBSTITUTE(SUBSTITUTE(SUBSTITUTE(K523," ",""),"0",""),"-",""))+LEN(SUBSTITUTE(SUBSTITUTE(SUBSTITUTE(J524," ",""),"0",""),"-",""))+LEN(SUBSTITUTE(SUBSTITUTE(SUBSTITUTE(K524," ",""),"0",""),"-",""))+LEN(SUBSTITUTE(SUBSTITUTE(SUBSTITUTE(J525," ",""),"0",""),"-",""))+LEN(SUBSTITUTE(SUBSTITUTE(SUBSTITUTE(K525," ",""),"0",""),"-",""))</f>
      </c>
      <c r="L520" s="18"/>
      <c r="M520" s="14" t="str">
        <f>LEN(SUBSTITUTE(SUBSTITUTE(SUBSTITUTE(M521," ",""),"0",""),"-",""))+LEN(SUBSTITUTE(SUBSTITUTE(SUBSTITUTE(N521," ",""),"0",""),"-",""))+LEN(SUBSTITUTE(SUBSTITUTE(SUBSTITUTE(M522," ",""),"0",""),"-",""))+LEN(SUBSTITUTE(SUBSTITUTE(SUBSTITUTE(N522," ",""),"0",""),"-",""))+LEN(SUBSTITUTE(SUBSTITUTE(SUBSTITUTE(M523," ",""),"0",""),"-",""))+LEN(SUBSTITUTE(SUBSTITUTE(SUBSTITUTE(N523," ",""),"0",""),"-",""))+LEN(SUBSTITUTE(SUBSTITUTE(SUBSTITUTE(M524," ",""),"0",""),"-",""))+LEN(SUBSTITUTE(SUBSTITUTE(SUBSTITUTE(N524," ",""),"0",""),"-",""))+LEN(SUBSTITUTE(SUBSTITUTE(SUBSTITUTE(M525," ",""),"0",""),"-",""))+LEN(SUBSTITUTE(SUBSTITUTE(SUBSTITUTE(N525," ",""),"0",""),"-",""))</f>
      </c>
      <c r="N520" s="14" t="str">
        <f>IF(UPPER(L521)="X",0,IF((LEN(SUBSTITUTE(SUBSTITUTE(SUBSTITUTE(M521," ",""),"0",""),"-",""))+LEN(SUBSTITUTE(SUBSTITUTE(SUBSTITUTE(N521," ",""),"0",""),"-","")))&gt;(LEN(SUBSTITUTE(SUBSTITUTE(SUBSTITUTE(J521," ",""),"0",""),"-",""))+LEN(SUBSTITUTE(SUBSTITUTE(SUBSTITUTE(K521," ",""),"0",""),"-",""))),1,0))+IF(UPPER(L522)="X",0,IF((LEN(SUBSTITUTE(SUBSTITUTE(SUBSTITUTE(M522," ",""),"0",""),"-",""))+LEN(SUBSTITUTE(SUBSTITUTE(SUBSTITUTE(N522," ",""),"0",""),"-","")))&gt;(LEN(SUBSTITUTE(SUBSTITUTE(SUBSTITUTE(J522," ",""),"0",""),"-",""))+LEN(SUBSTITUTE(SUBSTITUTE(SUBSTITUTE(K522," ",""),"0",""),"-",""))),1,0))+IF(UPPER(L523)="X",0,IF((LEN(SUBSTITUTE(SUBSTITUTE(SUBSTITUTE(M523," ",""),"0",""),"-",""))+LEN(SUBSTITUTE(SUBSTITUTE(SUBSTITUTE(N523," ",""),"0",""),"-","")))&gt;(LEN(SUBSTITUTE(SUBSTITUTE(SUBSTITUTE(J523," ",""),"0",""),"-",""))+LEN(SUBSTITUTE(SUBSTITUTE(SUBSTITUTE(K523," ",""),"0",""),"-",""))),1,0))+IF(UPPER(L524)="X",0,IF((LEN(SUBSTITUTE(SUBSTITUTE(SUBSTITUTE(M524," ",""),"0",""),"-",""))+LEN(SUBSTITUTE(SUBSTITUTE(SUBSTITUTE(N524," ",""),"0",""),"-","")))&gt;(LEN(SUBSTITUTE(SUBSTITUTE(SUBSTITUTE(J524," ",""),"0",""),"-",""))+LEN(SUBSTITUTE(SUBSTITUTE(SUBSTITUTE(K524," ",""),"0",""),"-",""))),1,0))+IF(UPPER(L525)="X",0,IF((LEN(SUBSTITUTE(SUBSTITUTE(SUBSTITUTE(M525," ",""),"0",""),"-",""))+LEN(SUBSTITUTE(SUBSTITUTE(SUBSTITUTE(N525," ",""),"0",""),"-","")))&gt;(LEN(SUBSTITUTE(SUBSTITUTE(SUBSTITUTE(J525," ",""),"0",""),"-",""))+LEN(SUBSTITUTE(SUBSTITUTE(SUBSTITUTE(K525," ",""),"0",""),"-",""))),1,0))</f>
      </c>
      <c r="O520" s="14" t="str">
        <f>'data'!$B$86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239</v>
      </c>
      <c r="B527" s="14"/>
      <c r="C527" s="14"/>
      <c r="D527" s="14" t="s">
        <v>240</v>
      </c>
      <c r="E527" s="14"/>
      <c r="F527" s="14"/>
      <c r="G527" s="16" t="s">
        <v>241</v>
      </c>
      <c r="I527" s="17" t="s">
        <v>239</v>
      </c>
      <c r="J527" s="14"/>
      <c r="K527" s="14"/>
      <c r="L527" s="14" t="s">
        <v>240</v>
      </c>
      <c r="M527" s="14"/>
      <c r="N527" s="14"/>
      <c r="O527" s="16" t="s">
        <v>241</v>
      </c>
    </row>
    <row r="528">
      <c r="A528" s="14" t="str">
        <f>'data'!$B$41</f>
      </c>
      <c r="B528" s="14" t="str">
        <f>IF(UPPER(D529)="X",0,IF((LEN(SUBSTITUTE(SUBSTITUTE(SUBSTITUTE(B529," ",""),"0",""),"-",""))+LEN(SUBSTITUTE(SUBSTITUTE(SUBSTITUTE(C529," ",""),"0",""),"-","")))&gt;(LEN(SUBSTITUTE(SUBSTITUTE(SUBSTITUTE(E529," ",""),"0",""),"-",""))+LEN(SUBSTITUTE(SUBSTITUTE(SUBSTITUTE(F529," ",""),"0",""),"-",""))),1,0))+IF(UPPER(D530)="X",0,IF((LEN(SUBSTITUTE(SUBSTITUTE(SUBSTITUTE(B530," ",""),"0",""),"-",""))+LEN(SUBSTITUTE(SUBSTITUTE(SUBSTITUTE(C530," ",""),"0",""),"-","")))&gt;(LEN(SUBSTITUTE(SUBSTITUTE(SUBSTITUTE(E530," ",""),"0",""),"-",""))+LEN(SUBSTITUTE(SUBSTITUTE(SUBSTITUTE(F530," ",""),"0",""),"-",""))),1,0))+IF(UPPER(D531)="X",0,IF((LEN(SUBSTITUTE(SUBSTITUTE(SUBSTITUTE(B531,"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f>
      </c>
      <c r="C528" s="14" t="str">
        <f>LEN(SUBSTITUTE(SUBSTITUTE(SUBSTITUTE(B529," ",""),"0",""),"-",""))+LEN(SUBSTITUTE(SUBSTITUTE(SUBSTITUTE(C529," ",""),"0",""),"-",""))+LEN(SUBSTITUTE(SUBSTITUTE(SUBSTITUTE(B530," ",""),"0",""),"-",""))+LEN(SUBSTITUTE(SUBSTITUTE(SUBSTITUTE(C530," ",""),"0",""),"-",""))+LEN(SUBSTITUTE(SUBSTITUTE(SUBSTITUTE(B531," ",""),"0",""),"-",""))+LEN(SUBSTITUTE(SUBSTITUTE(SUBSTITUTE(C531," ",""),"0",""),"-",""))+LEN(SUBSTITUTE(SUBSTITUTE(SUBSTITUTE(B532," ",""),"0",""),"-",""))+LEN(SUBSTITUTE(SUBSTITUTE(SUBSTITUTE(C532," ",""),"0",""),"-",""))+LEN(SUBSTITUTE(SUBSTITUTE(SUBSTITUTE(B533," ",""),"0",""),"-",""))+LEN(SUBSTITUTE(SUBSTITUTE(SUBSTITUTE(C533," ",""),"0",""),"-",""))</f>
      </c>
      <c r="D528" s="18"/>
      <c r="E528" s="14" t="str">
        <f>LEN(SUBSTITUTE(SUBSTITUTE(SUBSTITUTE(E529," ",""),"0",""),"-",""))+LEN(SUBSTITUTE(SUBSTITUTE(SUBSTITUTE(F529," ",""),"0",""),"-",""))+LEN(SUBSTITUTE(SUBSTITUTE(SUBSTITUTE(E530," ",""),"0",""),"-",""))+LEN(SUBSTITUTE(SUBSTITUTE(SUBSTITUTE(F530," ",""),"0",""),"-",""))+LEN(SUBSTITUTE(SUBSTITUTE(SUBSTITUTE(E531," ",""),"0",""),"-",""))+LEN(SUBSTITUTE(SUBSTITUTE(SUBSTITUTE(F531," ",""),"0",""),"-",""))+LEN(SUBSTITUTE(SUBSTITUTE(SUBSTITUTE(E532," ",""),"0",""),"-",""))+LEN(SUBSTITUTE(SUBSTITUTE(SUBSTITUTE(F532," ",""),"0",""),"-",""))+LEN(SUBSTITUTE(SUBSTITUTE(SUBSTITUTE(E533," ",""),"0",""),"-",""))+LEN(SUBSTITUTE(SUBSTITUTE(SUBSTITUTE(F533," ",""),"0",""),"-",""))</f>
      </c>
      <c r="F528" s="14" t="str">
        <f>IF(UPPER(D529)="X",0,IF((LEN(SUBSTITUTE(SUBSTITUTE(SUBSTITUTE(E529," ",""),"0",""),"-",""))+LEN(SUBSTITUTE(SUBSTITUTE(SUBSTITUTE(F529," ",""),"0",""),"-","")))&gt;(LEN(SUBSTITUTE(SUBSTITUTE(SUBSTITUTE(B529," ",""),"0",""),"-",""))+LEN(SUBSTITUTE(SUBSTITUTE(SUBSTITUTE(C529," ",""),"0",""),"-",""))),1,0))+IF(UPPER(D530)="X",0,IF((LEN(SUBSTITUTE(SUBSTITUTE(SUBSTITUTE(E530," ",""),"0",""),"-",""))+LEN(SUBSTITUTE(SUBSTITUTE(SUBSTITUTE(F530," ",""),"0",""),"-","")))&gt;(LEN(SUBSTITUTE(SUBSTITUTE(SUBSTITUTE(B530," ",""),"0",""),"-",""))+LEN(SUBSTITUTE(SUBSTITUTE(SUBSTITUTE(C530," ",""),"0",""),"-",""))),1,0))+IF(UPPER(D531)="X",0,IF((LEN(SUBSTITUTE(SUBSTITUTE(SUBSTITUTE(E531,"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f>
      </c>
      <c r="G528" s="14" t="str">
        <f>'data'!$B$39</f>
      </c>
      <c r="I528" s="14" t="str">
        <f>'data'!$B$88</f>
      </c>
      <c r="J528" s="14" t="str">
        <f>IF(UPPER(L529)="X",0,IF((LEN(SUBSTITUTE(SUBSTITUTE(SUBSTITUTE(J529," ",""),"0",""),"-",""))+LEN(SUBSTITUTE(SUBSTITUTE(SUBSTITUTE(K529," ",""),"0",""),"-","")))&gt;(LEN(SUBSTITUTE(SUBSTITUTE(SUBSTITUTE(M529," ",""),"0",""),"-",""))+LEN(SUBSTITUTE(SUBSTITUTE(SUBSTITUTE(N529," ",""),"0",""),"-",""))),1,0))+IF(UPPER(L530)="X",0,IF((LEN(SUBSTITUTE(SUBSTITUTE(SUBSTITUTE(J530," ",""),"0",""),"-",""))+LEN(SUBSTITUTE(SUBSTITUTE(SUBSTITUTE(K530," ",""),"0",""),"-","")))&gt;(LEN(SUBSTITUTE(SUBSTITUTE(SUBSTITUTE(M530," ",""),"0",""),"-",""))+LEN(SUBSTITUTE(SUBSTITUTE(SUBSTITUTE(N530," ",""),"0",""),"-",""))),1,0))+IF(UPPER(L531)="X",0,IF((LEN(SUBSTITUTE(SUBSTITUTE(SUBSTITUTE(J531,"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f>
      </c>
      <c r="K528" s="14" t="str">
        <f>LEN(SUBSTITUTE(SUBSTITUTE(SUBSTITUTE(J529," ",""),"0",""),"-",""))+LEN(SUBSTITUTE(SUBSTITUTE(SUBSTITUTE(K529," ",""),"0",""),"-",""))+LEN(SUBSTITUTE(SUBSTITUTE(SUBSTITUTE(J530," ",""),"0",""),"-",""))+LEN(SUBSTITUTE(SUBSTITUTE(SUBSTITUTE(K530," ",""),"0",""),"-",""))+LEN(SUBSTITUTE(SUBSTITUTE(SUBSTITUTE(J531," ",""),"0",""),"-",""))+LEN(SUBSTITUTE(SUBSTITUTE(SUBSTITUTE(K531," ",""),"0",""),"-",""))+LEN(SUBSTITUTE(SUBSTITUTE(SUBSTITUTE(J532," ",""),"0",""),"-",""))+LEN(SUBSTITUTE(SUBSTITUTE(SUBSTITUTE(K532," ",""),"0",""),"-",""))+LEN(SUBSTITUTE(SUBSTITUTE(SUBSTITUTE(J533," ",""),"0",""),"-",""))+LEN(SUBSTITUTE(SUBSTITUTE(SUBSTITUTE(K533," ",""),"0",""),"-",""))</f>
      </c>
      <c r="L528" s="18"/>
      <c r="M528" s="14" t="str">
        <f>LEN(SUBSTITUTE(SUBSTITUTE(SUBSTITUTE(M529," ",""),"0",""),"-",""))+LEN(SUBSTITUTE(SUBSTITUTE(SUBSTITUTE(N529," ",""),"0",""),"-",""))+LEN(SUBSTITUTE(SUBSTITUTE(SUBSTITUTE(M530," ",""),"0",""),"-",""))+LEN(SUBSTITUTE(SUBSTITUTE(SUBSTITUTE(N530," ",""),"0",""),"-",""))+LEN(SUBSTITUTE(SUBSTITUTE(SUBSTITUTE(M531," ",""),"0",""),"-",""))+LEN(SUBSTITUTE(SUBSTITUTE(SUBSTITUTE(N531," ",""),"0",""),"-",""))+LEN(SUBSTITUTE(SUBSTITUTE(SUBSTITUTE(M532," ",""),"0",""),"-",""))+LEN(SUBSTITUTE(SUBSTITUTE(SUBSTITUTE(N532," ",""),"0",""),"-",""))+LEN(SUBSTITUTE(SUBSTITUTE(SUBSTITUTE(M533," ",""),"0",""),"-",""))+LEN(SUBSTITUTE(SUBSTITUTE(SUBSTITUTE(N533," ",""),"0",""),"-",""))</f>
      </c>
      <c r="N528" s="14" t="str">
        <f>IF(UPPER(L529)="X",0,IF((LEN(SUBSTITUTE(SUBSTITUTE(SUBSTITUTE(M529," ",""),"0",""),"-",""))+LEN(SUBSTITUTE(SUBSTITUTE(SUBSTITUTE(N529," ",""),"0",""),"-","")))&gt;(LEN(SUBSTITUTE(SUBSTITUTE(SUBSTITUTE(J529," ",""),"0",""),"-",""))+LEN(SUBSTITUTE(SUBSTITUTE(SUBSTITUTE(K529," ",""),"0",""),"-",""))),1,0))+IF(UPPER(L530)="X",0,IF((LEN(SUBSTITUTE(SUBSTITUTE(SUBSTITUTE(M530," ",""),"0",""),"-",""))+LEN(SUBSTITUTE(SUBSTITUTE(SUBSTITUTE(N530," ",""),"0",""),"-","")))&gt;(LEN(SUBSTITUTE(SUBSTITUTE(SUBSTITUTE(J530," ",""),"0",""),"-",""))+LEN(SUBSTITUTE(SUBSTITUTE(SUBSTITUTE(K530," ",""),"0",""),"-",""))),1,0))+IF(UPPER(L531)="X",0,IF((LEN(SUBSTITUTE(SUBSTITUTE(SUBSTITUTE(M531,"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f>
      </c>
      <c r="O528" s="14" t="str">
        <f>'data'!$B$86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'data'!$B$41</f>
      </c>
      <c r="B536" s="14" t="str">
        <f>IF(UPPER(D537)="X",0,IF((LEN(SUBSTITUTE(SUBSTITUTE(SUBSTITUTE(B537," ",""),"0",""),"-",""))+LEN(SUBSTITUTE(SUBSTITUTE(SUBSTITUTE(C537," ",""),"0",""),"-","")))&gt;(LEN(SUBSTITUTE(SUBSTITUTE(SUBSTITUTE(E537," ",""),"0",""),"-",""))+LEN(SUBSTITUTE(SUBSTITUTE(SUBSTITUTE(F537," ",""),"0",""),"-",""))),1,0))+IF(UPPER(D538)="X",0,IF((LEN(SUBSTITUTE(SUBSTITUTE(SUBSTITUTE(B538," ",""),"0",""),"-",""))+LEN(SUBSTITUTE(SUBSTITUTE(SUBSTITUTE(C538," ",""),"0",""),"-","")))&gt;(LEN(SUBSTITUTE(SUBSTITUTE(SUBSTITUTE(E538," ",""),"0",""),"-",""))+LEN(SUBSTITUTE(SUBSTITUTE(SUBSTITUTE(F538," ",""),"0",""),"-",""))),1,0))+IF(UPPER(D539)="X",0,IF((LEN(SUBSTITUTE(SUBSTITUTE(SUBSTITUTE(B539,"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f>
      </c>
      <c r="C536" s="14" t="str">
        <f>LEN(SUBSTITUTE(SUBSTITUTE(SUBSTITUTE(B537," ",""),"0",""),"-",""))+LEN(SUBSTITUTE(SUBSTITUTE(SUBSTITUTE(C537," ",""),"0",""),"-",""))+LEN(SUBSTITUTE(SUBSTITUTE(SUBSTITUTE(B538," ",""),"0",""),"-",""))+LEN(SUBSTITUTE(SUBSTITUTE(SUBSTITUTE(C538," ",""),"0",""),"-",""))+LEN(SUBSTITUTE(SUBSTITUTE(SUBSTITUTE(B539," ",""),"0",""),"-",""))+LEN(SUBSTITUTE(SUBSTITUTE(SUBSTITUTE(C539," ",""),"0",""),"-",""))+LEN(SUBSTITUTE(SUBSTITUTE(SUBSTITUTE(B540," ",""),"0",""),"-",""))+LEN(SUBSTITUTE(SUBSTITUTE(SUBSTITUTE(C540," ",""),"0",""),"-",""))+LEN(SUBSTITUTE(SUBSTITUTE(SUBSTITUTE(B541," ",""),"0",""),"-",""))+LEN(SUBSTITUTE(SUBSTITUTE(SUBSTITUTE(C541," ",""),"0",""),"-",""))</f>
      </c>
      <c r="D536" s="18"/>
      <c r="E536" s="14" t="str">
        <f>LEN(SUBSTITUTE(SUBSTITUTE(SUBSTITUTE(E537," ",""),"0",""),"-",""))+LEN(SUBSTITUTE(SUBSTITUTE(SUBSTITUTE(F537," ",""),"0",""),"-",""))+LEN(SUBSTITUTE(SUBSTITUTE(SUBSTITUTE(E538," ",""),"0",""),"-",""))+LEN(SUBSTITUTE(SUBSTITUTE(SUBSTITUTE(F538," ",""),"0",""),"-",""))+LEN(SUBSTITUTE(SUBSTITUTE(SUBSTITUTE(E539," ",""),"0",""),"-",""))+LEN(SUBSTITUTE(SUBSTITUTE(SUBSTITUTE(F539," ",""),"0",""),"-",""))+LEN(SUBSTITUTE(SUBSTITUTE(SUBSTITUTE(E540," ",""),"0",""),"-",""))+LEN(SUBSTITUTE(SUBSTITUTE(SUBSTITUTE(F540," ",""),"0",""),"-",""))+LEN(SUBSTITUTE(SUBSTITUTE(SUBSTITUTE(E541," ",""),"0",""),"-",""))+LEN(SUBSTITUTE(SUBSTITUTE(SUBSTITUTE(F541," ",""),"0",""),"-",""))</f>
      </c>
      <c r="F536" s="14" t="str">
        <f>IF(UPPER(D537)="X",0,IF((LEN(SUBSTITUTE(SUBSTITUTE(SUBSTITUTE(E537," ",""),"0",""),"-",""))+LEN(SUBSTITUTE(SUBSTITUTE(SUBSTITUTE(F537," ",""),"0",""),"-","")))&gt;(LEN(SUBSTITUTE(SUBSTITUTE(SUBSTITUTE(B537," ",""),"0",""),"-",""))+LEN(SUBSTITUTE(SUBSTITUTE(SUBSTITUTE(C537," ",""),"0",""),"-",""))),1,0))+IF(UPPER(D538)="X",0,IF((LEN(SUBSTITUTE(SUBSTITUTE(SUBSTITUTE(E538," ",""),"0",""),"-",""))+LEN(SUBSTITUTE(SUBSTITUTE(SUBSTITUTE(F538," ",""),"0",""),"-","")))&gt;(LEN(SUBSTITUTE(SUBSTITUTE(SUBSTITUTE(B538," ",""),"0",""),"-",""))+LEN(SUBSTITUTE(SUBSTITUTE(SUBSTITUTE(C538," ",""),"0",""),"-",""))),1,0))+IF(UPPER(D539)="X",0,IF((LEN(SUBSTITUTE(SUBSTITUTE(SUBSTITUTE(E539,"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f>
      </c>
      <c r="G536" s="14" t="str">
        <f>'data'!$B$40</f>
      </c>
      <c r="I536" s="14" t="str">
        <f>'data'!$B$88</f>
      </c>
      <c r="J536" s="14" t="str">
        <f>IF(UPPER(L537)="X",0,IF((LEN(SUBSTITUTE(SUBSTITUTE(SUBSTITUTE(J537," ",""),"0",""),"-",""))+LEN(SUBSTITUTE(SUBSTITUTE(SUBSTITUTE(K537," ",""),"0",""),"-","")))&gt;(LEN(SUBSTITUTE(SUBSTITUTE(SUBSTITUTE(M537," ",""),"0",""),"-",""))+LEN(SUBSTITUTE(SUBSTITUTE(SUBSTITUTE(N537," ",""),"0",""),"-",""))),1,0))+IF(UPPER(L538)="X",0,IF((LEN(SUBSTITUTE(SUBSTITUTE(SUBSTITUTE(J538," ",""),"0",""),"-",""))+LEN(SUBSTITUTE(SUBSTITUTE(SUBSTITUTE(K538," ",""),"0",""),"-","")))&gt;(LEN(SUBSTITUTE(SUBSTITUTE(SUBSTITUTE(M538," ",""),"0",""),"-",""))+LEN(SUBSTITUTE(SUBSTITUTE(SUBSTITUTE(N538," ",""),"0",""),"-",""))),1,0))+IF(UPPER(L539)="X",0,IF((LEN(SUBSTITUTE(SUBSTITUTE(SUBSTITUTE(J539,"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f>
      </c>
      <c r="K536" s="14" t="str">
        <f>LEN(SUBSTITUTE(SUBSTITUTE(SUBSTITUTE(J537," ",""),"0",""),"-",""))+LEN(SUBSTITUTE(SUBSTITUTE(SUBSTITUTE(K537," ",""),"0",""),"-",""))+LEN(SUBSTITUTE(SUBSTITUTE(SUBSTITUTE(J538," ",""),"0",""),"-",""))+LEN(SUBSTITUTE(SUBSTITUTE(SUBSTITUTE(K538," ",""),"0",""),"-",""))+LEN(SUBSTITUTE(SUBSTITUTE(SUBSTITUTE(J539," ",""),"0",""),"-",""))+LEN(SUBSTITUTE(SUBSTITUTE(SUBSTITUTE(K539," ",""),"0",""),"-",""))+LEN(SUBSTITUTE(SUBSTITUTE(SUBSTITUTE(J540," ",""),"0",""),"-",""))+LEN(SUBSTITUTE(SUBSTITUTE(SUBSTITUTE(K540," ",""),"0",""),"-",""))+LEN(SUBSTITUTE(SUBSTITUTE(SUBSTITUTE(J541," ",""),"0",""),"-",""))+LEN(SUBSTITUTE(SUBSTITUTE(SUBSTITUTE(K541," ",""),"0",""),"-",""))</f>
      </c>
      <c r="L536" s="18"/>
      <c r="M536" s="14" t="str">
        <f>LEN(SUBSTITUTE(SUBSTITUTE(SUBSTITUTE(M537," ",""),"0",""),"-",""))+LEN(SUBSTITUTE(SUBSTITUTE(SUBSTITUTE(N537," ",""),"0",""),"-",""))+LEN(SUBSTITUTE(SUBSTITUTE(SUBSTITUTE(M538," ",""),"0",""),"-",""))+LEN(SUBSTITUTE(SUBSTITUTE(SUBSTITUTE(N538," ",""),"0",""),"-",""))+LEN(SUBSTITUTE(SUBSTITUTE(SUBSTITUTE(M539," ",""),"0",""),"-",""))+LEN(SUBSTITUTE(SUBSTITUTE(SUBSTITUTE(N539," ",""),"0",""),"-",""))+LEN(SUBSTITUTE(SUBSTITUTE(SUBSTITUTE(M540," ",""),"0",""),"-",""))+LEN(SUBSTITUTE(SUBSTITUTE(SUBSTITUTE(N540," ",""),"0",""),"-",""))+LEN(SUBSTITUTE(SUBSTITUTE(SUBSTITUTE(M541," ",""),"0",""),"-",""))+LEN(SUBSTITUTE(SUBSTITUTE(SUBSTITUTE(N541," ",""),"0",""),"-",""))</f>
      </c>
      <c r="N536" s="14" t="str">
        <f>IF(UPPER(L537)="X",0,IF((LEN(SUBSTITUTE(SUBSTITUTE(SUBSTITUTE(M537," ",""),"0",""),"-",""))+LEN(SUBSTITUTE(SUBSTITUTE(SUBSTITUTE(N537," ",""),"0",""),"-","")))&gt;(LEN(SUBSTITUTE(SUBSTITUTE(SUBSTITUTE(J537," ",""),"0",""),"-",""))+LEN(SUBSTITUTE(SUBSTITUTE(SUBSTITUTE(K537," ",""),"0",""),"-",""))),1,0))+IF(UPPER(L538)="X",0,IF((LEN(SUBSTITUTE(SUBSTITUTE(SUBSTITUTE(M538," ",""),"0",""),"-",""))+LEN(SUBSTITUTE(SUBSTITUTE(SUBSTITUTE(N538," ",""),"0",""),"-","")))&gt;(LEN(SUBSTITUTE(SUBSTITUTE(SUBSTITUTE(J538," ",""),"0",""),"-",""))+LEN(SUBSTITUTE(SUBSTITUTE(SUBSTITUTE(K538," ",""),"0",""),"-",""))),1,0))+IF(UPPER(L539)="X",0,IF((LEN(SUBSTITUTE(SUBSTITUTE(SUBSTITUTE(M539,"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f>
      </c>
      <c r="O536" s="14" t="str">
        <f>'data'!$B$87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242</v>
      </c>
      <c r="B544" s="13" t="s">
        <v>243</v>
      </c>
      <c r="C544" s="13" t="s">
        <v>244</v>
      </c>
      <c r="D544" s="13" t="s">
        <v>245</v>
      </c>
      <c r="E544" s="13"/>
      <c r="F544" s="13"/>
      <c r="G544" s="13" t="s">
        <v>246</v>
      </c>
      <c r="I544" s="13" t="s">
        <v>242</v>
      </c>
      <c r="J544" s="13" t="s">
        <v>243</v>
      </c>
      <c r="K544" s="13" t="s">
        <v>244</v>
      </c>
      <c r="L544" s="13" t="s">
        <v>245</v>
      </c>
      <c r="M544" s="13"/>
      <c r="N544" s="13"/>
      <c r="O544" s="13" t="s">
        <v>246</v>
      </c>
    </row>
    <row r="545">
      <c r="A545" s="14" t="str">
        <f>'data'!$B$39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247</v>
      </c>
      <c r="C549" s="13" t="s">
        <v>248</v>
      </c>
      <c r="D549" s="13" t="s">
        <v>249</v>
      </c>
      <c r="E549" s="13" t="s">
        <v>250</v>
      </c>
      <c r="F549" s="13" t="s">
        <v>251</v>
      </c>
      <c r="I549" s="13"/>
      <c r="J549" s="13" t="s">
        <v>247</v>
      </c>
      <c r="K549" s="13" t="s">
        <v>248</v>
      </c>
      <c r="L549" s="13" t="s">
        <v>249</v>
      </c>
      <c r="M549" s="13" t="s">
        <v>250</v>
      </c>
      <c r="N549" s="13" t="s">
        <v>251</v>
      </c>
    </row>
    <row r="550">
      <c r="A550" s="14" t="str">
        <f>'data'!$B$39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252</v>
      </c>
      <c r="N555" s="13"/>
      <c r="O555" s="13" t="s">
        <v>252</v>
      </c>
    </row>
    <row r="556">
      <c r="F556" t="s">
        <v>253</v>
      </c>
      <c r="G556" s="19" t="str">
        <f>IFERROR(INDEX($A$545:$A$552, MATCH(1, $G$545:$G$552, 0)), "-")</f>
      </c>
      <c r="N556" t="s">
        <v>253</v>
      </c>
      <c r="O556" s="19" t="str">
        <f>IFERROR(INDEX($I$545:$I$552, MATCH(1, $O$545:$O$552, 0)), "-")</f>
      </c>
    </row>
    <row r="557">
      <c r="F557" t="s">
        <v>254</v>
      </c>
      <c r="G557" s="19" t="str">
        <f>IFERROR(INDEX($A$545:$A$552, MATCH(2, $G$545:$G$552, 0)), "-")</f>
      </c>
      <c r="N557" t="s">
        <v>254</v>
      </c>
      <c r="O557" s="19" t="str">
        <f>IFERROR(INDEX($I$545:$I$552, MATCH(2, $O$545:$O$552, 0)), "-")</f>
      </c>
    </row>
    <row r="558">
      <c r="F558" t="s">
        <v>255</v>
      </c>
      <c r="G558" s="19" t="str">
        <f>IFERROR(INDEX($A$545:$A$552, MATCH(3, $G$545:$G$552, 0)), "-")</f>
      </c>
      <c r="N558" t="s">
        <v>255</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239</v>
      </c>
      <c r="B562" s="14"/>
      <c r="C562" s="14"/>
      <c r="D562" s="14" t="s">
        <v>240</v>
      </c>
      <c r="E562" s="14"/>
      <c r="F562" s="14"/>
      <c r="G562" s="16" t="s">
        <v>241</v>
      </c>
      <c r="I562" s="17" t="s">
        <v>239</v>
      </c>
      <c r="J562" s="14"/>
      <c r="K562" s="14"/>
      <c r="L562" s="14" t="s">
        <v>240</v>
      </c>
      <c r="M562" s="14"/>
      <c r="N562" s="14"/>
      <c r="O562" s="16" t="s">
        <v>241</v>
      </c>
    </row>
    <row r="563">
      <c r="A563" s="14" t="str">
        <f>'data'!$B$43</f>
      </c>
      <c r="B563" s="14" t="str">
        <f>IF(UPPER(D564)="X",0,IF((LEN(SUBSTITUTE(SUBSTITUTE(SUBSTITUTE(B564," ",""),"0",""),"-",""))+LEN(SUBSTITUTE(SUBSTITUTE(SUBSTITUTE(C564," ",""),"0",""),"-","")))&gt;(LEN(SUBSTITUTE(SUBSTITUTE(SUBSTITUTE(E564," ",""),"0",""),"-",""))+LEN(SUBSTITUTE(SUBSTITUTE(SUBSTITUTE(F564," ",""),"0",""),"-",""))),1,0))+IF(UPPER(D565)="X",0,IF((LEN(SUBSTITUTE(SUBSTITUTE(SUBSTITUTE(B565," ",""),"0",""),"-",""))+LEN(SUBSTITUTE(SUBSTITUTE(SUBSTITUTE(C565," ",""),"0",""),"-","")))&gt;(LEN(SUBSTITUTE(SUBSTITUTE(SUBSTITUTE(E565," ",""),"0",""),"-",""))+LEN(SUBSTITUTE(SUBSTITUTE(SUBSTITUTE(F565," ",""),"0",""),"-",""))),1,0))+IF(UPPER(D566)="X",0,IF((LEN(SUBSTITUTE(SUBSTITUTE(SUBSTITUTE(B566," ",""),"0",""),"-",""))+LEN(SUBSTITUTE(SUBSTITUTE(SUBSTITUTE(C566," ",""),"0",""),"-","")))&gt;(LEN(SUBSTITUTE(SUBSTITUTE(SUBSTITUTE(E566," ",""),"0",""),"-",""))+LEN(SUBSTITUTE(SUBSTITUTE(SUBSTITUTE(F566," ",""),"0",""),"-",""))),1,0))+IF(UPPER(D567)="X",0,IF((LEN(SUBSTITUTE(SUBSTITUTE(SUBSTITUTE(B567," ",""),"0",""),"-",""))+LEN(SUBSTITUTE(SUBSTITUTE(SUBSTITUTE(C567," ",""),"0",""),"-","")))&gt;(LEN(SUBSTITUTE(SUBSTITUTE(SUBSTITUTE(E567," ",""),"0",""),"-",""))+LEN(SUBSTITUTE(SUBSTITUTE(SUBSTITUTE(F567," ",""),"0",""),"-",""))),1,0))+IF(UPPER(D568)="X",0,IF((LEN(SUBSTITUTE(SUBSTITUTE(SUBSTITUTE(B568," ",""),"0",""),"-",""))+LEN(SUBSTITUTE(SUBSTITUTE(SUBSTITUTE(C568," ",""),"0",""),"-","")))&gt;(LEN(SUBSTITUTE(SUBSTITUTE(SUBSTITUTE(E568," ",""),"0",""),"-",""))+LEN(SUBSTITUTE(SUBSTITUTE(SUBSTITUTE(F568," ",""),"0",""),"-",""))),1,0))</f>
      </c>
      <c r="C563" s="14" t="str">
        <f>LEN(SUBSTITUTE(SUBSTITUTE(SUBSTITUTE(B564," ",""),"0",""),"-",""))+LEN(SUBSTITUTE(SUBSTITUTE(SUBSTITUTE(C564," ",""),"0",""),"-",""))+LEN(SUBSTITUTE(SUBSTITUTE(SUBSTITUTE(B565," ",""),"0",""),"-",""))+LEN(SUBSTITUTE(SUBSTITUTE(SUBSTITUTE(C565," ",""),"0",""),"-",""))+LEN(SUBSTITUTE(SUBSTITUTE(SUBSTITUTE(B566," ",""),"0",""),"-",""))+LEN(SUBSTITUTE(SUBSTITUTE(SUBSTITUTE(C566," ",""),"0",""),"-",""))+LEN(SUBSTITUTE(SUBSTITUTE(SUBSTITUTE(B567," ",""),"0",""),"-",""))+LEN(SUBSTITUTE(SUBSTITUTE(SUBSTITUTE(C567," ",""),"0",""),"-",""))+LEN(SUBSTITUTE(SUBSTITUTE(SUBSTITUTE(B568," ",""),"0",""),"-",""))+LEN(SUBSTITUTE(SUBSTITUTE(SUBSTITUTE(C568," ",""),"0",""),"-",""))</f>
      </c>
      <c r="D563" s="18"/>
      <c r="E563" s="14" t="str">
        <f>LEN(SUBSTITUTE(SUBSTITUTE(SUBSTITUTE(E564," ",""),"0",""),"-",""))+LEN(SUBSTITUTE(SUBSTITUTE(SUBSTITUTE(F564," ",""),"0",""),"-",""))+LEN(SUBSTITUTE(SUBSTITUTE(SUBSTITUTE(E565," ",""),"0",""),"-",""))+LEN(SUBSTITUTE(SUBSTITUTE(SUBSTITUTE(F565," ",""),"0",""),"-",""))+LEN(SUBSTITUTE(SUBSTITUTE(SUBSTITUTE(E566," ",""),"0",""),"-",""))+LEN(SUBSTITUTE(SUBSTITUTE(SUBSTITUTE(F566," ",""),"0",""),"-",""))+LEN(SUBSTITUTE(SUBSTITUTE(SUBSTITUTE(E567," ",""),"0",""),"-",""))+LEN(SUBSTITUTE(SUBSTITUTE(SUBSTITUTE(F567," ",""),"0",""),"-",""))+LEN(SUBSTITUTE(SUBSTITUTE(SUBSTITUTE(E568," ",""),"0",""),"-",""))+LEN(SUBSTITUTE(SUBSTITUTE(SUBSTITUTE(F568," ",""),"0",""),"-",""))</f>
      </c>
      <c r="F563" s="14" t="str">
        <f>IF(UPPER(D564)="X",0,IF((LEN(SUBSTITUTE(SUBSTITUTE(SUBSTITUTE(E564," ",""),"0",""),"-",""))+LEN(SUBSTITUTE(SUBSTITUTE(SUBSTITUTE(F564," ",""),"0",""),"-","")))&gt;(LEN(SUBSTITUTE(SUBSTITUTE(SUBSTITUTE(B564," ",""),"0",""),"-",""))+LEN(SUBSTITUTE(SUBSTITUTE(SUBSTITUTE(C564," ",""),"0",""),"-",""))),1,0))+IF(UPPER(D565)="X",0,IF((LEN(SUBSTITUTE(SUBSTITUTE(SUBSTITUTE(E565," ",""),"0",""),"-",""))+LEN(SUBSTITUTE(SUBSTITUTE(SUBSTITUTE(F565," ",""),"0",""),"-","")))&gt;(LEN(SUBSTITUTE(SUBSTITUTE(SUBSTITUTE(B565," ",""),"0",""),"-",""))+LEN(SUBSTITUTE(SUBSTITUTE(SUBSTITUTE(C565," ",""),"0",""),"-",""))),1,0))+IF(UPPER(D566)="X",0,IF((LEN(SUBSTITUTE(SUBSTITUTE(SUBSTITUTE(E566," ",""),"0",""),"-",""))+LEN(SUBSTITUTE(SUBSTITUTE(SUBSTITUTE(F566," ",""),"0",""),"-","")))&gt;(LEN(SUBSTITUTE(SUBSTITUTE(SUBSTITUTE(B566," ",""),"0",""),"-",""))+LEN(SUBSTITUTE(SUBSTITUTE(SUBSTITUTE(C566," ",""),"0",""),"-",""))),1,0))+IF(UPPER(D567)="X",0,IF((LEN(SUBSTITUTE(SUBSTITUTE(SUBSTITUTE(E567," ",""),"0",""),"-",""))+LEN(SUBSTITUTE(SUBSTITUTE(SUBSTITUTE(F567," ",""),"0",""),"-","")))&gt;(LEN(SUBSTITUTE(SUBSTITUTE(SUBSTITUTE(B567," ",""),"0",""),"-",""))+LEN(SUBSTITUTE(SUBSTITUTE(SUBSTITUTE(C567," ",""),"0",""),"-",""))),1,0))+IF(UPPER(D568)="X",0,IF((LEN(SUBSTITUTE(SUBSTITUTE(SUBSTITUTE(E568," ",""),"0",""),"-",""))+LEN(SUBSTITUTE(SUBSTITUTE(SUBSTITUTE(F568," ",""),"0",""),"-","")))&gt;(LEN(SUBSTITUTE(SUBSTITUTE(SUBSTITUTE(B568," ",""),"0",""),"-",""))+LEN(SUBSTITUTE(SUBSTITUTE(SUBSTITUTE(C568," ",""),"0",""),"-",""))),1,0))</f>
      </c>
      <c r="G563" s="14" t="str">
        <f>'data'!$B$42</f>
      </c>
      <c r="I563" s="14" t="str">
        <f>'data'!$B$90</f>
      </c>
      <c r="J563" s="14" t="str">
        <f>IF(UPPER(L564)="X",0,IF((LEN(SUBSTITUTE(SUBSTITUTE(SUBSTITUTE(J564," ",""),"0",""),"-",""))+LEN(SUBSTITUTE(SUBSTITUTE(SUBSTITUTE(K564," ",""),"0",""),"-","")))&gt;(LEN(SUBSTITUTE(SUBSTITUTE(SUBSTITUTE(M564," ",""),"0",""),"-",""))+LEN(SUBSTITUTE(SUBSTITUTE(SUBSTITUTE(N564," ",""),"0",""),"-",""))),1,0))+IF(UPPER(L565)="X",0,IF((LEN(SUBSTITUTE(SUBSTITUTE(SUBSTITUTE(J565," ",""),"0",""),"-",""))+LEN(SUBSTITUTE(SUBSTITUTE(SUBSTITUTE(K565," ",""),"0",""),"-","")))&gt;(LEN(SUBSTITUTE(SUBSTITUTE(SUBSTITUTE(M565," ",""),"0",""),"-",""))+LEN(SUBSTITUTE(SUBSTITUTE(SUBSTITUTE(N565," ",""),"0",""),"-",""))),1,0))+IF(UPPER(L566)="X",0,IF((LEN(SUBSTITUTE(SUBSTITUTE(SUBSTITUTE(J566," ",""),"0",""),"-",""))+LEN(SUBSTITUTE(SUBSTITUTE(SUBSTITUTE(K566," ",""),"0",""),"-","")))&gt;(LEN(SUBSTITUTE(SUBSTITUTE(SUBSTITUTE(M566," ",""),"0",""),"-",""))+LEN(SUBSTITUTE(SUBSTITUTE(SUBSTITUTE(N566," ",""),"0",""),"-",""))),1,0))+IF(UPPER(L567)="X",0,IF((LEN(SUBSTITUTE(SUBSTITUTE(SUBSTITUTE(J567," ",""),"0",""),"-",""))+LEN(SUBSTITUTE(SUBSTITUTE(SUBSTITUTE(K567," ",""),"0",""),"-","")))&gt;(LEN(SUBSTITUTE(SUBSTITUTE(SUBSTITUTE(M567," ",""),"0",""),"-",""))+LEN(SUBSTITUTE(SUBSTITUTE(SUBSTITUTE(N567," ",""),"0",""),"-",""))),1,0))+IF(UPPER(L568)="X",0,IF((LEN(SUBSTITUTE(SUBSTITUTE(SUBSTITUTE(J568," ",""),"0",""),"-",""))+LEN(SUBSTITUTE(SUBSTITUTE(SUBSTITUTE(K568," ",""),"0",""),"-","")))&gt;(LEN(SUBSTITUTE(SUBSTITUTE(SUBSTITUTE(M568," ",""),"0",""),"-",""))+LEN(SUBSTITUTE(SUBSTITUTE(SUBSTITUTE(N568," ",""),"0",""),"-",""))),1,0))</f>
      </c>
      <c r="K563" s="14" t="str">
        <f>LEN(SUBSTITUTE(SUBSTITUTE(SUBSTITUTE(J564," ",""),"0",""),"-",""))+LEN(SUBSTITUTE(SUBSTITUTE(SUBSTITUTE(K564," ",""),"0",""),"-",""))+LEN(SUBSTITUTE(SUBSTITUTE(SUBSTITUTE(J565," ",""),"0",""),"-",""))+LEN(SUBSTITUTE(SUBSTITUTE(SUBSTITUTE(K565," ",""),"0",""),"-",""))+LEN(SUBSTITUTE(SUBSTITUTE(SUBSTITUTE(J566," ",""),"0",""),"-",""))+LEN(SUBSTITUTE(SUBSTITUTE(SUBSTITUTE(K566," ",""),"0",""),"-",""))+LEN(SUBSTITUTE(SUBSTITUTE(SUBSTITUTE(J567," ",""),"0",""),"-",""))+LEN(SUBSTITUTE(SUBSTITUTE(SUBSTITUTE(K567," ",""),"0",""),"-",""))+LEN(SUBSTITUTE(SUBSTITUTE(SUBSTITUTE(J568," ",""),"0",""),"-",""))+LEN(SUBSTITUTE(SUBSTITUTE(SUBSTITUTE(K568," ",""),"0",""),"-",""))</f>
      </c>
      <c r="L563" s="18"/>
      <c r="M563" s="14" t="str">
        <f>LEN(SUBSTITUTE(SUBSTITUTE(SUBSTITUTE(M564," ",""),"0",""),"-",""))+LEN(SUBSTITUTE(SUBSTITUTE(SUBSTITUTE(N564," ",""),"0",""),"-",""))+LEN(SUBSTITUTE(SUBSTITUTE(SUBSTITUTE(M565," ",""),"0",""),"-",""))+LEN(SUBSTITUTE(SUBSTITUTE(SUBSTITUTE(N565," ",""),"0",""),"-",""))+LEN(SUBSTITUTE(SUBSTITUTE(SUBSTITUTE(M566," ",""),"0",""),"-",""))+LEN(SUBSTITUTE(SUBSTITUTE(SUBSTITUTE(N566," ",""),"0",""),"-",""))+LEN(SUBSTITUTE(SUBSTITUTE(SUBSTITUTE(M567," ",""),"0",""),"-",""))+LEN(SUBSTITUTE(SUBSTITUTE(SUBSTITUTE(N567," ",""),"0",""),"-",""))+LEN(SUBSTITUTE(SUBSTITUTE(SUBSTITUTE(M568," ",""),"0",""),"-",""))+LEN(SUBSTITUTE(SUBSTITUTE(SUBSTITUTE(N568," ",""),"0",""),"-",""))</f>
      </c>
      <c r="N563" s="14" t="str">
        <f>IF(UPPER(L564)="X",0,IF((LEN(SUBSTITUTE(SUBSTITUTE(SUBSTITUTE(M564," ",""),"0",""),"-",""))+LEN(SUBSTITUTE(SUBSTITUTE(SUBSTITUTE(N564," ",""),"0",""),"-","")))&gt;(LEN(SUBSTITUTE(SUBSTITUTE(SUBSTITUTE(J564," ",""),"0",""),"-",""))+LEN(SUBSTITUTE(SUBSTITUTE(SUBSTITUTE(K564," ",""),"0",""),"-",""))),1,0))+IF(UPPER(L565)="X",0,IF((LEN(SUBSTITUTE(SUBSTITUTE(SUBSTITUTE(M565," ",""),"0",""),"-",""))+LEN(SUBSTITUTE(SUBSTITUTE(SUBSTITUTE(N565," ",""),"0",""),"-","")))&gt;(LEN(SUBSTITUTE(SUBSTITUTE(SUBSTITUTE(J565," ",""),"0",""),"-",""))+LEN(SUBSTITUTE(SUBSTITUTE(SUBSTITUTE(K565," ",""),"0",""),"-",""))),1,0))+IF(UPPER(L566)="X",0,IF((LEN(SUBSTITUTE(SUBSTITUTE(SUBSTITUTE(M566," ",""),"0",""),"-",""))+LEN(SUBSTITUTE(SUBSTITUTE(SUBSTITUTE(N566," ",""),"0",""),"-","")))&gt;(LEN(SUBSTITUTE(SUBSTITUTE(SUBSTITUTE(J566," ",""),"0",""),"-",""))+LEN(SUBSTITUTE(SUBSTITUTE(SUBSTITUTE(K566," ",""),"0",""),"-",""))),1,0))+IF(UPPER(L567)="X",0,IF((LEN(SUBSTITUTE(SUBSTITUTE(SUBSTITUTE(M567," ",""),"0",""),"-",""))+LEN(SUBSTITUTE(SUBSTITUTE(SUBSTITUTE(N567," ",""),"0",""),"-","")))&gt;(LEN(SUBSTITUTE(SUBSTITUTE(SUBSTITUTE(J567," ",""),"0",""),"-",""))+LEN(SUBSTITUTE(SUBSTITUTE(SUBSTITUTE(K567," ",""),"0",""),"-",""))),1,0))+IF(UPPER(L568)="X",0,IF((LEN(SUBSTITUTE(SUBSTITUTE(SUBSTITUTE(M568," ",""),"0",""),"-",""))+LEN(SUBSTITUTE(SUBSTITUTE(SUBSTITUTE(N568," ",""),"0",""),"-","")))&gt;(LEN(SUBSTITUTE(SUBSTITUTE(SUBSTITUTE(J568," ",""),"0",""),"-",""))+LEN(SUBSTITUTE(SUBSTITUTE(SUBSTITUTE(K568," ",""),"0",""),"-",""))),1,0))</f>
      </c>
      <c r="O563" s="14" t="str">
        <f>'data'!$B$89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239</v>
      </c>
      <c r="B570" s="14"/>
      <c r="C570" s="14"/>
      <c r="D570" s="14" t="s">
        <v>240</v>
      </c>
      <c r="E570" s="14"/>
      <c r="F570" s="14"/>
      <c r="G570" s="16" t="s">
        <v>241</v>
      </c>
      <c r="I570" s="17" t="s">
        <v>239</v>
      </c>
      <c r="J570" s="14"/>
      <c r="K570" s="14"/>
      <c r="L570" s="14" t="s">
        <v>240</v>
      </c>
      <c r="M570" s="14"/>
      <c r="N570" s="14"/>
      <c r="O570" s="16" t="s">
        <v>241</v>
      </c>
    </row>
    <row r="571">
      <c r="A571" s="14" t="str">
        <f>'data'!$B$44</f>
      </c>
      <c r="B571" s="14" t="str">
        <f>IF(UPPER(D572)="X",0,IF((LEN(SUBSTITUTE(SUBSTITUTE(SUBSTITUTE(B572," ",""),"0",""),"-",""))+LEN(SUBSTITUTE(SUBSTITUTE(SUBSTITUTE(C572," ",""),"0",""),"-","")))&gt;(LEN(SUBSTITUTE(SUBSTITUTE(SUBSTITUTE(E572," ",""),"0",""),"-",""))+LEN(SUBSTITUTE(SUBSTITUTE(SUBSTITUTE(F572," ",""),"0",""),"-",""))),1,0))+IF(UPPER(D573)="X",0,IF((LEN(SUBSTITUTE(SUBSTITUTE(SUBSTITUTE(B573," ",""),"0",""),"-",""))+LEN(SUBSTITUTE(SUBSTITUTE(SUBSTITUTE(C573," ",""),"0",""),"-","")))&gt;(LEN(SUBSTITUTE(SUBSTITUTE(SUBSTITUTE(E573," ",""),"0",""),"-",""))+LEN(SUBSTITUTE(SUBSTITUTE(SUBSTITUTE(F573," ",""),"0",""),"-",""))),1,0))+IF(UPPER(D574)="X",0,IF((LEN(SUBSTITUTE(SUBSTITUTE(SUBSTITUTE(B574,"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f>
      </c>
      <c r="C571" s="14" t="str">
        <f>LEN(SUBSTITUTE(SUBSTITUTE(SUBSTITUTE(B572," ",""),"0",""),"-",""))+LEN(SUBSTITUTE(SUBSTITUTE(SUBSTITUTE(C572," ",""),"0",""),"-",""))+LEN(SUBSTITUTE(SUBSTITUTE(SUBSTITUTE(B573," ",""),"0",""),"-",""))+LEN(SUBSTITUTE(SUBSTITUTE(SUBSTITUTE(C573," ",""),"0",""),"-",""))+LEN(SUBSTITUTE(SUBSTITUTE(SUBSTITUTE(B574," ",""),"0",""),"-",""))+LEN(SUBSTITUTE(SUBSTITUTE(SUBSTITUTE(C574," ",""),"0",""),"-",""))+LEN(SUBSTITUTE(SUBSTITUTE(SUBSTITUTE(B575," ",""),"0",""),"-",""))+LEN(SUBSTITUTE(SUBSTITUTE(SUBSTITUTE(C575," ",""),"0",""),"-",""))+LEN(SUBSTITUTE(SUBSTITUTE(SUBSTITUTE(B576," ",""),"0",""),"-",""))+LEN(SUBSTITUTE(SUBSTITUTE(SUBSTITUTE(C576," ",""),"0",""),"-",""))</f>
      </c>
      <c r="D571" s="18"/>
      <c r="E571" s="14" t="str">
        <f>LEN(SUBSTITUTE(SUBSTITUTE(SUBSTITUTE(E572," ",""),"0",""),"-",""))+LEN(SUBSTITUTE(SUBSTITUTE(SUBSTITUTE(F572," ",""),"0",""),"-",""))+LEN(SUBSTITUTE(SUBSTITUTE(SUBSTITUTE(E573," ",""),"0",""),"-",""))+LEN(SUBSTITUTE(SUBSTITUTE(SUBSTITUTE(F573," ",""),"0",""),"-",""))+LEN(SUBSTITUTE(SUBSTITUTE(SUBSTITUTE(E574," ",""),"0",""),"-",""))+LEN(SUBSTITUTE(SUBSTITUTE(SUBSTITUTE(F574," ",""),"0",""),"-",""))+LEN(SUBSTITUTE(SUBSTITUTE(SUBSTITUTE(E575," ",""),"0",""),"-",""))+LEN(SUBSTITUTE(SUBSTITUTE(SUBSTITUTE(F575," ",""),"0",""),"-",""))+LEN(SUBSTITUTE(SUBSTITUTE(SUBSTITUTE(E576," ",""),"0",""),"-",""))+LEN(SUBSTITUTE(SUBSTITUTE(SUBSTITUTE(F576," ",""),"0",""),"-",""))</f>
      </c>
      <c r="F571" s="14" t="str">
        <f>IF(UPPER(D572)="X",0,IF((LEN(SUBSTITUTE(SUBSTITUTE(SUBSTITUTE(E572," ",""),"0",""),"-",""))+LEN(SUBSTITUTE(SUBSTITUTE(SUBSTITUTE(F572," ",""),"0",""),"-","")))&gt;(LEN(SUBSTITUTE(SUBSTITUTE(SUBSTITUTE(B572," ",""),"0",""),"-",""))+LEN(SUBSTITUTE(SUBSTITUTE(SUBSTITUTE(C572," ",""),"0",""),"-",""))),1,0))+IF(UPPER(D573)="X",0,IF((LEN(SUBSTITUTE(SUBSTITUTE(SUBSTITUTE(E573," ",""),"0",""),"-",""))+LEN(SUBSTITUTE(SUBSTITUTE(SUBSTITUTE(F573," ",""),"0",""),"-","")))&gt;(LEN(SUBSTITUTE(SUBSTITUTE(SUBSTITUTE(B573," ",""),"0",""),"-",""))+LEN(SUBSTITUTE(SUBSTITUTE(SUBSTITUTE(C573," ",""),"0",""),"-",""))),1,0))+IF(UPPER(D574)="X",0,IF((LEN(SUBSTITUTE(SUBSTITUTE(SUBSTITUTE(E574,"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f>
      </c>
      <c r="G571" s="14" t="str">
        <f>'data'!$B$42</f>
      </c>
      <c r="I571" s="14" t="str">
        <f>'data'!$B$91</f>
      </c>
      <c r="J571" s="14" t="str">
        <f>IF(UPPER(L572)="X",0,IF((LEN(SUBSTITUTE(SUBSTITUTE(SUBSTITUTE(J572," ",""),"0",""),"-",""))+LEN(SUBSTITUTE(SUBSTITUTE(SUBSTITUTE(K572," ",""),"0",""),"-","")))&gt;(LEN(SUBSTITUTE(SUBSTITUTE(SUBSTITUTE(M572," ",""),"0",""),"-",""))+LEN(SUBSTITUTE(SUBSTITUTE(SUBSTITUTE(N572," ",""),"0",""),"-",""))),1,0))+IF(UPPER(L573)="X",0,IF((LEN(SUBSTITUTE(SUBSTITUTE(SUBSTITUTE(J573," ",""),"0",""),"-",""))+LEN(SUBSTITUTE(SUBSTITUTE(SUBSTITUTE(K573," ",""),"0",""),"-","")))&gt;(LEN(SUBSTITUTE(SUBSTITUTE(SUBSTITUTE(M573," ",""),"0",""),"-",""))+LEN(SUBSTITUTE(SUBSTITUTE(SUBSTITUTE(N573," ",""),"0",""),"-",""))),1,0))+IF(UPPER(L574)="X",0,IF((LEN(SUBSTITUTE(SUBSTITUTE(SUBSTITUTE(J574,"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f>
      </c>
      <c r="K571" s="14" t="str">
        <f>LEN(SUBSTITUTE(SUBSTITUTE(SUBSTITUTE(J572," ",""),"0",""),"-",""))+LEN(SUBSTITUTE(SUBSTITUTE(SUBSTITUTE(K572," ",""),"0",""),"-",""))+LEN(SUBSTITUTE(SUBSTITUTE(SUBSTITUTE(J573," ",""),"0",""),"-",""))+LEN(SUBSTITUTE(SUBSTITUTE(SUBSTITUTE(K573," ",""),"0",""),"-",""))+LEN(SUBSTITUTE(SUBSTITUTE(SUBSTITUTE(J574," ",""),"0",""),"-",""))+LEN(SUBSTITUTE(SUBSTITUTE(SUBSTITUTE(K574," ",""),"0",""),"-",""))+LEN(SUBSTITUTE(SUBSTITUTE(SUBSTITUTE(J575," ",""),"0",""),"-",""))+LEN(SUBSTITUTE(SUBSTITUTE(SUBSTITUTE(K575," ",""),"0",""),"-",""))+LEN(SUBSTITUTE(SUBSTITUTE(SUBSTITUTE(J576," ",""),"0",""),"-",""))+LEN(SUBSTITUTE(SUBSTITUTE(SUBSTITUTE(K576," ",""),"0",""),"-",""))</f>
      </c>
      <c r="L571" s="18"/>
      <c r="M571" s="14" t="str">
        <f>LEN(SUBSTITUTE(SUBSTITUTE(SUBSTITUTE(M572," ",""),"0",""),"-",""))+LEN(SUBSTITUTE(SUBSTITUTE(SUBSTITUTE(N572," ",""),"0",""),"-",""))+LEN(SUBSTITUTE(SUBSTITUTE(SUBSTITUTE(M573," ",""),"0",""),"-",""))+LEN(SUBSTITUTE(SUBSTITUTE(SUBSTITUTE(N573," ",""),"0",""),"-",""))+LEN(SUBSTITUTE(SUBSTITUTE(SUBSTITUTE(M574," ",""),"0",""),"-",""))+LEN(SUBSTITUTE(SUBSTITUTE(SUBSTITUTE(N574," ",""),"0",""),"-",""))+LEN(SUBSTITUTE(SUBSTITUTE(SUBSTITUTE(M575," ",""),"0",""),"-",""))+LEN(SUBSTITUTE(SUBSTITUTE(SUBSTITUTE(N575," ",""),"0",""),"-",""))+LEN(SUBSTITUTE(SUBSTITUTE(SUBSTITUTE(M576," ",""),"0",""),"-",""))+LEN(SUBSTITUTE(SUBSTITUTE(SUBSTITUTE(N576," ",""),"0",""),"-",""))</f>
      </c>
      <c r="N571" s="14" t="str">
        <f>IF(UPPER(L572)="X",0,IF((LEN(SUBSTITUTE(SUBSTITUTE(SUBSTITUTE(M572," ",""),"0",""),"-",""))+LEN(SUBSTITUTE(SUBSTITUTE(SUBSTITUTE(N572," ",""),"0",""),"-","")))&gt;(LEN(SUBSTITUTE(SUBSTITUTE(SUBSTITUTE(J572," ",""),"0",""),"-",""))+LEN(SUBSTITUTE(SUBSTITUTE(SUBSTITUTE(K572," ",""),"0",""),"-",""))),1,0))+IF(UPPER(L573)="X",0,IF((LEN(SUBSTITUTE(SUBSTITUTE(SUBSTITUTE(M573," ",""),"0",""),"-",""))+LEN(SUBSTITUTE(SUBSTITUTE(SUBSTITUTE(N573," ",""),"0",""),"-","")))&gt;(LEN(SUBSTITUTE(SUBSTITUTE(SUBSTITUTE(J573," ",""),"0",""),"-",""))+LEN(SUBSTITUTE(SUBSTITUTE(SUBSTITUTE(K573," ",""),"0",""),"-",""))),1,0))+IF(UPPER(L574)="X",0,IF((LEN(SUBSTITUTE(SUBSTITUTE(SUBSTITUTE(M574,"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f>
      </c>
      <c r="O571" s="14" t="str">
        <f>'data'!$B$89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239</v>
      </c>
      <c r="B578" s="14"/>
      <c r="C578" s="14"/>
      <c r="D578" s="14" t="s">
        <v>240</v>
      </c>
      <c r="E578" s="14"/>
      <c r="F578" s="14"/>
      <c r="G578" s="16" t="s">
        <v>241</v>
      </c>
      <c r="I578" s="17" t="s">
        <v>239</v>
      </c>
      <c r="J578" s="14"/>
      <c r="K578" s="14"/>
      <c r="L578" s="14" t="s">
        <v>240</v>
      </c>
      <c r="M578" s="14"/>
      <c r="N578" s="14"/>
      <c r="O578" s="16" t="s">
        <v>241</v>
      </c>
    </row>
    <row r="579">
      <c r="A579" s="14" t="str">
        <f>'data'!$B$44</f>
      </c>
      <c r="B579" s="14" t="str">
        <f>IF(UPPER(D580)="X",0,IF((LEN(SUBSTITUTE(SUBSTITUTE(SUBSTITUTE(B580," ",""),"0",""),"-",""))+LEN(SUBSTITUTE(SUBSTITUTE(SUBSTITUTE(C580," ",""),"0",""),"-","")))&gt;(LEN(SUBSTITUTE(SUBSTITUTE(SUBSTITUTE(E580," ",""),"0",""),"-",""))+LEN(SUBSTITUTE(SUBSTITUTE(SUBSTITUTE(F580," ",""),"0",""),"-",""))),1,0))+IF(UPPER(D581)="X",0,IF((LEN(SUBSTITUTE(SUBSTITUTE(SUBSTITUTE(B581," ",""),"0",""),"-",""))+LEN(SUBSTITUTE(SUBSTITUTE(SUBSTITUTE(C581," ",""),"0",""),"-","")))&gt;(LEN(SUBSTITUTE(SUBSTITUTE(SUBSTITUTE(E581," ",""),"0",""),"-",""))+LEN(SUBSTITUTE(SUBSTITUTE(SUBSTITUTE(F581," ",""),"0",""),"-",""))),1,0))+IF(UPPER(D582)="X",0,IF((LEN(SUBSTITUTE(SUBSTITUTE(SUBSTITUTE(B582,"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f>
      </c>
      <c r="C579" s="14" t="str">
        <f>LEN(SUBSTITUTE(SUBSTITUTE(SUBSTITUTE(B580," ",""),"0",""),"-",""))+LEN(SUBSTITUTE(SUBSTITUTE(SUBSTITUTE(C580," ",""),"0",""),"-",""))+LEN(SUBSTITUTE(SUBSTITUTE(SUBSTITUTE(B581," ",""),"0",""),"-",""))+LEN(SUBSTITUTE(SUBSTITUTE(SUBSTITUTE(C581," ",""),"0",""),"-",""))+LEN(SUBSTITUTE(SUBSTITUTE(SUBSTITUTE(B582," ",""),"0",""),"-",""))+LEN(SUBSTITUTE(SUBSTITUTE(SUBSTITUTE(C582," ",""),"0",""),"-",""))+LEN(SUBSTITUTE(SUBSTITUTE(SUBSTITUTE(B583," ",""),"0",""),"-",""))+LEN(SUBSTITUTE(SUBSTITUTE(SUBSTITUTE(C583," ",""),"0",""),"-",""))+LEN(SUBSTITUTE(SUBSTITUTE(SUBSTITUTE(B584," ",""),"0",""),"-",""))+LEN(SUBSTITUTE(SUBSTITUTE(SUBSTITUTE(C584," ",""),"0",""),"-",""))</f>
      </c>
      <c r="D579" s="18"/>
      <c r="E579" s="14" t="str">
        <f>LEN(SUBSTITUTE(SUBSTITUTE(SUBSTITUTE(E580," ",""),"0",""),"-",""))+LEN(SUBSTITUTE(SUBSTITUTE(SUBSTITUTE(F580," ",""),"0",""),"-",""))+LEN(SUBSTITUTE(SUBSTITUTE(SUBSTITUTE(E581," ",""),"0",""),"-",""))+LEN(SUBSTITUTE(SUBSTITUTE(SUBSTITUTE(F581," ",""),"0",""),"-",""))+LEN(SUBSTITUTE(SUBSTITUTE(SUBSTITUTE(E582," ",""),"0",""),"-",""))+LEN(SUBSTITUTE(SUBSTITUTE(SUBSTITUTE(F582," ",""),"0",""),"-",""))+LEN(SUBSTITUTE(SUBSTITUTE(SUBSTITUTE(E583," ",""),"0",""),"-",""))+LEN(SUBSTITUTE(SUBSTITUTE(SUBSTITUTE(F583," ",""),"0",""),"-",""))+LEN(SUBSTITUTE(SUBSTITUTE(SUBSTITUTE(E584," ",""),"0",""),"-",""))+LEN(SUBSTITUTE(SUBSTITUTE(SUBSTITUTE(F584," ",""),"0",""),"-",""))</f>
      </c>
      <c r="F579" s="14" t="str">
        <f>IF(UPPER(D580)="X",0,IF((LEN(SUBSTITUTE(SUBSTITUTE(SUBSTITUTE(E580," ",""),"0",""),"-",""))+LEN(SUBSTITUTE(SUBSTITUTE(SUBSTITUTE(F580," ",""),"0",""),"-","")))&gt;(LEN(SUBSTITUTE(SUBSTITUTE(SUBSTITUTE(B580," ",""),"0",""),"-",""))+LEN(SUBSTITUTE(SUBSTITUTE(SUBSTITUTE(C580," ",""),"0",""),"-",""))),1,0))+IF(UPPER(D581)="X",0,IF((LEN(SUBSTITUTE(SUBSTITUTE(SUBSTITUTE(E581," ",""),"0",""),"-",""))+LEN(SUBSTITUTE(SUBSTITUTE(SUBSTITUTE(F581," ",""),"0",""),"-","")))&gt;(LEN(SUBSTITUTE(SUBSTITUTE(SUBSTITUTE(B581," ",""),"0",""),"-",""))+LEN(SUBSTITUTE(SUBSTITUTE(SUBSTITUTE(C581," ",""),"0",""),"-",""))),1,0))+IF(UPPER(D582)="X",0,IF((LEN(SUBSTITUTE(SUBSTITUTE(SUBSTITUTE(E582,"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f>
      </c>
      <c r="G579" s="14" t="str">
        <f>'data'!$B$43</f>
      </c>
      <c r="I579" s="14" t="str">
        <f>'data'!$B$91</f>
      </c>
      <c r="J579" s="14" t="str">
        <f>IF(UPPER(L580)="X",0,IF((LEN(SUBSTITUTE(SUBSTITUTE(SUBSTITUTE(J580," ",""),"0",""),"-",""))+LEN(SUBSTITUTE(SUBSTITUTE(SUBSTITUTE(K580," ",""),"0",""),"-","")))&gt;(LEN(SUBSTITUTE(SUBSTITUTE(SUBSTITUTE(M580," ",""),"0",""),"-",""))+LEN(SUBSTITUTE(SUBSTITUTE(SUBSTITUTE(N580," ",""),"0",""),"-",""))),1,0))+IF(UPPER(L581)="X",0,IF((LEN(SUBSTITUTE(SUBSTITUTE(SUBSTITUTE(J581," ",""),"0",""),"-",""))+LEN(SUBSTITUTE(SUBSTITUTE(SUBSTITUTE(K581," ",""),"0",""),"-","")))&gt;(LEN(SUBSTITUTE(SUBSTITUTE(SUBSTITUTE(M581," ",""),"0",""),"-",""))+LEN(SUBSTITUTE(SUBSTITUTE(SUBSTITUTE(N581," ",""),"0",""),"-",""))),1,0))+IF(UPPER(L582)="X",0,IF((LEN(SUBSTITUTE(SUBSTITUTE(SUBSTITUTE(J582,"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f>
      </c>
      <c r="K579" s="14" t="str">
        <f>LEN(SUBSTITUTE(SUBSTITUTE(SUBSTITUTE(J580," ",""),"0",""),"-",""))+LEN(SUBSTITUTE(SUBSTITUTE(SUBSTITUTE(K580," ",""),"0",""),"-",""))+LEN(SUBSTITUTE(SUBSTITUTE(SUBSTITUTE(J581," ",""),"0",""),"-",""))+LEN(SUBSTITUTE(SUBSTITUTE(SUBSTITUTE(K581," ",""),"0",""),"-",""))+LEN(SUBSTITUTE(SUBSTITUTE(SUBSTITUTE(J582," ",""),"0",""),"-",""))+LEN(SUBSTITUTE(SUBSTITUTE(SUBSTITUTE(K582," ",""),"0",""),"-",""))+LEN(SUBSTITUTE(SUBSTITUTE(SUBSTITUTE(J583," ",""),"0",""),"-",""))+LEN(SUBSTITUTE(SUBSTITUTE(SUBSTITUTE(K583," ",""),"0",""),"-",""))+LEN(SUBSTITUTE(SUBSTITUTE(SUBSTITUTE(J584," ",""),"0",""),"-",""))+LEN(SUBSTITUTE(SUBSTITUTE(SUBSTITUTE(K584," ",""),"0",""),"-",""))</f>
      </c>
      <c r="L579" s="18"/>
      <c r="M579" s="14" t="str">
        <f>LEN(SUBSTITUTE(SUBSTITUTE(SUBSTITUTE(M580," ",""),"0",""),"-",""))+LEN(SUBSTITUTE(SUBSTITUTE(SUBSTITUTE(N580," ",""),"0",""),"-",""))+LEN(SUBSTITUTE(SUBSTITUTE(SUBSTITUTE(M581," ",""),"0",""),"-",""))+LEN(SUBSTITUTE(SUBSTITUTE(SUBSTITUTE(N581," ",""),"0",""),"-",""))+LEN(SUBSTITUTE(SUBSTITUTE(SUBSTITUTE(M582," ",""),"0",""),"-",""))+LEN(SUBSTITUTE(SUBSTITUTE(SUBSTITUTE(N582," ",""),"0",""),"-",""))+LEN(SUBSTITUTE(SUBSTITUTE(SUBSTITUTE(M583," ",""),"0",""),"-",""))+LEN(SUBSTITUTE(SUBSTITUTE(SUBSTITUTE(N583," ",""),"0",""),"-",""))+LEN(SUBSTITUTE(SUBSTITUTE(SUBSTITUTE(M584," ",""),"0",""),"-",""))+LEN(SUBSTITUTE(SUBSTITUTE(SUBSTITUTE(N584," ",""),"0",""),"-",""))</f>
      </c>
      <c r="N579" s="14" t="str">
        <f>IF(UPPER(L580)="X",0,IF((LEN(SUBSTITUTE(SUBSTITUTE(SUBSTITUTE(M580," ",""),"0",""),"-",""))+LEN(SUBSTITUTE(SUBSTITUTE(SUBSTITUTE(N580," ",""),"0",""),"-","")))&gt;(LEN(SUBSTITUTE(SUBSTITUTE(SUBSTITUTE(J580," ",""),"0",""),"-",""))+LEN(SUBSTITUTE(SUBSTITUTE(SUBSTITUTE(K580," ",""),"0",""),"-",""))),1,0))+IF(UPPER(L581)="X",0,IF((LEN(SUBSTITUTE(SUBSTITUTE(SUBSTITUTE(M581," ",""),"0",""),"-",""))+LEN(SUBSTITUTE(SUBSTITUTE(SUBSTITUTE(N581," ",""),"0",""),"-","")))&gt;(LEN(SUBSTITUTE(SUBSTITUTE(SUBSTITUTE(J581," ",""),"0",""),"-",""))+LEN(SUBSTITUTE(SUBSTITUTE(SUBSTITUTE(K581," ",""),"0",""),"-",""))),1,0))+IF(UPPER(L582)="X",0,IF((LEN(SUBSTITUTE(SUBSTITUTE(SUBSTITUTE(M582,"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f>
      </c>
      <c r="O579" s="14" t="str">
        <f>'data'!$B$90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242</v>
      </c>
      <c r="B587" s="13" t="s">
        <v>243</v>
      </c>
      <c r="C587" s="13" t="s">
        <v>244</v>
      </c>
      <c r="D587" s="13" t="s">
        <v>245</v>
      </c>
      <c r="E587" s="13"/>
      <c r="F587" s="13"/>
      <c r="G587" s="13" t="s">
        <v>246</v>
      </c>
      <c r="I587" s="13" t="s">
        <v>242</v>
      </c>
      <c r="J587" s="13" t="s">
        <v>243</v>
      </c>
      <c r="K587" s="13" t="s">
        <v>244</v>
      </c>
      <c r="L587" s="13" t="s">
        <v>245</v>
      </c>
      <c r="M587" s="13"/>
      <c r="N587" s="13"/>
      <c r="O587" s="13" t="s">
        <v>246</v>
      </c>
    </row>
    <row r="588">
      <c r="A588" s="14" t="str">
        <f>'data'!$B$42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247</v>
      </c>
      <c r="C592" s="13" t="s">
        <v>248</v>
      </c>
      <c r="D592" s="13" t="s">
        <v>249</v>
      </c>
      <c r="E592" s="13" t="s">
        <v>250</v>
      </c>
      <c r="F592" s="13" t="s">
        <v>251</v>
      </c>
      <c r="I592" s="13"/>
      <c r="J592" s="13" t="s">
        <v>247</v>
      </c>
      <c r="K592" s="13" t="s">
        <v>248</v>
      </c>
      <c r="L592" s="13" t="s">
        <v>249</v>
      </c>
      <c r="M592" s="13" t="s">
        <v>250</v>
      </c>
      <c r="N592" s="13" t="s">
        <v>251</v>
      </c>
    </row>
    <row r="593">
      <c r="A593" s="14" t="str">
        <f>'data'!$B$42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252</v>
      </c>
      <c r="N598" s="13"/>
      <c r="O598" s="13" t="s">
        <v>252</v>
      </c>
    </row>
    <row r="599">
      <c r="F599" t="s">
        <v>253</v>
      </c>
      <c r="G599" s="19" t="str">
        <f>IFERROR(INDEX($A$588:$A$595, MATCH(1, $G$588:$G$595, 0)), "-")</f>
      </c>
      <c r="N599" t="s">
        <v>253</v>
      </c>
      <c r="O599" s="19" t="str">
        <f>IFERROR(INDEX($I$588:$I$595, MATCH(1, $O$588:$O$595, 0)), "-")</f>
      </c>
    </row>
    <row r="600">
      <c r="F600" t="s">
        <v>254</v>
      </c>
      <c r="G600" s="19" t="str">
        <f>IFERROR(INDEX($A$588:$A$595, MATCH(2, $G$588:$G$595, 0)), "-")</f>
      </c>
      <c r="N600" t="s">
        <v>254</v>
      </c>
      <c r="O600" s="19" t="str">
        <f>IFERROR(INDEX($I$588:$I$595, MATCH(2, $O$588:$O$595, 0)), "-")</f>
      </c>
    </row>
    <row r="601">
      <c r="F601" t="s">
        <v>255</v>
      </c>
      <c r="G601" s="19" t="str">
        <f>IFERROR(INDEX($A$588:$A$595, MATCH(3, $G$588:$G$595, 0)), "-")</f>
      </c>
      <c r="N601" t="s">
        <v>255</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239</v>
      </c>
      <c r="B605" s="14"/>
      <c r="C605" s="14"/>
      <c r="D605" s="14" t="s">
        <v>240</v>
      </c>
      <c r="E605" s="14"/>
      <c r="F605" s="14"/>
      <c r="G605" s="16" t="s">
        <v>241</v>
      </c>
      <c r="I605" s="17" t="s">
        <v>239</v>
      </c>
      <c r="J605" s="14"/>
      <c r="K605" s="14"/>
      <c r="L605" s="14" t="s">
        <v>240</v>
      </c>
      <c r="M605" s="14"/>
      <c r="N605" s="14"/>
      <c r="O605" s="16" t="s">
        <v>241</v>
      </c>
    </row>
    <row r="606">
      <c r="A606" s="14" t="str">
        <f>'data'!$B$46</f>
      </c>
      <c r="B606" s="14" t="str">
        <f>IF(UPPER(D607)="X",0,IF((LEN(SUBSTITUTE(SUBSTITUTE(SUBSTITUTE(B607," ",""),"0",""),"-",""))+LEN(SUBSTITUTE(SUBSTITUTE(SUBSTITUTE(C607," ",""),"0",""),"-","")))&gt;(LEN(SUBSTITUTE(SUBSTITUTE(SUBSTITUTE(E607," ",""),"0",""),"-",""))+LEN(SUBSTITUTE(SUBSTITUTE(SUBSTITUTE(F607," ",""),"0",""),"-",""))),1,0))+IF(UPPER(D608)="X",0,IF((LEN(SUBSTITUTE(SUBSTITUTE(SUBSTITUTE(B608," ",""),"0",""),"-",""))+LEN(SUBSTITUTE(SUBSTITUTE(SUBSTITUTE(C608," ",""),"0",""),"-","")))&gt;(LEN(SUBSTITUTE(SUBSTITUTE(SUBSTITUTE(E608," ",""),"0",""),"-",""))+LEN(SUBSTITUTE(SUBSTITUTE(SUBSTITUTE(F608," ",""),"0",""),"-",""))),1,0))+IF(UPPER(D609)="X",0,IF((LEN(SUBSTITUTE(SUBSTITUTE(SUBSTITUTE(B609," ",""),"0",""),"-",""))+LEN(SUBSTITUTE(SUBSTITUTE(SUBSTITUTE(C609," ",""),"0",""),"-","")))&gt;(LEN(SUBSTITUTE(SUBSTITUTE(SUBSTITUTE(E609," ",""),"0",""),"-",""))+LEN(SUBSTITUTE(SUBSTITUTE(SUBSTITUTE(F609," ",""),"0",""),"-",""))),1,0))+IF(UPPER(D610)="X",0,IF((LEN(SUBSTITUTE(SUBSTITUTE(SUBSTITUTE(B610," ",""),"0",""),"-",""))+LEN(SUBSTITUTE(SUBSTITUTE(SUBSTITUTE(C610," ",""),"0",""),"-","")))&gt;(LEN(SUBSTITUTE(SUBSTITUTE(SUBSTITUTE(E610," ",""),"0",""),"-",""))+LEN(SUBSTITUTE(SUBSTITUTE(SUBSTITUTE(F610," ",""),"0",""),"-",""))),1,0))+IF(UPPER(D611)="X",0,IF((LEN(SUBSTITUTE(SUBSTITUTE(SUBSTITUTE(B611," ",""),"0",""),"-",""))+LEN(SUBSTITUTE(SUBSTITUTE(SUBSTITUTE(C611," ",""),"0",""),"-","")))&gt;(LEN(SUBSTITUTE(SUBSTITUTE(SUBSTITUTE(E611," ",""),"0",""),"-",""))+LEN(SUBSTITUTE(SUBSTITUTE(SUBSTITUTE(F611," ",""),"0",""),"-",""))),1,0))</f>
      </c>
      <c r="C606" s="14" t="str">
        <f>LEN(SUBSTITUTE(SUBSTITUTE(SUBSTITUTE(B607," ",""),"0",""),"-",""))+LEN(SUBSTITUTE(SUBSTITUTE(SUBSTITUTE(C607," ",""),"0",""),"-",""))+LEN(SUBSTITUTE(SUBSTITUTE(SUBSTITUTE(B608," ",""),"0",""),"-",""))+LEN(SUBSTITUTE(SUBSTITUTE(SUBSTITUTE(C608," ",""),"0",""),"-",""))+LEN(SUBSTITUTE(SUBSTITUTE(SUBSTITUTE(B609," ",""),"0",""),"-",""))+LEN(SUBSTITUTE(SUBSTITUTE(SUBSTITUTE(C609," ",""),"0",""),"-",""))+LEN(SUBSTITUTE(SUBSTITUTE(SUBSTITUTE(B610," ",""),"0",""),"-",""))+LEN(SUBSTITUTE(SUBSTITUTE(SUBSTITUTE(C610," ",""),"0",""),"-",""))+LEN(SUBSTITUTE(SUBSTITUTE(SUBSTITUTE(B611," ",""),"0",""),"-",""))+LEN(SUBSTITUTE(SUBSTITUTE(SUBSTITUTE(C611," ",""),"0",""),"-",""))</f>
      </c>
      <c r="D606" s="18"/>
      <c r="E606" s="14" t="str">
        <f>LEN(SUBSTITUTE(SUBSTITUTE(SUBSTITUTE(E607," ",""),"0",""),"-",""))+LEN(SUBSTITUTE(SUBSTITUTE(SUBSTITUTE(F607," ",""),"0",""),"-",""))+LEN(SUBSTITUTE(SUBSTITUTE(SUBSTITUTE(E608," ",""),"0",""),"-",""))+LEN(SUBSTITUTE(SUBSTITUTE(SUBSTITUTE(F608," ",""),"0",""),"-",""))+LEN(SUBSTITUTE(SUBSTITUTE(SUBSTITUTE(E609," ",""),"0",""),"-",""))+LEN(SUBSTITUTE(SUBSTITUTE(SUBSTITUTE(F609," ",""),"0",""),"-",""))+LEN(SUBSTITUTE(SUBSTITUTE(SUBSTITUTE(E610," ",""),"0",""),"-",""))+LEN(SUBSTITUTE(SUBSTITUTE(SUBSTITUTE(F610," ",""),"0",""),"-",""))+LEN(SUBSTITUTE(SUBSTITUTE(SUBSTITUTE(E611," ",""),"0",""),"-",""))+LEN(SUBSTITUTE(SUBSTITUTE(SUBSTITUTE(F611," ",""),"0",""),"-",""))</f>
      </c>
      <c r="F606" s="14" t="str">
        <f>IF(UPPER(D607)="X",0,IF((LEN(SUBSTITUTE(SUBSTITUTE(SUBSTITUTE(E607," ",""),"0",""),"-",""))+LEN(SUBSTITUTE(SUBSTITUTE(SUBSTITUTE(F607," ",""),"0",""),"-","")))&gt;(LEN(SUBSTITUTE(SUBSTITUTE(SUBSTITUTE(B607," ",""),"0",""),"-",""))+LEN(SUBSTITUTE(SUBSTITUTE(SUBSTITUTE(C607," ",""),"0",""),"-",""))),1,0))+IF(UPPER(D608)="X",0,IF((LEN(SUBSTITUTE(SUBSTITUTE(SUBSTITUTE(E608," ",""),"0",""),"-",""))+LEN(SUBSTITUTE(SUBSTITUTE(SUBSTITUTE(F608," ",""),"0",""),"-","")))&gt;(LEN(SUBSTITUTE(SUBSTITUTE(SUBSTITUTE(B608," ",""),"0",""),"-",""))+LEN(SUBSTITUTE(SUBSTITUTE(SUBSTITUTE(C608," ",""),"0",""),"-",""))),1,0))+IF(UPPER(D609)="X",0,IF((LEN(SUBSTITUTE(SUBSTITUTE(SUBSTITUTE(E609," ",""),"0",""),"-",""))+LEN(SUBSTITUTE(SUBSTITUTE(SUBSTITUTE(F609," ",""),"0",""),"-","")))&gt;(LEN(SUBSTITUTE(SUBSTITUTE(SUBSTITUTE(B609," ",""),"0",""),"-",""))+LEN(SUBSTITUTE(SUBSTITUTE(SUBSTITUTE(C609," ",""),"0",""),"-",""))),1,0))+IF(UPPER(D610)="X",0,IF((LEN(SUBSTITUTE(SUBSTITUTE(SUBSTITUTE(E610," ",""),"0",""),"-",""))+LEN(SUBSTITUTE(SUBSTITUTE(SUBSTITUTE(F610," ",""),"0",""),"-","")))&gt;(LEN(SUBSTITUTE(SUBSTITUTE(SUBSTITUTE(B610," ",""),"0",""),"-",""))+LEN(SUBSTITUTE(SUBSTITUTE(SUBSTITUTE(C610," ",""),"0",""),"-",""))),1,0))+IF(UPPER(D611)="X",0,IF((LEN(SUBSTITUTE(SUBSTITUTE(SUBSTITUTE(E611," ",""),"0",""),"-",""))+LEN(SUBSTITUTE(SUBSTITUTE(SUBSTITUTE(F611," ",""),"0",""),"-","")))&gt;(LEN(SUBSTITUTE(SUBSTITUTE(SUBSTITUTE(B611," ",""),"0",""),"-",""))+LEN(SUBSTITUTE(SUBSTITUTE(SUBSTITUTE(C611," ",""),"0",""),"-",""))),1,0))</f>
      </c>
      <c r="G606" s="14" t="str">
        <f>'data'!$B$45</f>
      </c>
      <c r="I606" s="14" t="str">
        <f>'data'!$B$93</f>
      </c>
      <c r="J606" s="14" t="str">
        <f>IF(UPPER(L607)="X",0,IF((LEN(SUBSTITUTE(SUBSTITUTE(SUBSTITUTE(J607," ",""),"0",""),"-",""))+LEN(SUBSTITUTE(SUBSTITUTE(SUBSTITUTE(K607," ",""),"0",""),"-","")))&gt;(LEN(SUBSTITUTE(SUBSTITUTE(SUBSTITUTE(M607," ",""),"0",""),"-",""))+LEN(SUBSTITUTE(SUBSTITUTE(SUBSTITUTE(N607," ",""),"0",""),"-",""))),1,0))+IF(UPPER(L608)="X",0,IF((LEN(SUBSTITUTE(SUBSTITUTE(SUBSTITUTE(J608," ",""),"0",""),"-",""))+LEN(SUBSTITUTE(SUBSTITUTE(SUBSTITUTE(K608," ",""),"0",""),"-","")))&gt;(LEN(SUBSTITUTE(SUBSTITUTE(SUBSTITUTE(M608," ",""),"0",""),"-",""))+LEN(SUBSTITUTE(SUBSTITUTE(SUBSTITUTE(N608," ",""),"0",""),"-",""))),1,0))+IF(UPPER(L609)="X",0,IF((LEN(SUBSTITUTE(SUBSTITUTE(SUBSTITUTE(J609," ",""),"0",""),"-",""))+LEN(SUBSTITUTE(SUBSTITUTE(SUBSTITUTE(K609," ",""),"0",""),"-","")))&gt;(LEN(SUBSTITUTE(SUBSTITUTE(SUBSTITUTE(M609," ",""),"0",""),"-",""))+LEN(SUBSTITUTE(SUBSTITUTE(SUBSTITUTE(N609," ",""),"0",""),"-",""))),1,0))+IF(UPPER(L610)="X",0,IF((LEN(SUBSTITUTE(SUBSTITUTE(SUBSTITUTE(J610," ",""),"0",""),"-",""))+LEN(SUBSTITUTE(SUBSTITUTE(SUBSTITUTE(K610," ",""),"0",""),"-","")))&gt;(LEN(SUBSTITUTE(SUBSTITUTE(SUBSTITUTE(M610," ",""),"0",""),"-",""))+LEN(SUBSTITUTE(SUBSTITUTE(SUBSTITUTE(N610," ",""),"0",""),"-",""))),1,0))+IF(UPPER(L611)="X",0,IF((LEN(SUBSTITUTE(SUBSTITUTE(SUBSTITUTE(J611," ",""),"0",""),"-",""))+LEN(SUBSTITUTE(SUBSTITUTE(SUBSTITUTE(K611," ",""),"0",""),"-","")))&gt;(LEN(SUBSTITUTE(SUBSTITUTE(SUBSTITUTE(M611," ",""),"0",""),"-",""))+LEN(SUBSTITUTE(SUBSTITUTE(SUBSTITUTE(N611," ",""),"0",""),"-",""))),1,0))</f>
      </c>
      <c r="K606" s="14" t="str">
        <f>LEN(SUBSTITUTE(SUBSTITUTE(SUBSTITUTE(J607," ",""),"0",""),"-",""))+LEN(SUBSTITUTE(SUBSTITUTE(SUBSTITUTE(K607," ",""),"0",""),"-",""))+LEN(SUBSTITUTE(SUBSTITUTE(SUBSTITUTE(J608," ",""),"0",""),"-",""))+LEN(SUBSTITUTE(SUBSTITUTE(SUBSTITUTE(K608," ",""),"0",""),"-",""))+LEN(SUBSTITUTE(SUBSTITUTE(SUBSTITUTE(J609," ",""),"0",""),"-",""))+LEN(SUBSTITUTE(SUBSTITUTE(SUBSTITUTE(K609," ",""),"0",""),"-",""))+LEN(SUBSTITUTE(SUBSTITUTE(SUBSTITUTE(J610," ",""),"0",""),"-",""))+LEN(SUBSTITUTE(SUBSTITUTE(SUBSTITUTE(K610," ",""),"0",""),"-",""))+LEN(SUBSTITUTE(SUBSTITUTE(SUBSTITUTE(J611," ",""),"0",""),"-",""))+LEN(SUBSTITUTE(SUBSTITUTE(SUBSTITUTE(K611," ",""),"0",""),"-",""))</f>
      </c>
      <c r="L606" s="18"/>
      <c r="M606" s="14" t="str">
        <f>LEN(SUBSTITUTE(SUBSTITUTE(SUBSTITUTE(M607," ",""),"0",""),"-",""))+LEN(SUBSTITUTE(SUBSTITUTE(SUBSTITUTE(N607," ",""),"0",""),"-",""))+LEN(SUBSTITUTE(SUBSTITUTE(SUBSTITUTE(M608," ",""),"0",""),"-",""))+LEN(SUBSTITUTE(SUBSTITUTE(SUBSTITUTE(N608," ",""),"0",""),"-",""))+LEN(SUBSTITUTE(SUBSTITUTE(SUBSTITUTE(M609," ",""),"0",""),"-",""))+LEN(SUBSTITUTE(SUBSTITUTE(SUBSTITUTE(N609," ",""),"0",""),"-",""))+LEN(SUBSTITUTE(SUBSTITUTE(SUBSTITUTE(M610," ",""),"0",""),"-",""))+LEN(SUBSTITUTE(SUBSTITUTE(SUBSTITUTE(N610," ",""),"0",""),"-",""))+LEN(SUBSTITUTE(SUBSTITUTE(SUBSTITUTE(M611," ",""),"0",""),"-",""))+LEN(SUBSTITUTE(SUBSTITUTE(SUBSTITUTE(N611," ",""),"0",""),"-",""))</f>
      </c>
      <c r="N606" s="14" t="str">
        <f>IF(UPPER(L607)="X",0,IF((LEN(SUBSTITUTE(SUBSTITUTE(SUBSTITUTE(M607," ",""),"0",""),"-",""))+LEN(SUBSTITUTE(SUBSTITUTE(SUBSTITUTE(N607," ",""),"0",""),"-","")))&gt;(LEN(SUBSTITUTE(SUBSTITUTE(SUBSTITUTE(J607," ",""),"0",""),"-",""))+LEN(SUBSTITUTE(SUBSTITUTE(SUBSTITUTE(K607," ",""),"0",""),"-",""))),1,0))+IF(UPPER(L608)="X",0,IF((LEN(SUBSTITUTE(SUBSTITUTE(SUBSTITUTE(M608," ",""),"0",""),"-",""))+LEN(SUBSTITUTE(SUBSTITUTE(SUBSTITUTE(N608," ",""),"0",""),"-","")))&gt;(LEN(SUBSTITUTE(SUBSTITUTE(SUBSTITUTE(J608," ",""),"0",""),"-",""))+LEN(SUBSTITUTE(SUBSTITUTE(SUBSTITUTE(K608," ",""),"0",""),"-",""))),1,0))+IF(UPPER(L609)="X",0,IF((LEN(SUBSTITUTE(SUBSTITUTE(SUBSTITUTE(M609," ",""),"0",""),"-",""))+LEN(SUBSTITUTE(SUBSTITUTE(SUBSTITUTE(N609," ",""),"0",""),"-","")))&gt;(LEN(SUBSTITUTE(SUBSTITUTE(SUBSTITUTE(J609," ",""),"0",""),"-",""))+LEN(SUBSTITUTE(SUBSTITUTE(SUBSTITUTE(K609," ",""),"0",""),"-",""))),1,0))+IF(UPPER(L610)="X",0,IF((LEN(SUBSTITUTE(SUBSTITUTE(SUBSTITUTE(M610," ",""),"0",""),"-",""))+LEN(SUBSTITUTE(SUBSTITUTE(SUBSTITUTE(N610," ",""),"0",""),"-","")))&gt;(LEN(SUBSTITUTE(SUBSTITUTE(SUBSTITUTE(J610," ",""),"0",""),"-",""))+LEN(SUBSTITUTE(SUBSTITUTE(SUBSTITUTE(K610," ",""),"0",""),"-",""))),1,0))+IF(UPPER(L611)="X",0,IF((LEN(SUBSTITUTE(SUBSTITUTE(SUBSTITUTE(M611," ",""),"0",""),"-",""))+LEN(SUBSTITUTE(SUBSTITUTE(SUBSTITUTE(N611," ",""),"0",""),"-","")))&gt;(LEN(SUBSTITUTE(SUBSTITUTE(SUBSTITUTE(J611," ",""),"0",""),"-",""))+LEN(SUBSTITUTE(SUBSTITUTE(SUBSTITUTE(K611," ",""),"0",""),"-",""))),1,0))</f>
      </c>
      <c r="O606" s="14" t="str">
        <f>'data'!$B$92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239</v>
      </c>
      <c r="B613" s="14"/>
      <c r="C613" s="14"/>
      <c r="D613" s="14" t="s">
        <v>240</v>
      </c>
      <c r="E613" s="14"/>
      <c r="F613" s="14"/>
      <c r="G613" s="16" t="s">
        <v>241</v>
      </c>
    </row>
    <row r="614">
      <c r="A614" s="14" t="str">
        <f>'data'!$B$47</f>
      </c>
      <c r="B614" s="14" t="str">
        <f>IF(UPPER(D615)="X",0,IF((LEN(SUBSTITUTE(SUBSTITUTE(SUBSTITUTE(B615," ",""),"0",""),"-",""))+LEN(SUBSTITUTE(SUBSTITUTE(SUBSTITUTE(C615," ",""),"0",""),"-","")))&gt;(LEN(SUBSTITUTE(SUBSTITUTE(SUBSTITUTE(E615," ",""),"0",""),"-",""))+LEN(SUBSTITUTE(SUBSTITUTE(SUBSTITUTE(F615," ",""),"0",""),"-",""))),1,0))+IF(UPPER(D616)="X",0,IF((LEN(SUBSTITUTE(SUBSTITUTE(SUBSTITUTE(B616," ",""),"0",""),"-",""))+LEN(SUBSTITUTE(SUBSTITUTE(SUBSTITUTE(C616," ",""),"0",""),"-","")))&gt;(LEN(SUBSTITUTE(SUBSTITUTE(SUBSTITUTE(E616," ",""),"0",""),"-",""))+LEN(SUBSTITUTE(SUBSTITUTE(SUBSTITUTE(F616," ",""),"0",""),"-",""))),1,0))+IF(UPPER(D617)="X",0,IF((LEN(SUBSTITUTE(SUBSTITUTE(SUBSTITUTE(B617,"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f>
      </c>
      <c r="C614" s="14" t="str">
        <f>LEN(SUBSTITUTE(SUBSTITUTE(SUBSTITUTE(B615," ",""),"0",""),"-",""))+LEN(SUBSTITUTE(SUBSTITUTE(SUBSTITUTE(C615," ",""),"0",""),"-",""))+LEN(SUBSTITUTE(SUBSTITUTE(SUBSTITUTE(B616," ",""),"0",""),"-",""))+LEN(SUBSTITUTE(SUBSTITUTE(SUBSTITUTE(C616," ",""),"0",""),"-",""))+LEN(SUBSTITUTE(SUBSTITUTE(SUBSTITUTE(B617," ",""),"0",""),"-",""))+LEN(SUBSTITUTE(SUBSTITUTE(SUBSTITUTE(C617," ",""),"0",""),"-",""))+LEN(SUBSTITUTE(SUBSTITUTE(SUBSTITUTE(B618," ",""),"0",""),"-",""))+LEN(SUBSTITUTE(SUBSTITUTE(SUBSTITUTE(C618," ",""),"0",""),"-",""))+LEN(SUBSTITUTE(SUBSTITUTE(SUBSTITUTE(B619," ",""),"0",""),"-",""))+LEN(SUBSTITUTE(SUBSTITUTE(SUBSTITUTE(C619," ",""),"0",""),"-",""))</f>
      </c>
      <c r="D614" s="18"/>
      <c r="E614" s="14" t="str">
        <f>LEN(SUBSTITUTE(SUBSTITUTE(SUBSTITUTE(E615," ",""),"0",""),"-",""))+LEN(SUBSTITUTE(SUBSTITUTE(SUBSTITUTE(F615," ",""),"0",""),"-",""))+LEN(SUBSTITUTE(SUBSTITUTE(SUBSTITUTE(E616," ",""),"0",""),"-",""))+LEN(SUBSTITUTE(SUBSTITUTE(SUBSTITUTE(F616," ",""),"0",""),"-",""))+LEN(SUBSTITUTE(SUBSTITUTE(SUBSTITUTE(E617," ",""),"0",""),"-",""))+LEN(SUBSTITUTE(SUBSTITUTE(SUBSTITUTE(F617," ",""),"0",""),"-",""))+LEN(SUBSTITUTE(SUBSTITUTE(SUBSTITUTE(E618," ",""),"0",""),"-",""))+LEN(SUBSTITUTE(SUBSTITUTE(SUBSTITUTE(F618," ",""),"0",""),"-",""))+LEN(SUBSTITUTE(SUBSTITUTE(SUBSTITUTE(E619," ",""),"0",""),"-",""))+LEN(SUBSTITUTE(SUBSTITUTE(SUBSTITUTE(F619," ",""),"0",""),"-",""))</f>
      </c>
      <c r="F614" s="14" t="str">
        <f>IF(UPPER(D615)="X",0,IF((LEN(SUBSTITUTE(SUBSTITUTE(SUBSTITUTE(E615," ",""),"0",""),"-",""))+LEN(SUBSTITUTE(SUBSTITUTE(SUBSTITUTE(F615," ",""),"0",""),"-","")))&gt;(LEN(SUBSTITUTE(SUBSTITUTE(SUBSTITUTE(B615," ",""),"0",""),"-",""))+LEN(SUBSTITUTE(SUBSTITUTE(SUBSTITUTE(C615," ",""),"0",""),"-",""))),1,0))+IF(UPPER(D616)="X",0,IF((LEN(SUBSTITUTE(SUBSTITUTE(SUBSTITUTE(E616," ",""),"0",""),"-",""))+LEN(SUBSTITUTE(SUBSTITUTE(SUBSTITUTE(F616," ",""),"0",""),"-","")))&gt;(LEN(SUBSTITUTE(SUBSTITUTE(SUBSTITUTE(B616," ",""),"0",""),"-",""))+LEN(SUBSTITUTE(SUBSTITUTE(SUBSTITUTE(C616," ",""),"0",""),"-",""))),1,0))+IF(UPPER(D617)="X",0,IF((LEN(SUBSTITUTE(SUBSTITUTE(SUBSTITUTE(E617,"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f>
      </c>
      <c r="G614" s="14" t="str">
        <f>'data'!$B$45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239</v>
      </c>
      <c r="B621" s="14"/>
      <c r="C621" s="14"/>
      <c r="D621" s="14" t="s">
        <v>240</v>
      </c>
      <c r="E621" s="14"/>
      <c r="F621" s="14"/>
      <c r="G621" s="16" t="s">
        <v>241</v>
      </c>
    </row>
    <row r="622">
      <c r="A622" s="14" t="str">
        <f>'data'!$B$47</f>
      </c>
      <c r="B622" s="14" t="str">
        <f>IF(UPPER(D623)="X",0,IF((LEN(SUBSTITUTE(SUBSTITUTE(SUBSTITUTE(B623," ",""),"0",""),"-",""))+LEN(SUBSTITUTE(SUBSTITUTE(SUBSTITUTE(C623," ",""),"0",""),"-","")))&gt;(LEN(SUBSTITUTE(SUBSTITUTE(SUBSTITUTE(E623," ",""),"0",""),"-",""))+LEN(SUBSTITUTE(SUBSTITUTE(SUBSTITUTE(F623," ",""),"0",""),"-",""))),1,0))+IF(UPPER(D624)="X",0,IF((LEN(SUBSTITUTE(SUBSTITUTE(SUBSTITUTE(B624," ",""),"0",""),"-",""))+LEN(SUBSTITUTE(SUBSTITUTE(SUBSTITUTE(C624," ",""),"0",""),"-","")))&gt;(LEN(SUBSTITUTE(SUBSTITUTE(SUBSTITUTE(E624," ",""),"0",""),"-",""))+LEN(SUBSTITUTE(SUBSTITUTE(SUBSTITUTE(F624," ",""),"0",""),"-",""))),1,0))+IF(UPPER(D625)="X",0,IF((LEN(SUBSTITUTE(SUBSTITUTE(SUBSTITUTE(B625,"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f>
      </c>
      <c r="C622" s="14" t="str">
        <f>LEN(SUBSTITUTE(SUBSTITUTE(SUBSTITUTE(B623," ",""),"0",""),"-",""))+LEN(SUBSTITUTE(SUBSTITUTE(SUBSTITUTE(C623," ",""),"0",""),"-",""))+LEN(SUBSTITUTE(SUBSTITUTE(SUBSTITUTE(B624," ",""),"0",""),"-",""))+LEN(SUBSTITUTE(SUBSTITUTE(SUBSTITUTE(C624," ",""),"0",""),"-",""))+LEN(SUBSTITUTE(SUBSTITUTE(SUBSTITUTE(B625," ",""),"0",""),"-",""))+LEN(SUBSTITUTE(SUBSTITUTE(SUBSTITUTE(C625," ",""),"0",""),"-",""))+LEN(SUBSTITUTE(SUBSTITUTE(SUBSTITUTE(B626," ",""),"0",""),"-",""))+LEN(SUBSTITUTE(SUBSTITUTE(SUBSTITUTE(C626," ",""),"0",""),"-",""))+LEN(SUBSTITUTE(SUBSTITUTE(SUBSTITUTE(B627," ",""),"0",""),"-",""))+LEN(SUBSTITUTE(SUBSTITUTE(SUBSTITUTE(C627," ",""),"0",""),"-",""))</f>
      </c>
      <c r="D622" s="18"/>
      <c r="E622" s="14" t="str">
        <f>LEN(SUBSTITUTE(SUBSTITUTE(SUBSTITUTE(E623," ",""),"0",""),"-",""))+LEN(SUBSTITUTE(SUBSTITUTE(SUBSTITUTE(F623," ",""),"0",""),"-",""))+LEN(SUBSTITUTE(SUBSTITUTE(SUBSTITUTE(E624," ",""),"0",""),"-",""))+LEN(SUBSTITUTE(SUBSTITUTE(SUBSTITUTE(F624," ",""),"0",""),"-",""))+LEN(SUBSTITUTE(SUBSTITUTE(SUBSTITUTE(E625," ",""),"0",""),"-",""))+LEN(SUBSTITUTE(SUBSTITUTE(SUBSTITUTE(F625," ",""),"0",""),"-",""))+LEN(SUBSTITUTE(SUBSTITUTE(SUBSTITUTE(E626," ",""),"0",""),"-",""))+LEN(SUBSTITUTE(SUBSTITUTE(SUBSTITUTE(F626," ",""),"0",""),"-",""))+LEN(SUBSTITUTE(SUBSTITUTE(SUBSTITUTE(E627," ",""),"0",""),"-",""))+LEN(SUBSTITUTE(SUBSTITUTE(SUBSTITUTE(F627," ",""),"0",""),"-",""))</f>
      </c>
      <c r="F622" s="14" t="str">
        <f>IF(UPPER(D623)="X",0,IF((LEN(SUBSTITUTE(SUBSTITUTE(SUBSTITUTE(E623," ",""),"0",""),"-",""))+LEN(SUBSTITUTE(SUBSTITUTE(SUBSTITUTE(F623," ",""),"0",""),"-","")))&gt;(LEN(SUBSTITUTE(SUBSTITUTE(SUBSTITUTE(B623," ",""),"0",""),"-",""))+LEN(SUBSTITUTE(SUBSTITUTE(SUBSTITUTE(C623," ",""),"0",""),"-",""))),1,0))+IF(UPPER(D624)="X",0,IF((LEN(SUBSTITUTE(SUBSTITUTE(SUBSTITUTE(E624," ",""),"0",""),"-",""))+LEN(SUBSTITUTE(SUBSTITUTE(SUBSTITUTE(F624," ",""),"0",""),"-","")))&gt;(LEN(SUBSTITUTE(SUBSTITUTE(SUBSTITUTE(B624," ",""),"0",""),"-",""))+LEN(SUBSTITUTE(SUBSTITUTE(SUBSTITUTE(C624," ",""),"0",""),"-",""))),1,0))+IF(UPPER(D625)="X",0,IF((LEN(SUBSTITUTE(SUBSTITUTE(SUBSTITUTE(E625,"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f>
      </c>
      <c r="G622" s="14" t="str">
        <f>'data'!$B$46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242</v>
      </c>
      <c r="B630" s="13" t="s">
        <v>243</v>
      </c>
      <c r="C630" s="13" t="s">
        <v>244</v>
      </c>
      <c r="D630" s="13" t="s">
        <v>245</v>
      </c>
      <c r="E630" s="13"/>
      <c r="F630" s="13"/>
      <c r="G630" s="13" t="s">
        <v>246</v>
      </c>
      <c r="I630" s="13" t="s">
        <v>242</v>
      </c>
      <c r="J630" s="13" t="s">
        <v>243</v>
      </c>
      <c r="K630" s="13" t="s">
        <v>244</v>
      </c>
      <c r="L630" s="13" t="s">
        <v>245</v>
      </c>
      <c r="M630" s="13"/>
      <c r="N630" s="13"/>
      <c r="O630" s="13" t="s">
        <v>246</v>
      </c>
    </row>
    <row r="631">
      <c r="A631" s="14" t="str">
        <f>'data'!$B$45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247</v>
      </c>
      <c r="K634" s="13" t="s">
        <v>248</v>
      </c>
      <c r="L634" s="13" t="s">
        <v>249</v>
      </c>
      <c r="M634" s="13" t="s">
        <v>250</v>
      </c>
      <c r="N634" s="13" t="s">
        <v>251</v>
      </c>
    </row>
    <row r="635">
      <c r="A635" s="13"/>
      <c r="B635" s="13" t="s">
        <v>247</v>
      </c>
      <c r="C635" s="13" t="s">
        <v>248</v>
      </c>
      <c r="D635" s="13" t="s">
        <v>249</v>
      </c>
      <c r="E635" s="13" t="s">
        <v>250</v>
      </c>
      <c r="F635" s="13" t="s">
        <v>251</v>
      </c>
      <c r="I635" s="14" t="str">
        <f>'data'!$B$92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252</v>
      </c>
    </row>
    <row r="640">
      <c r="N640" t="s">
        <v>253</v>
      </c>
      <c r="O640" s="19" t="str">
        <f>IFERROR(INDEX($I$631:$I$636, MATCH(1, $O$631:$O$636, 0)), "-")</f>
      </c>
    </row>
    <row r="641">
      <c r="F641" s="13"/>
      <c r="G641" s="13" t="s">
        <v>252</v>
      </c>
      <c r="N641" t="s">
        <v>254</v>
      </c>
      <c r="O641" s="19" t="str">
        <f>IFERROR(INDEX($I$631:$I$636, MATCH(2, $O$631:$O$636, 0)), "-")</f>
      </c>
    </row>
    <row r="642">
      <c r="F642" t="s">
        <v>253</v>
      </c>
      <c r="G642" s="19" t="str">
        <f>IFERROR(INDEX($A$631:$A$638, MATCH(1, $G$631:$G$638, 0)), "-")</f>
      </c>
    </row>
    <row r="643">
      <c r="F643" t="s">
        <v>254</v>
      </c>
      <c r="G643" s="19" t="str">
        <f>IFERROR(INDEX($A$631:$A$638, MATCH(2, $G$631:$G$638, 0)), "-")</f>
      </c>
    </row>
    <row r="644">
      <c r="F644" t="s">
        <v>255</v>
      </c>
      <c r="G644" s="19" t="str">
        <f>IFERROR(INDEX($A$631:$A$638, MATCH(3, $G$631:$G$638, 0)), "-")</f>
      </c>
    </row>
    <row r="647">
      <c r="A647" s="13" t="str">
        <f>'data'!$A$49</f>
      </c>
      <c r="B647" s="13"/>
      <c r="C647" s="13"/>
      <c r="D647" s="13"/>
      <c r="E647" s="13"/>
      <c r="F647" s="13"/>
      <c r="G647" s="13"/>
    </row>
    <row r="648">
      <c r="A648" s="17" t="s">
        <v>239</v>
      </c>
      <c r="B648" s="14"/>
      <c r="C648" s="14"/>
      <c r="D648" s="14" t="s">
        <v>240</v>
      </c>
      <c r="E648" s="14"/>
      <c r="F648" s="14"/>
      <c r="G648" s="16" t="s">
        <v>241</v>
      </c>
    </row>
    <row r="649">
      <c r="A649" s="14" t="str">
        <f>'data'!$B$49</f>
      </c>
      <c r="B649" s="14" t="str">
        <f>IF(UPPER(D650)="X",0,IF((LEN(SUBSTITUTE(SUBSTITUTE(SUBSTITUTE(B650," ",""),"0",""),"-",""))+LEN(SUBSTITUTE(SUBSTITUTE(SUBSTITUTE(C650," ",""),"0",""),"-","")))&gt;(LEN(SUBSTITUTE(SUBSTITUTE(SUBSTITUTE(E650," ",""),"0",""),"-",""))+LEN(SUBSTITUTE(SUBSTITUTE(SUBSTITUTE(F650," ",""),"0",""),"-",""))),1,0))+IF(UPPER(D651)="X",0,IF((LEN(SUBSTITUTE(SUBSTITUTE(SUBSTITUTE(B651," ",""),"0",""),"-",""))+LEN(SUBSTITUTE(SUBSTITUTE(SUBSTITUTE(C651," ",""),"0",""),"-","")))&gt;(LEN(SUBSTITUTE(SUBSTITUTE(SUBSTITUTE(E651," ",""),"0",""),"-",""))+LEN(SUBSTITUTE(SUBSTITUTE(SUBSTITUTE(F651," ",""),"0",""),"-",""))),1,0))+IF(UPPER(D652)="X",0,IF((LEN(SUBSTITUTE(SUBSTITUTE(SUBSTITUTE(B652," ",""),"0",""),"-",""))+LEN(SUBSTITUTE(SUBSTITUTE(SUBSTITUTE(C652," ",""),"0",""),"-","")))&gt;(LEN(SUBSTITUTE(SUBSTITUTE(SUBSTITUTE(E652," ",""),"0",""),"-",""))+LEN(SUBSTITUTE(SUBSTITUTE(SUBSTITUTE(F652," ",""),"0",""),"-",""))),1,0))+IF(UPPER(D653)="X",0,IF((LEN(SUBSTITUTE(SUBSTITUTE(SUBSTITUTE(B653," ",""),"0",""),"-",""))+LEN(SUBSTITUTE(SUBSTITUTE(SUBSTITUTE(C653," ",""),"0",""),"-","")))&gt;(LEN(SUBSTITUTE(SUBSTITUTE(SUBSTITUTE(E653," ",""),"0",""),"-",""))+LEN(SUBSTITUTE(SUBSTITUTE(SUBSTITUTE(F653," ",""),"0",""),"-",""))),1,0))+IF(UPPER(D654)="X",0,IF((LEN(SUBSTITUTE(SUBSTITUTE(SUBSTITUTE(B654," ",""),"0",""),"-",""))+LEN(SUBSTITUTE(SUBSTITUTE(SUBSTITUTE(C654," ",""),"0",""),"-","")))&gt;(LEN(SUBSTITUTE(SUBSTITUTE(SUBSTITUTE(E654," ",""),"0",""),"-",""))+LEN(SUBSTITUTE(SUBSTITUTE(SUBSTITUTE(F654," ",""),"0",""),"-",""))),1,0))</f>
      </c>
      <c r="C649" s="14" t="str">
        <f>LEN(SUBSTITUTE(SUBSTITUTE(SUBSTITUTE(B650," ",""),"0",""),"-",""))+LEN(SUBSTITUTE(SUBSTITUTE(SUBSTITUTE(C650," ",""),"0",""),"-",""))+LEN(SUBSTITUTE(SUBSTITUTE(SUBSTITUTE(B651," ",""),"0",""),"-",""))+LEN(SUBSTITUTE(SUBSTITUTE(SUBSTITUTE(C651," ",""),"0",""),"-",""))+LEN(SUBSTITUTE(SUBSTITUTE(SUBSTITUTE(B652," ",""),"0",""),"-",""))+LEN(SUBSTITUTE(SUBSTITUTE(SUBSTITUTE(C652," ",""),"0",""),"-",""))+LEN(SUBSTITUTE(SUBSTITUTE(SUBSTITUTE(B653," ",""),"0",""),"-",""))+LEN(SUBSTITUTE(SUBSTITUTE(SUBSTITUTE(C653," ",""),"0",""),"-",""))+LEN(SUBSTITUTE(SUBSTITUTE(SUBSTITUTE(B654," ",""),"0",""),"-",""))+LEN(SUBSTITUTE(SUBSTITUTE(SUBSTITUTE(C654," ",""),"0",""),"-",""))</f>
      </c>
      <c r="D649" s="18"/>
      <c r="E649" s="14" t="str">
        <f>LEN(SUBSTITUTE(SUBSTITUTE(SUBSTITUTE(E650," ",""),"0",""),"-",""))+LEN(SUBSTITUTE(SUBSTITUTE(SUBSTITUTE(F650," ",""),"0",""),"-",""))+LEN(SUBSTITUTE(SUBSTITUTE(SUBSTITUTE(E651," ",""),"0",""),"-",""))+LEN(SUBSTITUTE(SUBSTITUTE(SUBSTITUTE(F651," ",""),"0",""),"-",""))+LEN(SUBSTITUTE(SUBSTITUTE(SUBSTITUTE(E652," ",""),"0",""),"-",""))+LEN(SUBSTITUTE(SUBSTITUTE(SUBSTITUTE(F652," ",""),"0",""),"-",""))+LEN(SUBSTITUTE(SUBSTITUTE(SUBSTITUTE(E653," ",""),"0",""),"-",""))+LEN(SUBSTITUTE(SUBSTITUTE(SUBSTITUTE(F653," ",""),"0",""),"-",""))+LEN(SUBSTITUTE(SUBSTITUTE(SUBSTITUTE(E654," ",""),"0",""),"-",""))+LEN(SUBSTITUTE(SUBSTITUTE(SUBSTITUTE(F654," ",""),"0",""),"-",""))</f>
      </c>
      <c r="F649" s="14" t="str">
        <f>IF(UPPER(D650)="X",0,IF((LEN(SUBSTITUTE(SUBSTITUTE(SUBSTITUTE(E650," ",""),"0",""),"-",""))+LEN(SUBSTITUTE(SUBSTITUTE(SUBSTITUTE(F650," ",""),"0",""),"-","")))&gt;(LEN(SUBSTITUTE(SUBSTITUTE(SUBSTITUTE(B650," ",""),"0",""),"-",""))+LEN(SUBSTITUTE(SUBSTITUTE(SUBSTITUTE(C650," ",""),"0",""),"-",""))),1,0))+IF(UPPER(D651)="X",0,IF((LEN(SUBSTITUTE(SUBSTITUTE(SUBSTITUTE(E651," ",""),"0",""),"-",""))+LEN(SUBSTITUTE(SUBSTITUTE(SUBSTITUTE(F651," ",""),"0",""),"-","")))&gt;(LEN(SUBSTITUTE(SUBSTITUTE(SUBSTITUTE(B651," ",""),"0",""),"-",""))+LEN(SUBSTITUTE(SUBSTITUTE(SUBSTITUTE(C651," ",""),"0",""),"-",""))),1,0))+IF(UPPER(D652)="X",0,IF((LEN(SUBSTITUTE(SUBSTITUTE(SUBSTITUTE(E652," ",""),"0",""),"-",""))+LEN(SUBSTITUTE(SUBSTITUTE(SUBSTITUTE(F652," ",""),"0",""),"-","")))&gt;(LEN(SUBSTITUTE(SUBSTITUTE(SUBSTITUTE(B652," ",""),"0",""),"-",""))+LEN(SUBSTITUTE(SUBSTITUTE(SUBSTITUTE(C652," ",""),"0",""),"-",""))),1,0))+IF(UPPER(D653)="X",0,IF((LEN(SUBSTITUTE(SUBSTITUTE(SUBSTITUTE(E653," ",""),"0",""),"-",""))+LEN(SUBSTITUTE(SUBSTITUTE(SUBSTITUTE(F653," ",""),"0",""),"-","")))&gt;(LEN(SUBSTITUTE(SUBSTITUTE(SUBSTITUTE(B653," ",""),"0",""),"-",""))+LEN(SUBSTITUTE(SUBSTITUTE(SUBSTITUTE(C653," ",""),"0",""),"-",""))),1,0))+IF(UPPER(D654)="X",0,IF((LEN(SUBSTITUTE(SUBSTITUTE(SUBSTITUTE(E654," ",""),"0",""),"-",""))+LEN(SUBSTITUTE(SUBSTITUTE(SUBSTITUTE(F654," ",""),"0",""),"-","")))&gt;(LEN(SUBSTITUTE(SUBSTITUTE(SUBSTITUTE(B654," ",""),"0",""),"-",""))+LEN(SUBSTITUTE(SUBSTITUTE(SUBSTITUTE(C654," ",""),"0",""),"-",""))),1,0))</f>
      </c>
      <c r="G649" s="14" t="str">
        <f>'data'!$B$48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242</v>
      </c>
      <c r="B657" s="13" t="s">
        <v>243</v>
      </c>
      <c r="C657" s="13" t="s">
        <v>244</v>
      </c>
      <c r="D657" s="13" t="s">
        <v>245</v>
      </c>
      <c r="E657" s="13"/>
      <c r="F657" s="13"/>
      <c r="G657" s="13" t="s">
        <v>246</v>
      </c>
    </row>
    <row r="658">
      <c r="A658" s="14" t="str">
        <f>'data'!$B$48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247</v>
      </c>
      <c r="C661" s="13" t="s">
        <v>248</v>
      </c>
      <c r="D661" s="13" t="s">
        <v>249</v>
      </c>
      <c r="E661" s="13" t="s">
        <v>250</v>
      </c>
      <c r="F661" s="13" t="s">
        <v>251</v>
      </c>
    </row>
    <row r="662">
      <c r="A662" s="14" t="str">
        <f>'data'!$B$48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252</v>
      </c>
    </row>
    <row r="667">
      <c r="F667" t="s">
        <v>253</v>
      </c>
      <c r="G667" s="19" t="str">
        <f>IFERROR(INDEX($A$658:$A$663, MATCH(1, $G$658:$G$663, 0)), "-")</f>
      </c>
    </row>
    <row r="668">
      <c r="F668" t="s">
        <v>254</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347</v>
      </c>
      <c r="B2" s="13"/>
      <c r="C2" s="13"/>
      <c r="D2" s="13"/>
      <c r="E2" s="13"/>
      <c r="F2" s="13"/>
      <c r="G2" s="13"/>
      <c r="I2" s="13" t="s">
        <v>349</v>
      </c>
      <c r="J2" s="13"/>
      <c r="K2" s="13"/>
      <c r="L2" s="13"/>
      <c r="M2" s="13"/>
      <c r="N2" s="13"/>
      <c r="O2" s="13"/>
    </row>
    <row r="3">
      <c r="A3" s="17" t="s">
        <v>239</v>
      </c>
      <c r="D3" s="14" t="s">
        <v>240</v>
      </c>
      <c r="G3" s="16" t="s">
        <v>241</v>
      </c>
      <c r="I3" s="17" t="s">
        <v>239</v>
      </c>
      <c r="L3" s="14" t="s">
        <v>240</v>
      </c>
      <c r="O3" s="16" t="s">
        <v>241</v>
      </c>
    </row>
    <row r="4">
      <c r="A4" s="14" t="str">
        <f>CONCATENATE("Pool B-2nd ",'Pool Matches'!G84)</f>
      </c>
      <c r="B4" s="14"/>
      <c r="C4" s="14"/>
      <c r="D4" s="18"/>
      <c r="E4" s="14"/>
      <c r="F4" s="14"/>
      <c r="G4" s="14" t="str">
        <f>CONCATENATE("Pool C-1st ",'Pool Matches'!G126)</f>
      </c>
      <c r="I4" s="14" t="str">
        <f>CONCATENATE("Pool C-2nd ",'Pool Matches'!G127)</f>
      </c>
      <c r="J4" s="14"/>
      <c r="K4" s="14"/>
      <c r="L4" s="18"/>
      <c r="M4" s="14"/>
      <c r="N4" s="14"/>
      <c r="O4" s="14" t="str">
        <f>CONCATENATE("Pool A-2nd ",'Pool Matches'!G41)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Matches'!G84)</f>
      </c>
      <c r="B11" s="14" t="s">
        <v>247</v>
      </c>
      <c r="C11" s="14" t="s">
        <v>250</v>
      </c>
      <c r="D11" s="14"/>
      <c r="E11" s="14" t="s">
        <v>250</v>
      </c>
      <c r="F11" s="14" t="s">
        <v>247</v>
      </c>
      <c r="G11" s="14" t="str">
        <f>CONCATENATE("Pool C-1st ",'Pool Matches'!G126)</f>
      </c>
      <c r="I11" s="14" t="str">
        <f>CONCATENATE("Pool C-2nd ",'Pool Matches'!G127)</f>
      </c>
      <c r="J11" s="14" t="s">
        <v>247</v>
      </c>
      <c r="K11" s="14" t="s">
        <v>250</v>
      </c>
      <c r="L11" s="14"/>
      <c r="M11" s="14" t="s">
        <v>250</v>
      </c>
      <c r="N11" s="14" t="s">
        <v>247</v>
      </c>
      <c r="O11" s="14" t="str">
        <f>CONCATENATE("Pool A-2nd ",'Pool Matches'!G41)</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253</v>
      </c>
      <c r="G15" s="19"/>
      <c r="N15" t="s">
        <v>253</v>
      </c>
      <c r="O15" s="19"/>
    </row>
    <row r="16">
      <c r="F16" t="s">
        <v>254</v>
      </c>
      <c r="G16" s="19"/>
      <c r="N16" t="s">
        <v>254</v>
      </c>
      <c r="O16" s="19"/>
    </row>
    <row r="18">
      <c r="A18" s="13" t="s">
        <v>350</v>
      </c>
      <c r="B18" s="13"/>
      <c r="C18" s="13"/>
      <c r="D18" s="13"/>
      <c r="E18" s="13"/>
      <c r="F18" s="13"/>
      <c r="G18" s="13"/>
      <c r="I18" s="13" t="s">
        <v>351</v>
      </c>
      <c r="J18" s="13"/>
      <c r="K18" s="13"/>
      <c r="L18" s="13"/>
      <c r="M18" s="13"/>
      <c r="N18" s="13"/>
      <c r="O18" s="13"/>
    </row>
    <row r="19">
      <c r="A19" s="17" t="s">
        <v>239</v>
      </c>
      <c r="D19" s="14" t="s">
        <v>240</v>
      </c>
      <c r="G19" s="16" t="s">
        <v>241</v>
      </c>
      <c r="I19" s="17" t="s">
        <v>239</v>
      </c>
      <c r="L19" s="14" t="s">
        <v>240</v>
      </c>
      <c r="O19" s="16" t="s">
        <v>241</v>
      </c>
    </row>
    <row r="20">
      <c r="A20" s="14" t="str">
        <f>CONCATENATE("Pool D-2nd ",'Pool Matches'!G170)</f>
      </c>
      <c r="B20" s="14"/>
      <c r="C20" s="14"/>
      <c r="D20" s="18"/>
      <c r="E20" s="14"/>
      <c r="F20" s="14"/>
      <c r="G20" s="14" t="str">
        <f>CONCATENATE("Pool E-1st ",'Pool Matches'!G212)</f>
      </c>
      <c r="I20" s="14" t="str">
        <f>CONCATENATE("Pool E-2nd ",'Pool Matches'!G213)</f>
      </c>
      <c r="J20" s="14"/>
      <c r="K20" s="14"/>
      <c r="L20" s="18"/>
      <c r="M20" s="14"/>
      <c r="N20" s="14"/>
      <c r="O20" s="14" t="str">
        <f>CONCATENATE("Pool D-1st ",'Pool Matches'!G169)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Matches'!G170)</f>
      </c>
      <c r="B27" s="14" t="s">
        <v>247</v>
      </c>
      <c r="C27" s="14" t="s">
        <v>250</v>
      </c>
      <c r="D27" s="14"/>
      <c r="E27" s="14" t="s">
        <v>250</v>
      </c>
      <c r="F27" s="14" t="s">
        <v>247</v>
      </c>
      <c r="G27" s="14" t="str">
        <f>CONCATENATE("Pool E-1st ",'Pool Matches'!G212)</f>
      </c>
      <c r="I27" s="14" t="str">
        <f>CONCATENATE("Pool E-2nd ",'Pool Matches'!G213)</f>
      </c>
      <c r="J27" s="14" t="s">
        <v>247</v>
      </c>
      <c r="K27" s="14" t="s">
        <v>250</v>
      </c>
      <c r="L27" s="14"/>
      <c r="M27" s="14" t="s">
        <v>250</v>
      </c>
      <c r="N27" s="14" t="s">
        <v>247</v>
      </c>
      <c r="O27" s="14" t="str">
        <f>CONCATENATE("Pool D-1st ",'Pool Matches'!G169)</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253</v>
      </c>
      <c r="G31" s="19"/>
      <c r="N31" t="s">
        <v>253</v>
      </c>
      <c r="O31" s="19"/>
    </row>
    <row r="32">
      <c r="F32" t="s">
        <v>254</v>
      </c>
      <c r="G32" s="19"/>
      <c r="N32" t="s">
        <v>254</v>
      </c>
      <c r="O32"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F-2nd ",'Pool Matches'!G256)</f>
      </c>
      <c r="B36" s="14"/>
      <c r="C36" s="14"/>
      <c r="D36" s="18"/>
      <c r="E36" s="14"/>
      <c r="F36" s="14"/>
      <c r="G36" s="14" t="str">
        <f>CONCATENATE("Pool G-1st ",'Pool Matches'!G298)</f>
      </c>
      <c r="I36" s="14" t="str">
        <f>CONCATENATE("Pool G-2nd ",'Pool Matches'!G299)</f>
      </c>
      <c r="J36" s="14"/>
      <c r="K36" s="14"/>
      <c r="L36" s="18"/>
      <c r="M36" s="14"/>
      <c r="N36" s="14"/>
      <c r="O36" s="14" t="str">
        <f>CONCATENATE("Pool F-1st ",'Pool Matches'!G255)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Matches'!G256)</f>
      </c>
      <c r="B43" s="14" t="s">
        <v>247</v>
      </c>
      <c r="C43" s="14" t="s">
        <v>250</v>
      </c>
      <c r="D43" s="14"/>
      <c r="E43" s="14" t="s">
        <v>250</v>
      </c>
      <c r="F43" s="14" t="s">
        <v>247</v>
      </c>
      <c r="G43" s="14" t="str">
        <f>CONCATENATE("Pool G-1st ",'Pool Matches'!G298)</f>
      </c>
      <c r="I43" s="14" t="str">
        <f>CONCATENATE("Pool G-2nd ",'Pool Matches'!G299)</f>
      </c>
      <c r="J43" s="14" t="s">
        <v>247</v>
      </c>
      <c r="K43" s="14" t="s">
        <v>250</v>
      </c>
      <c r="L43" s="14"/>
      <c r="M43" s="14" t="s">
        <v>250</v>
      </c>
      <c r="N43" s="14" t="s">
        <v>247</v>
      </c>
      <c r="O43" s="14" t="str">
        <f>CONCATENATE("Pool F-1st ",'Pool Matches'!G255)</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253</v>
      </c>
      <c r="G47" s="19"/>
      <c r="N47" t="s">
        <v>253</v>
      </c>
      <c r="O47" s="19"/>
    </row>
    <row r="48">
      <c r="F48" t="s">
        <v>254</v>
      </c>
      <c r="G48" s="19"/>
      <c r="N48" t="s">
        <v>254</v>
      </c>
      <c r="O48" s="19"/>
    </row>
    <row r="50">
      <c r="A50" s="13" t="s">
        <v>354</v>
      </c>
      <c r="B50" s="13"/>
      <c r="C50" s="13"/>
      <c r="D50" s="13"/>
      <c r="E50" s="13"/>
      <c r="F50" s="13"/>
      <c r="G50" s="13"/>
      <c r="I50" s="13" t="s">
        <v>355</v>
      </c>
      <c r="J50" s="13"/>
      <c r="K50" s="13"/>
      <c r="L50" s="13"/>
      <c r="M50" s="13"/>
      <c r="N50" s="13"/>
      <c r="O50" s="13"/>
    </row>
    <row r="51">
      <c r="A51" s="17" t="s">
        <v>239</v>
      </c>
      <c r="D51" s="14" t="s">
        <v>240</v>
      </c>
      <c r="G51" s="16" t="s">
        <v>241</v>
      </c>
      <c r="I51" s="17" t="s">
        <v>239</v>
      </c>
      <c r="L51" s="14" t="s">
        <v>240</v>
      </c>
      <c r="O51" s="16" t="s">
        <v>241</v>
      </c>
    </row>
    <row r="52">
      <c r="A52" s="14" t="str">
        <f>CONCATENATE("Pool H-2nd ",'Pool Matches'!G342)</f>
      </c>
      <c r="B52" s="14"/>
      <c r="C52" s="14"/>
      <c r="D52" s="18"/>
      <c r="E52" s="14"/>
      <c r="F52" s="14"/>
      <c r="G52" s="14" t="str">
        <f>CONCATENATE("Pool I-1st ",'Pool Matches'!G384)</f>
      </c>
      <c r="I52" s="14" t="str">
        <f>CONCATENATE("Pool I-2nd ",'Pool Matches'!G385)</f>
      </c>
      <c r="J52" s="14"/>
      <c r="K52" s="14"/>
      <c r="L52" s="18"/>
      <c r="M52" s="14"/>
      <c r="N52" s="14"/>
      <c r="O52" s="14" t="str">
        <f>CONCATENATE("Pool H-1st ",'Pool Matches'!G341)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Matches'!G342)</f>
      </c>
      <c r="B59" s="14" t="s">
        <v>247</v>
      </c>
      <c r="C59" s="14" t="s">
        <v>250</v>
      </c>
      <c r="D59" s="14"/>
      <c r="E59" s="14" t="s">
        <v>250</v>
      </c>
      <c r="F59" s="14" t="s">
        <v>247</v>
      </c>
      <c r="G59" s="14" t="str">
        <f>CONCATENATE("Pool I-1st ",'Pool Matches'!G384)</f>
      </c>
      <c r="I59" s="14" t="str">
        <f>CONCATENATE("Pool I-2nd ",'Pool Matches'!G385)</f>
      </c>
      <c r="J59" s="14" t="s">
        <v>247</v>
      </c>
      <c r="K59" s="14" t="s">
        <v>250</v>
      </c>
      <c r="L59" s="14"/>
      <c r="M59" s="14" t="s">
        <v>250</v>
      </c>
      <c r="N59" s="14" t="s">
        <v>247</v>
      </c>
      <c r="O59" s="14" t="str">
        <f>CONCATENATE("Pool H-1st ",'Pool Matches'!G341)</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253</v>
      </c>
      <c r="G63" s="19"/>
      <c r="N63" t="s">
        <v>253</v>
      </c>
      <c r="O63" s="19"/>
    </row>
    <row r="64">
      <c r="F64" t="s">
        <v>254</v>
      </c>
      <c r="G64" s="19"/>
      <c r="N64" t="s">
        <v>254</v>
      </c>
      <c r="O64" s="19"/>
    </row>
    <row r="66">
      <c r="A66" s="13" t="s">
        <v>356</v>
      </c>
      <c r="B66" s="13"/>
      <c r="C66" s="13"/>
      <c r="D66" s="13"/>
      <c r="E66" s="13"/>
      <c r="F66" s="13"/>
      <c r="G66" s="13"/>
      <c r="I66" s="13" t="s">
        <v>357</v>
      </c>
      <c r="J66" s="13"/>
      <c r="K66" s="13"/>
      <c r="L66" s="13"/>
      <c r="M66" s="13"/>
      <c r="N66" s="13"/>
      <c r="O66" s="13"/>
    </row>
    <row r="67">
      <c r="A67" s="17" t="s">
        <v>239</v>
      </c>
      <c r="D67" s="14" t="s">
        <v>240</v>
      </c>
      <c r="G67" s="16" t="s">
        <v>241</v>
      </c>
      <c r="I67" s="17" t="s">
        <v>239</v>
      </c>
      <c r="L67" s="14" t="s">
        <v>240</v>
      </c>
      <c r="O67" s="16" t="s">
        <v>241</v>
      </c>
    </row>
    <row r="68">
      <c r="A68" s="14" t="str">
        <f>CONCATENATE("Pool J-2nd ",'Pool Matches'!G428)</f>
      </c>
      <c r="B68" s="14"/>
      <c r="C68" s="14"/>
      <c r="D68" s="18"/>
      <c r="E68" s="14"/>
      <c r="F68" s="14"/>
      <c r="G68" s="14" t="str">
        <f>CONCATENATE("Pool K-1st ",'Pool Matches'!G470)</f>
      </c>
      <c r="I68" s="14" t="str">
        <f>CONCATENATE("Pool K-2nd ",'Pool Matches'!G471)</f>
      </c>
      <c r="J68" s="14"/>
      <c r="K68" s="14"/>
      <c r="L68" s="18"/>
      <c r="M68" s="14"/>
      <c r="N68" s="14"/>
      <c r="O68" s="14" t="str">
        <f>CONCATENATE("Pool J-1st ",'Pool Matches'!G427)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Matches'!G428)</f>
      </c>
      <c r="B75" s="14" t="s">
        <v>247</v>
      </c>
      <c r="C75" s="14" t="s">
        <v>250</v>
      </c>
      <c r="D75" s="14"/>
      <c r="E75" s="14" t="s">
        <v>250</v>
      </c>
      <c r="F75" s="14" t="s">
        <v>247</v>
      </c>
      <c r="G75" s="14" t="str">
        <f>CONCATENATE("Pool K-1st ",'Pool Matches'!G470)</f>
      </c>
      <c r="I75" s="14" t="str">
        <f>CONCATENATE("Pool K-2nd ",'Pool Matches'!G471)</f>
      </c>
      <c r="J75" s="14" t="s">
        <v>247</v>
      </c>
      <c r="K75" s="14" t="s">
        <v>250</v>
      </c>
      <c r="L75" s="14"/>
      <c r="M75" s="14" t="s">
        <v>250</v>
      </c>
      <c r="N75" s="14" t="s">
        <v>247</v>
      </c>
      <c r="O75" s="14" t="str">
        <f>CONCATENATE("Pool J-1st ",'Pool Matches'!G427)</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253</v>
      </c>
      <c r="G79" s="19"/>
      <c r="N79" t="s">
        <v>253</v>
      </c>
      <c r="O79" s="19"/>
    </row>
    <row r="80">
      <c r="F80" t="s">
        <v>254</v>
      </c>
      <c r="G80" s="19"/>
      <c r="N80" t="s">
        <v>254</v>
      </c>
      <c r="O80" s="19"/>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L-2nd ",'Pool Matches'!G514)</f>
      </c>
      <c r="B84" s="14"/>
      <c r="C84" s="14"/>
      <c r="D84" s="18"/>
      <c r="E84" s="14"/>
      <c r="F84" s="14"/>
      <c r="G84" s="14" t="str">
        <f>CONCATENATE("Pool M-1st ",'Pool Matches'!G556)</f>
      </c>
      <c r="I84" s="14" t="str">
        <f>CONCATENATE("Pool M-2nd ",'Pool Matches'!G557)</f>
      </c>
      <c r="J84" s="14"/>
      <c r="K84" s="14"/>
      <c r="L84" s="18"/>
      <c r="M84" s="14"/>
      <c r="N84" s="14"/>
      <c r="O84" s="14" t="str">
        <f>CONCATENATE("Pool L-1st ",'Pool Matches'!G513)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Matches'!G514)</f>
      </c>
      <c r="B91" s="14" t="s">
        <v>247</v>
      </c>
      <c r="C91" s="14" t="s">
        <v>250</v>
      </c>
      <c r="D91" s="14"/>
      <c r="E91" s="14" t="s">
        <v>250</v>
      </c>
      <c r="F91" s="14" t="s">
        <v>247</v>
      </c>
      <c r="G91" s="14" t="str">
        <f>CONCATENATE("Pool M-1st ",'Pool Matches'!G556)</f>
      </c>
      <c r="I91" s="14" t="str">
        <f>CONCATENATE("Pool M-2nd ",'Pool Matches'!G557)</f>
      </c>
      <c r="J91" s="14" t="s">
        <v>247</v>
      </c>
      <c r="K91" s="14" t="s">
        <v>250</v>
      </c>
      <c r="L91" s="14"/>
      <c r="M91" s="14" t="s">
        <v>250</v>
      </c>
      <c r="N91" s="14" t="s">
        <v>247</v>
      </c>
      <c r="O91" s="14" t="str">
        <f>CONCATENATE("Pool L-1st ",'Pool Matches'!G513)</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253</v>
      </c>
      <c r="G95" s="19"/>
      <c r="N95" t="s">
        <v>253</v>
      </c>
      <c r="O95" s="19"/>
    </row>
    <row r="96">
      <c r="F96" t="s">
        <v>254</v>
      </c>
      <c r="G96" s="19"/>
      <c r="N96" t="s">
        <v>254</v>
      </c>
      <c r="O96" s="19"/>
    </row>
    <row r="98">
      <c r="A98" s="13" t="s">
        <v>360</v>
      </c>
      <c r="B98" s="13"/>
      <c r="C98" s="13"/>
      <c r="D98" s="13"/>
      <c r="E98" s="13"/>
      <c r="F98" s="13"/>
      <c r="G98" s="13"/>
      <c r="I98" s="13" t="s">
        <v>361</v>
      </c>
      <c r="J98" s="13"/>
      <c r="K98" s="13"/>
      <c r="L98" s="13"/>
      <c r="M98" s="13"/>
      <c r="N98" s="13"/>
      <c r="O98" s="13"/>
    </row>
    <row r="99">
      <c r="A99" s="17" t="s">
        <v>239</v>
      </c>
      <c r="D99" s="14" t="s">
        <v>240</v>
      </c>
      <c r="G99" s="16" t="s">
        <v>241</v>
      </c>
      <c r="I99" s="17" t="s">
        <v>239</v>
      </c>
      <c r="L99" s="14" t="s">
        <v>240</v>
      </c>
      <c r="O99" s="16" t="s">
        <v>241</v>
      </c>
    </row>
    <row r="100">
      <c r="A100" s="14" t="str">
        <f>CONCATENATE("Pool N-2nd ",'Pool Matches'!G600)</f>
      </c>
      <c r="B100" s="14"/>
      <c r="C100" s="14"/>
      <c r="D100" s="18"/>
      <c r="E100" s="14"/>
      <c r="F100" s="14"/>
      <c r="G100" s="14" t="str">
        <f>CONCATENATE("Pool O-1st ",'Pool Matches'!G642)</f>
      </c>
      <c r="I100" s="14" t="str">
        <f>CONCATENATE("Pool O-2nd ",'Pool Matches'!G643)</f>
      </c>
      <c r="J100" s="14"/>
      <c r="K100" s="14"/>
      <c r="L100" s="18"/>
      <c r="M100" s="14"/>
      <c r="N100" s="14"/>
      <c r="O100" s="14" t="str">
        <f>CONCATENATE("Pool N-1st ",'Pool Matches'!G599)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Matches'!G600)</f>
      </c>
      <c r="B107" s="14" t="s">
        <v>247</v>
      </c>
      <c r="C107" s="14" t="s">
        <v>250</v>
      </c>
      <c r="D107" s="14"/>
      <c r="E107" s="14" t="s">
        <v>250</v>
      </c>
      <c r="F107" s="14" t="s">
        <v>247</v>
      </c>
      <c r="G107" s="14" t="str">
        <f>CONCATENATE("Pool O-1st ",'Pool Matches'!G642)</f>
      </c>
      <c r="I107" s="14" t="str">
        <f>CONCATENATE("Pool O-2nd ",'Pool Matches'!G643)</f>
      </c>
      <c r="J107" s="14" t="s">
        <v>247</v>
      </c>
      <c r="K107" s="14" t="s">
        <v>250</v>
      </c>
      <c r="L107" s="14"/>
      <c r="M107" s="14" t="s">
        <v>250</v>
      </c>
      <c r="N107" s="14" t="s">
        <v>247</v>
      </c>
      <c r="O107" s="14" t="str">
        <f>CONCATENATE("Pool N-1st ",'Pool Matches'!G599)</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253</v>
      </c>
      <c r="G111" s="19"/>
      <c r="N111" t="s">
        <v>253</v>
      </c>
      <c r="O111" s="19"/>
    </row>
    <row r="112">
      <c r="F112" t="s">
        <v>254</v>
      </c>
      <c r="G112" s="19"/>
      <c r="N112" t="s">
        <v>254</v>
      </c>
      <c r="O112" s="19"/>
    </row>
    <row r="114">
      <c r="A114" s="13" t="s">
        <v>362</v>
      </c>
      <c r="B114" s="13"/>
      <c r="C114" s="13"/>
      <c r="D114" s="13"/>
      <c r="E114" s="13"/>
      <c r="F114" s="13"/>
      <c r="G114" s="13"/>
      <c r="I114" s="13" t="s">
        <v>363</v>
      </c>
      <c r="J114" s="13"/>
      <c r="K114" s="13"/>
      <c r="L114" s="13"/>
      <c r="M114" s="13"/>
      <c r="N114" s="13"/>
      <c r="O114" s="13"/>
    </row>
    <row r="115">
      <c r="A115" s="17" t="s">
        <v>239</v>
      </c>
      <c r="D115" s="14" t="s">
        <v>240</v>
      </c>
      <c r="G115" s="16" t="s">
        <v>241</v>
      </c>
      <c r="I115" s="17" t="s">
        <v>239</v>
      </c>
      <c r="L115" s="14" t="s">
        <v>240</v>
      </c>
      <c r="O115" s="16" t="s">
        <v>241</v>
      </c>
    </row>
    <row r="116">
      <c r="A116" s="14" t="str">
        <f>CONCATENATE("Pool P-2nd ",'Pool Matches'!G668)</f>
      </c>
      <c r="B116" s="14"/>
      <c r="C116" s="14"/>
      <c r="D116" s="18"/>
      <c r="E116" s="14"/>
      <c r="F116" s="14"/>
      <c r="G116" s="14" t="str">
        <f>CONCATENATE("Pool Q-1st ",'Pool Matches'!O40)</f>
      </c>
      <c r="I116" s="14" t="str">
        <f>CONCATENATE("Pool Q-2nd ",'Pool Matches'!O41)</f>
      </c>
      <c r="J116" s="14"/>
      <c r="K116" s="14"/>
      <c r="L116" s="18"/>
      <c r="M116" s="14"/>
      <c r="N116" s="14"/>
      <c r="O116" s="14" t="str">
        <f>CONCATENATE("Pool P-1st ",'Pool Matches'!G667)</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P-2nd ",'Pool Matches'!G668)</f>
      </c>
      <c r="B123" s="14" t="s">
        <v>247</v>
      </c>
      <c r="C123" s="14" t="s">
        <v>250</v>
      </c>
      <c r="D123" s="14"/>
      <c r="E123" s="14" t="s">
        <v>250</v>
      </c>
      <c r="F123" s="14" t="s">
        <v>247</v>
      </c>
      <c r="G123" s="14" t="str">
        <f>CONCATENATE("Pool Q-1st ",'Pool Matches'!O40)</f>
      </c>
      <c r="I123" s="14" t="str">
        <f>CONCATENATE("Pool Q-2nd ",'Pool Matches'!O41)</f>
      </c>
      <c r="J123" s="14" t="s">
        <v>247</v>
      </c>
      <c r="K123" s="14" t="s">
        <v>250</v>
      </c>
      <c r="L123" s="14"/>
      <c r="M123" s="14" t="s">
        <v>250</v>
      </c>
      <c r="N123" s="14" t="s">
        <v>247</v>
      </c>
      <c r="O123" s="14" t="str">
        <f>CONCATENATE("Pool P-1st ",'Pool Matches'!G667)</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253</v>
      </c>
      <c r="G127" s="19"/>
      <c r="N127" t="s">
        <v>253</v>
      </c>
      <c r="O127" s="19"/>
    </row>
    <row r="128">
      <c r="F128" t="s">
        <v>254</v>
      </c>
      <c r="G128" s="19"/>
      <c r="N128" t="s">
        <v>254</v>
      </c>
      <c r="O128" s="19"/>
    </row>
    <row r="130">
      <c r="A130" s="13" t="s">
        <v>364</v>
      </c>
      <c r="B130" s="13"/>
      <c r="C130" s="13"/>
      <c r="D130" s="13"/>
      <c r="E130" s="13"/>
      <c r="F130" s="13"/>
      <c r="G130" s="13"/>
      <c r="I130" s="13" t="s">
        <v>365</v>
      </c>
      <c r="J130" s="13"/>
      <c r="K130" s="13"/>
      <c r="L130" s="13"/>
      <c r="M130" s="13"/>
      <c r="N130" s="13"/>
      <c r="O130" s="13"/>
    </row>
    <row r="131">
      <c r="A131" s="17" t="s">
        <v>239</v>
      </c>
      <c r="D131" s="14" t="s">
        <v>240</v>
      </c>
      <c r="G131" s="16" t="s">
        <v>241</v>
      </c>
      <c r="I131" s="17" t="s">
        <v>239</v>
      </c>
      <c r="L131" s="14" t="s">
        <v>240</v>
      </c>
      <c r="O131" s="16" t="s">
        <v>241</v>
      </c>
    </row>
    <row r="132">
      <c r="A132" s="14" t="str">
        <f>CONCATENATE("Pool R-2nd ",'Pool Matches'!O84)</f>
      </c>
      <c r="B132" s="14"/>
      <c r="C132" s="14"/>
      <c r="D132" s="18"/>
      <c r="E132" s="14"/>
      <c r="F132" s="14"/>
      <c r="G132" s="14" t="str">
        <f>CONCATENATE("Pool S-1st ",'Pool Matches'!O126)</f>
      </c>
      <c r="I132" s="14" t="str">
        <f>CONCATENATE("Pool S-2nd ",'Pool Matches'!O127)</f>
      </c>
      <c r="J132" s="14"/>
      <c r="K132" s="14"/>
      <c r="L132" s="18"/>
      <c r="M132" s="14"/>
      <c r="N132" s="14"/>
      <c r="O132" s="14" t="str">
        <f>CONCATENATE("Pool R-1st ",'Pool Matches'!O83)</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R-2nd ",'Pool Matches'!O84)</f>
      </c>
      <c r="B139" s="14" t="s">
        <v>247</v>
      </c>
      <c r="C139" s="14" t="s">
        <v>250</v>
      </c>
      <c r="D139" s="14"/>
      <c r="E139" s="14" t="s">
        <v>250</v>
      </c>
      <c r="F139" s="14" t="s">
        <v>247</v>
      </c>
      <c r="G139" s="14" t="str">
        <f>CONCATENATE("Pool S-1st ",'Pool Matches'!O126)</f>
      </c>
      <c r="I139" s="14" t="str">
        <f>CONCATENATE("Pool S-2nd ",'Pool Matches'!O127)</f>
      </c>
      <c r="J139" s="14" t="s">
        <v>247</v>
      </c>
      <c r="K139" s="14" t="s">
        <v>250</v>
      </c>
      <c r="L139" s="14"/>
      <c r="M139" s="14" t="s">
        <v>250</v>
      </c>
      <c r="N139" s="14" t="s">
        <v>247</v>
      </c>
      <c r="O139" s="14" t="str">
        <f>CONCATENATE("Pool R-1st ",'Pool Matches'!O83)</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253</v>
      </c>
      <c r="G143" s="19"/>
      <c r="N143" t="s">
        <v>253</v>
      </c>
      <c r="O143" s="19"/>
    </row>
    <row r="144">
      <c r="F144" t="s">
        <v>254</v>
      </c>
      <c r="G144" s="19"/>
      <c r="N144" t="s">
        <v>254</v>
      </c>
      <c r="O144" s="19"/>
    </row>
    <row r="146">
      <c r="A146" s="13" t="s">
        <v>366</v>
      </c>
      <c r="B146" s="13"/>
      <c r="C146" s="13"/>
      <c r="D146" s="13"/>
      <c r="E146" s="13"/>
      <c r="F146" s="13"/>
      <c r="G146" s="13"/>
      <c r="I146" s="13" t="s">
        <v>367</v>
      </c>
      <c r="J146" s="13"/>
      <c r="K146" s="13"/>
      <c r="L146" s="13"/>
      <c r="M146" s="13"/>
      <c r="N146" s="13"/>
      <c r="O146" s="13"/>
    </row>
    <row r="147">
      <c r="A147" s="17" t="s">
        <v>239</v>
      </c>
      <c r="D147" s="14" t="s">
        <v>240</v>
      </c>
      <c r="G147" s="16" t="s">
        <v>241</v>
      </c>
      <c r="I147" s="17" t="s">
        <v>239</v>
      </c>
      <c r="L147" s="14" t="s">
        <v>240</v>
      </c>
      <c r="O147" s="16" t="s">
        <v>241</v>
      </c>
    </row>
    <row r="148">
      <c r="A148" s="14" t="str">
        <f>CONCATENATE("Pool T-2nd ",'Pool Matches'!O170)</f>
      </c>
      <c r="B148" s="14"/>
      <c r="C148" s="14"/>
      <c r="D148" s="18"/>
      <c r="E148" s="14"/>
      <c r="F148" s="14"/>
      <c r="G148" s="14" t="str">
        <f>CONCATENATE("Pool U-1st ",'Pool Matches'!O212)</f>
      </c>
      <c r="I148" s="14" t="str">
        <f>CONCATENATE("Pool U-2nd ",'Pool Matches'!O213)</f>
      </c>
      <c r="J148" s="14"/>
      <c r="K148" s="14"/>
      <c r="L148" s="18"/>
      <c r="M148" s="14"/>
      <c r="N148" s="14"/>
      <c r="O148" s="14" t="str">
        <f>CONCATENATE("Pool T-1st ",'Pool Matches'!O169)</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T-2nd ",'Pool Matches'!O170)</f>
      </c>
      <c r="B155" s="14" t="s">
        <v>247</v>
      </c>
      <c r="C155" s="14" t="s">
        <v>250</v>
      </c>
      <c r="D155" s="14"/>
      <c r="E155" s="14" t="s">
        <v>250</v>
      </c>
      <c r="F155" s="14" t="s">
        <v>247</v>
      </c>
      <c r="G155" s="14" t="str">
        <f>CONCATENATE("Pool U-1st ",'Pool Matches'!O212)</f>
      </c>
      <c r="I155" s="14" t="str">
        <f>CONCATENATE("Pool U-2nd ",'Pool Matches'!O213)</f>
      </c>
      <c r="J155" s="14" t="s">
        <v>247</v>
      </c>
      <c r="K155" s="14" t="s">
        <v>250</v>
      </c>
      <c r="L155" s="14"/>
      <c r="M155" s="14" t="s">
        <v>250</v>
      </c>
      <c r="N155" s="14" t="s">
        <v>247</v>
      </c>
      <c r="O155" s="14" t="str">
        <f>CONCATENATE("Pool T-1st ",'Pool Matches'!O169)</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253</v>
      </c>
      <c r="G159" s="19"/>
      <c r="N159" t="s">
        <v>253</v>
      </c>
      <c r="O159" s="19"/>
    </row>
    <row r="160">
      <c r="F160" t="s">
        <v>254</v>
      </c>
      <c r="G160" s="19"/>
      <c r="N160" t="s">
        <v>254</v>
      </c>
      <c r="O160" s="19"/>
    </row>
    <row r="162">
      <c r="A162" s="13" t="s">
        <v>368</v>
      </c>
      <c r="B162" s="13"/>
      <c r="C162" s="13"/>
      <c r="D162" s="13"/>
      <c r="E162" s="13"/>
      <c r="F162" s="13"/>
      <c r="G162" s="13"/>
      <c r="I162" s="13" t="s">
        <v>369</v>
      </c>
      <c r="J162" s="13"/>
      <c r="K162" s="13"/>
      <c r="L162" s="13"/>
      <c r="M162" s="13"/>
      <c r="N162" s="13"/>
      <c r="O162" s="13"/>
    </row>
    <row r="163">
      <c r="A163" s="17" t="s">
        <v>239</v>
      </c>
      <c r="D163" s="14" t="s">
        <v>240</v>
      </c>
      <c r="G163" s="16" t="s">
        <v>241</v>
      </c>
      <c r="I163" s="17" t="s">
        <v>239</v>
      </c>
      <c r="L163" s="14" t="s">
        <v>240</v>
      </c>
      <c r="O163" s="16" t="s">
        <v>241</v>
      </c>
    </row>
    <row r="164">
      <c r="A164" s="14" t="str">
        <f>CONCATENATE("Pool V-2nd ",'Pool Matches'!O256)</f>
      </c>
      <c r="B164" s="14"/>
      <c r="C164" s="14"/>
      <c r="D164" s="18"/>
      <c r="E164" s="14"/>
      <c r="F164" s="14"/>
      <c r="G164" s="14" t="str">
        <f>CONCATENATE("Pool W-1st ",'Pool Matches'!O298)</f>
      </c>
      <c r="I164" s="14" t="str">
        <f>CONCATENATE("Pool W-2nd ",'Pool Matches'!O299)</f>
      </c>
      <c r="J164" s="14"/>
      <c r="K164" s="14"/>
      <c r="L164" s="18"/>
      <c r="M164" s="14"/>
      <c r="N164" s="14"/>
      <c r="O164" s="14" t="str">
        <f>CONCATENATE("Pool V-1st ",'Pool Matches'!O255)</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V-2nd ",'Pool Matches'!O256)</f>
      </c>
      <c r="B171" s="14" t="s">
        <v>247</v>
      </c>
      <c r="C171" s="14" t="s">
        <v>250</v>
      </c>
      <c r="D171" s="14"/>
      <c r="E171" s="14" t="s">
        <v>250</v>
      </c>
      <c r="F171" s="14" t="s">
        <v>247</v>
      </c>
      <c r="G171" s="14" t="str">
        <f>CONCATENATE("Pool W-1st ",'Pool Matches'!O298)</f>
      </c>
      <c r="I171" s="14" t="str">
        <f>CONCATENATE("Pool W-2nd ",'Pool Matches'!O299)</f>
      </c>
      <c r="J171" s="14" t="s">
        <v>247</v>
      </c>
      <c r="K171" s="14" t="s">
        <v>250</v>
      </c>
      <c r="L171" s="14"/>
      <c r="M171" s="14" t="s">
        <v>250</v>
      </c>
      <c r="N171" s="14" t="s">
        <v>247</v>
      </c>
      <c r="O171" s="14" t="str">
        <f>CONCATENATE("Pool V-1st ",'Pool Matches'!O255)</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253</v>
      </c>
      <c r="G175" s="19"/>
      <c r="N175" t="s">
        <v>253</v>
      </c>
      <c r="O175" s="19"/>
    </row>
    <row r="176">
      <c r="F176" t="s">
        <v>254</v>
      </c>
      <c r="G176" s="19"/>
      <c r="N176" t="s">
        <v>254</v>
      </c>
      <c r="O176" s="19"/>
    </row>
    <row r="178">
      <c r="A178" s="13" t="s">
        <v>370</v>
      </c>
      <c r="B178" s="13"/>
      <c r="C178" s="13"/>
      <c r="D178" s="13"/>
      <c r="E178" s="13"/>
      <c r="F178" s="13"/>
      <c r="G178" s="13"/>
      <c r="I178" s="13" t="s">
        <v>371</v>
      </c>
      <c r="J178" s="13"/>
      <c r="K178" s="13"/>
      <c r="L178" s="13"/>
      <c r="M178" s="13"/>
      <c r="N178" s="13"/>
      <c r="O178" s="13"/>
    </row>
    <row r="179">
      <c r="A179" s="17" t="s">
        <v>239</v>
      </c>
      <c r="D179" s="14" t="s">
        <v>240</v>
      </c>
      <c r="G179" s="16" t="s">
        <v>241</v>
      </c>
      <c r="I179" s="17" t="s">
        <v>239</v>
      </c>
      <c r="L179" s="14" t="s">
        <v>240</v>
      </c>
      <c r="O179" s="16" t="s">
        <v>241</v>
      </c>
    </row>
    <row r="180">
      <c r="A180" s="14" t="str">
        <f>CONCATENATE("Pool X-2nd ",'Pool Matches'!O342)</f>
      </c>
      <c r="B180" s="14"/>
      <c r="C180" s="14"/>
      <c r="D180" s="18"/>
      <c r="E180" s="14"/>
      <c r="F180" s="14"/>
      <c r="G180" s="14" t="str">
        <f>CONCATENATE("Pool Y-1st ",'Pool Matches'!O384)</f>
      </c>
      <c r="I180" s="14" t="str">
        <f>CONCATENATE("Pool Y-2nd ",'Pool Matches'!O385)</f>
      </c>
      <c r="J180" s="14"/>
      <c r="K180" s="14"/>
      <c r="L180" s="18"/>
      <c r="M180" s="14"/>
      <c r="N180" s="14"/>
      <c r="O180" s="14" t="str">
        <f>CONCATENATE("Pool X-1st ",'Pool Matches'!O341)</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X-2nd ",'Pool Matches'!O342)</f>
      </c>
      <c r="B187" s="14" t="s">
        <v>247</v>
      </c>
      <c r="C187" s="14" t="s">
        <v>250</v>
      </c>
      <c r="D187" s="14"/>
      <c r="E187" s="14" t="s">
        <v>250</v>
      </c>
      <c r="F187" s="14" t="s">
        <v>247</v>
      </c>
      <c r="G187" s="14" t="str">
        <f>CONCATENATE("Pool Y-1st ",'Pool Matches'!O384)</f>
      </c>
      <c r="I187" s="14" t="str">
        <f>CONCATENATE("Pool Y-2nd ",'Pool Matches'!O385)</f>
      </c>
      <c r="J187" s="14" t="s">
        <v>247</v>
      </c>
      <c r="K187" s="14" t="s">
        <v>250</v>
      </c>
      <c r="L187" s="14"/>
      <c r="M187" s="14" t="s">
        <v>250</v>
      </c>
      <c r="N187" s="14" t="s">
        <v>247</v>
      </c>
      <c r="O187" s="14" t="str">
        <f>CONCATENATE("Pool X-1st ",'Pool Matches'!O341)</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253</v>
      </c>
      <c r="G191" s="19"/>
      <c r="N191" t="s">
        <v>253</v>
      </c>
      <c r="O191" s="19"/>
    </row>
    <row r="192">
      <c r="F192" t="s">
        <v>254</v>
      </c>
      <c r="G192" s="19"/>
      <c r="N192" t="s">
        <v>254</v>
      </c>
      <c r="O192" s="19"/>
    </row>
    <row r="194">
      <c r="A194" s="13" t="s">
        <v>372</v>
      </c>
      <c r="B194" s="13"/>
      <c r="C194" s="13"/>
      <c r="D194" s="13"/>
      <c r="E194" s="13"/>
      <c r="F194" s="13"/>
      <c r="G194" s="13"/>
      <c r="I194" s="13" t="s">
        <v>373</v>
      </c>
      <c r="J194" s="13"/>
      <c r="K194" s="13"/>
      <c r="L194" s="13"/>
      <c r="M194" s="13"/>
      <c r="N194" s="13"/>
      <c r="O194" s="13"/>
    </row>
    <row r="195">
      <c r="A195" s="17" t="s">
        <v>239</v>
      </c>
      <c r="D195" s="14" t="s">
        <v>240</v>
      </c>
      <c r="G195" s="16" t="s">
        <v>241</v>
      </c>
      <c r="I195" s="17" t="s">
        <v>239</v>
      </c>
      <c r="L195" s="14" t="s">
        <v>240</v>
      </c>
      <c r="O195" s="16" t="s">
        <v>241</v>
      </c>
    </row>
    <row r="196">
      <c r="A196" s="14" t="str">
        <f>CONCATENATE("Pool Z-2nd ",'Pool Matches'!O428)</f>
      </c>
      <c r="B196" s="14"/>
      <c r="C196" s="14"/>
      <c r="D196" s="18"/>
      <c r="E196" s="14"/>
      <c r="F196" s="14"/>
      <c r="G196" s="14" t="str">
        <f>CONCATENATE("Pool AA-1st ",'Pool Matches'!O470)</f>
      </c>
      <c r="I196" s="14" t="str">
        <f>CONCATENATE("Pool AA-2nd ",'Pool Matches'!O471)</f>
      </c>
      <c r="J196" s="14"/>
      <c r="K196" s="14"/>
      <c r="L196" s="18"/>
      <c r="M196" s="14"/>
      <c r="N196" s="14"/>
      <c r="O196" s="14" t="str">
        <f>CONCATENATE("Pool Z-1st ",'Pool Matches'!O427)</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Z-2nd ",'Pool Matches'!O428)</f>
      </c>
      <c r="B203" s="14" t="s">
        <v>247</v>
      </c>
      <c r="C203" s="14" t="s">
        <v>250</v>
      </c>
      <c r="D203" s="14"/>
      <c r="E203" s="14" t="s">
        <v>250</v>
      </c>
      <c r="F203" s="14" t="s">
        <v>247</v>
      </c>
      <c r="G203" s="14" t="str">
        <f>CONCATENATE("Pool AA-1st ",'Pool Matches'!O470)</f>
      </c>
      <c r="I203" s="14" t="str">
        <f>CONCATENATE("Pool AA-2nd ",'Pool Matches'!O471)</f>
      </c>
      <c r="J203" s="14" t="s">
        <v>247</v>
      </c>
      <c r="K203" s="14" t="s">
        <v>250</v>
      </c>
      <c r="L203" s="14"/>
      <c r="M203" s="14" t="s">
        <v>250</v>
      </c>
      <c r="N203" s="14" t="s">
        <v>247</v>
      </c>
      <c r="O203" s="14" t="str">
        <f>CONCATENATE("Pool Z-1st ",'Pool Matches'!O427)</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253</v>
      </c>
      <c r="G207" s="19"/>
      <c r="N207" t="s">
        <v>253</v>
      </c>
      <c r="O207" s="19"/>
    </row>
    <row r="208">
      <c r="F208" t="s">
        <v>254</v>
      </c>
      <c r="G208" s="19"/>
      <c r="N208" t="s">
        <v>254</v>
      </c>
      <c r="O208" s="19"/>
    </row>
    <row r="210">
      <c r="A210" s="13" t="s">
        <v>374</v>
      </c>
      <c r="B210" s="13"/>
      <c r="C210" s="13"/>
      <c r="D210" s="13"/>
      <c r="E210" s="13"/>
      <c r="F210" s="13"/>
      <c r="G210" s="13"/>
      <c r="I210" s="13" t="s">
        <v>375</v>
      </c>
      <c r="J210" s="13"/>
      <c r="K210" s="13"/>
      <c r="L210" s="13"/>
      <c r="M210" s="13"/>
      <c r="N210" s="13"/>
      <c r="O210" s="13"/>
    </row>
    <row r="211">
      <c r="A211" s="17" t="s">
        <v>239</v>
      </c>
      <c r="D211" s="14" t="s">
        <v>240</v>
      </c>
      <c r="G211" s="16" t="s">
        <v>241</v>
      </c>
      <c r="I211" s="17" t="s">
        <v>239</v>
      </c>
      <c r="L211" s="14" t="s">
        <v>240</v>
      </c>
      <c r="O211" s="16" t="s">
        <v>241</v>
      </c>
    </row>
    <row r="212">
      <c r="A212" s="14" t="str">
        <f>CONCATENATE("Pool BB-2nd ",'Pool Matches'!O514)</f>
      </c>
      <c r="B212" s="14"/>
      <c r="C212" s="14"/>
      <c r="D212" s="18"/>
      <c r="E212" s="14"/>
      <c r="F212" s="14"/>
      <c r="G212" s="14" t="str">
        <f>CONCATENATE("Pool CC-1st ",'Pool Matches'!O556)</f>
      </c>
      <c r="I212" s="14" t="str">
        <f>CONCATENATE("Pool CC-2nd ",'Pool Matches'!O557)</f>
      </c>
      <c r="J212" s="14"/>
      <c r="K212" s="14"/>
      <c r="L212" s="18"/>
      <c r="M212" s="14"/>
      <c r="N212" s="14"/>
      <c r="O212" s="14" t="str">
        <f>CONCATENATE("Pool BB-1st ",'Pool Matches'!O513)</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BB-2nd ",'Pool Matches'!O514)</f>
      </c>
      <c r="B219" s="14" t="s">
        <v>247</v>
      </c>
      <c r="C219" s="14" t="s">
        <v>250</v>
      </c>
      <c r="D219" s="14"/>
      <c r="E219" s="14" t="s">
        <v>250</v>
      </c>
      <c r="F219" s="14" t="s">
        <v>247</v>
      </c>
      <c r="G219" s="14" t="str">
        <f>CONCATENATE("Pool CC-1st ",'Pool Matches'!O556)</f>
      </c>
      <c r="I219" s="14" t="str">
        <f>CONCATENATE("Pool CC-2nd ",'Pool Matches'!O557)</f>
      </c>
      <c r="J219" s="14" t="s">
        <v>247</v>
      </c>
      <c r="K219" s="14" t="s">
        <v>250</v>
      </c>
      <c r="L219" s="14"/>
      <c r="M219" s="14" t="s">
        <v>250</v>
      </c>
      <c r="N219" s="14" t="s">
        <v>247</v>
      </c>
      <c r="O219" s="14" t="str">
        <f>CONCATENATE("Pool BB-1st ",'Pool Matches'!O513)</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253</v>
      </c>
      <c r="G223" s="19"/>
      <c r="N223" t="s">
        <v>253</v>
      </c>
      <c r="O223" s="19"/>
    </row>
    <row r="224">
      <c r="F224" t="s">
        <v>254</v>
      </c>
      <c r="G224" s="19"/>
      <c r="N224" t="s">
        <v>254</v>
      </c>
      <c r="O224" s="19"/>
    </row>
    <row r="226">
      <c r="A226" s="13" t="s">
        <v>376</v>
      </c>
      <c r="B226" s="13"/>
      <c r="C226" s="13"/>
      <c r="D226" s="13"/>
      <c r="E226" s="13"/>
      <c r="F226" s="13"/>
      <c r="G226" s="13"/>
      <c r="I226" s="13" t="s">
        <v>377</v>
      </c>
      <c r="J226" s="13"/>
      <c r="K226" s="13"/>
      <c r="L226" s="13"/>
      <c r="M226" s="13"/>
      <c r="N226" s="13"/>
      <c r="O226" s="13"/>
    </row>
    <row r="227">
      <c r="A227" s="17" t="s">
        <v>239</v>
      </c>
      <c r="D227" s="14" t="s">
        <v>240</v>
      </c>
      <c r="G227" s="16" t="s">
        <v>241</v>
      </c>
      <c r="I227" s="17" t="s">
        <v>239</v>
      </c>
      <c r="L227" s="14" t="s">
        <v>240</v>
      </c>
      <c r="O227" s="16" t="s">
        <v>241</v>
      </c>
    </row>
    <row r="228">
      <c r="A228" s="14" t="str">
        <f>CONCATENATE("Pool DD-2nd ",'Pool Matches'!O600)</f>
      </c>
      <c r="B228" s="14"/>
      <c r="C228" s="14"/>
      <c r="D228" s="18"/>
      <c r="E228" s="14"/>
      <c r="F228" s="14"/>
      <c r="G228" s="14" t="str">
        <f>CONCATENATE("Pool EE-1st ",'Pool Matches'!O640)</f>
      </c>
      <c r="I228" s="14" t="str">
        <f>CONCATENATE("Pool EE-2nd ",'Pool Matches'!O641)</f>
      </c>
      <c r="J228" s="14"/>
      <c r="K228" s="14"/>
      <c r="L228" s="18"/>
      <c r="M228" s="14"/>
      <c r="N228" s="14"/>
      <c r="O228" s="14" t="str">
        <f>CONCATENATE("Pool DD-1st ",'Pool Matches'!O599)</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DD-2nd ",'Pool Matches'!O600)</f>
      </c>
      <c r="B235" s="14" t="s">
        <v>247</v>
      </c>
      <c r="C235" s="14" t="s">
        <v>250</v>
      </c>
      <c r="D235" s="14"/>
      <c r="E235" s="14" t="s">
        <v>250</v>
      </c>
      <c r="F235" s="14" t="s">
        <v>247</v>
      </c>
      <c r="G235" s="14" t="str">
        <f>CONCATENATE("Pool EE-1st ",'Pool Matches'!O640)</f>
      </c>
      <c r="I235" s="14" t="str">
        <f>CONCATENATE("Pool EE-2nd ",'Pool Matches'!O641)</f>
      </c>
      <c r="J235" s="14" t="s">
        <v>247</v>
      </c>
      <c r="K235" s="14" t="s">
        <v>250</v>
      </c>
      <c r="L235" s="14"/>
      <c r="M235" s="14" t="s">
        <v>250</v>
      </c>
      <c r="N235" s="14" t="s">
        <v>247</v>
      </c>
      <c r="O235" s="14" t="str">
        <f>CONCATENATE("Pool DD-1st ",'Pool Matches'!O599)</f>
      </c>
    </row>
    <row r="236">
      <c r="A236" s="14" t="s">
        <v>348</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348</v>
      </c>
      <c r="I236" s="14" t="s">
        <v>348</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348</v>
      </c>
    </row>
    <row r="239">
      <c r="F239" t="s">
        <v>253</v>
      </c>
      <c r="G239" s="19"/>
      <c r="N239" t="s">
        <v>253</v>
      </c>
      <c r="O239" s="19"/>
    </row>
    <row r="240">
      <c r="F240" t="s">
        <v>254</v>
      </c>
      <c r="G240" s="19"/>
      <c r="N240" t="s">
        <v>254</v>
      </c>
      <c r="O240" s="19"/>
    </row>
    <row r="247">
      <c r="A247" s="13" t="s">
        <v>378</v>
      </c>
      <c r="B247" s="13"/>
      <c r="C247" s="13"/>
      <c r="D247" s="13"/>
      <c r="E247" s="13"/>
      <c r="F247" s="13"/>
      <c r="G247" s="13"/>
      <c r="I247" s="13" t="s">
        <v>379</v>
      </c>
      <c r="J247" s="13"/>
      <c r="K247" s="13"/>
      <c r="L247" s="13"/>
      <c r="M247" s="13"/>
      <c r="N247" s="13"/>
      <c r="O247" s="13"/>
    </row>
    <row r="248">
      <c r="A248" s="17" t="s">
        <v>239</v>
      </c>
      <c r="D248" s="14" t="s">
        <v>240</v>
      </c>
      <c r="G248" s="16" t="s">
        <v>241</v>
      </c>
      <c r="I248" s="17" t="s">
        <v>239</v>
      </c>
      <c r="L248" s="14" t="s">
        <v>240</v>
      </c>
      <c r="O248" s="16" t="s">
        <v>241</v>
      </c>
    </row>
    <row r="249">
      <c r="A249" s="14" t="str">
        <f>CONCATENATE("M 1 ",G15)</f>
      </c>
      <c r="B249" s="14"/>
      <c r="C249" s="14"/>
      <c r="D249" s="18"/>
      <c r="E249" s="14"/>
      <c r="F249" s="14"/>
      <c r="G249" s="14" t="str">
        <f>CONCATENATE("Pool A-1st ",'Pool Matches'!G40)</f>
      </c>
      <c r="I249" s="14" t="str">
        <f>CONCATENATE("M 16 ",O15)</f>
      </c>
      <c r="J249" s="14"/>
      <c r="K249" s="14"/>
      <c r="L249" s="18"/>
      <c r="M249" s="14"/>
      <c r="N249" s="14"/>
      <c r="O249" s="14" t="str">
        <f>CONCATENATE("Pool B-1st ",'Pool Matches'!G83)</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1 ",G15)</f>
      </c>
      <c r="B256" s="14" t="s">
        <v>247</v>
      </c>
      <c r="C256" s="14" t="s">
        <v>250</v>
      </c>
      <c r="D256" s="14"/>
      <c r="E256" s="14" t="s">
        <v>250</v>
      </c>
      <c r="F256" s="14" t="s">
        <v>247</v>
      </c>
      <c r="G256" s="14" t="str">
        <f>CONCATENATE("Pool A-1st ",'Pool Matches'!G40)</f>
      </c>
      <c r="I256" s="14" t="str">
        <f>CONCATENATE("M 16 ",O15)</f>
      </c>
      <c r="J256" s="14" t="s">
        <v>247</v>
      </c>
      <c r="K256" s="14" t="s">
        <v>250</v>
      </c>
      <c r="L256" s="14"/>
      <c r="M256" s="14" t="s">
        <v>250</v>
      </c>
      <c r="N256" s="14" t="s">
        <v>247</v>
      </c>
      <c r="O256" s="14" t="str">
        <f>CONCATENATE("Pool B-1st ",'Pool Matches'!G83)</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253</v>
      </c>
      <c r="G260" s="19"/>
      <c r="N260" t="s">
        <v>253</v>
      </c>
      <c r="O260" s="19"/>
    </row>
    <row r="261">
      <c r="F261" t="s">
        <v>254</v>
      </c>
      <c r="G261" s="19"/>
      <c r="N261" t="s">
        <v>254</v>
      </c>
      <c r="O261" s="19"/>
    </row>
    <row r="263">
      <c r="A263" s="13" t="s">
        <v>380</v>
      </c>
      <c r="B263" s="13"/>
      <c r="C263" s="13"/>
      <c r="D263" s="13"/>
      <c r="E263" s="13"/>
      <c r="F263" s="13"/>
      <c r="G263" s="13"/>
      <c r="I263" s="13" t="s">
        <v>381</v>
      </c>
      <c r="J263" s="13"/>
      <c r="K263" s="13"/>
      <c r="L263" s="13"/>
      <c r="M263" s="13"/>
      <c r="N263" s="13"/>
      <c r="O263" s="13"/>
    </row>
    <row r="264">
      <c r="A264" s="17" t="s">
        <v>239</v>
      </c>
      <c r="D264" s="14" t="s">
        <v>240</v>
      </c>
      <c r="G264" s="16" t="s">
        <v>241</v>
      </c>
      <c r="I264" s="17" t="s">
        <v>239</v>
      </c>
      <c r="L264" s="14" t="s">
        <v>240</v>
      </c>
      <c r="O264" s="16" t="s">
        <v>241</v>
      </c>
    </row>
    <row r="265">
      <c r="A265" s="14" t="str">
        <f>CONCATENATE("M 3 ",G47)</f>
      </c>
      <c r="B265" s="14"/>
      <c r="C265" s="14"/>
      <c r="D265" s="18"/>
      <c r="E265" s="14"/>
      <c r="F265" s="14"/>
      <c r="G265" s="14" t="str">
        <f>CONCATENATE("M 2 ",G31)</f>
      </c>
      <c r="I265" s="14" t="str">
        <f>CONCATENATE("M 18 ",O47)</f>
      </c>
      <c r="J265" s="14"/>
      <c r="K265" s="14"/>
      <c r="L265" s="18"/>
      <c r="M265" s="14"/>
      <c r="N265" s="14"/>
      <c r="O265" s="14" t="str">
        <f>CONCATENATE("M 17 ",O31)</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3 ",G47)</f>
      </c>
      <c r="B272" s="14" t="s">
        <v>247</v>
      </c>
      <c r="C272" s="14" t="s">
        <v>250</v>
      </c>
      <c r="D272" s="14"/>
      <c r="E272" s="14" t="s">
        <v>250</v>
      </c>
      <c r="F272" s="14" t="s">
        <v>247</v>
      </c>
      <c r="G272" s="14" t="str">
        <f>CONCATENATE("M 2 ",G31)</f>
      </c>
      <c r="I272" s="14" t="str">
        <f>CONCATENATE("M 18 ",O47)</f>
      </c>
      <c r="J272" s="14" t="s">
        <v>247</v>
      </c>
      <c r="K272" s="14" t="s">
        <v>250</v>
      </c>
      <c r="L272" s="14"/>
      <c r="M272" s="14" t="s">
        <v>250</v>
      </c>
      <c r="N272" s="14" t="s">
        <v>247</v>
      </c>
      <c r="O272" s="14" t="str">
        <f>CONCATENATE("M 17 ",O31)</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253</v>
      </c>
      <c r="G276" s="19"/>
      <c r="N276" t="s">
        <v>253</v>
      </c>
      <c r="O276" s="19"/>
    </row>
    <row r="277">
      <c r="F277" t="s">
        <v>254</v>
      </c>
      <c r="G277" s="19"/>
      <c r="N277" t="s">
        <v>254</v>
      </c>
      <c r="O277" s="19"/>
    </row>
    <row r="279">
      <c r="A279" s="13" t="s">
        <v>382</v>
      </c>
      <c r="B279" s="13"/>
      <c r="C279" s="13"/>
      <c r="D279" s="13"/>
      <c r="E279" s="13"/>
      <c r="F279" s="13"/>
      <c r="G279" s="13"/>
      <c r="I279" s="13" t="s">
        <v>383</v>
      </c>
      <c r="J279" s="13"/>
      <c r="K279" s="13"/>
      <c r="L279" s="13"/>
      <c r="M279" s="13"/>
      <c r="N279" s="13"/>
      <c r="O279" s="13"/>
    </row>
    <row r="280">
      <c r="A280" s="17" t="s">
        <v>239</v>
      </c>
      <c r="D280" s="14" t="s">
        <v>240</v>
      </c>
      <c r="G280" s="16" t="s">
        <v>241</v>
      </c>
      <c r="I280" s="17" t="s">
        <v>239</v>
      </c>
      <c r="L280" s="14" t="s">
        <v>240</v>
      </c>
      <c r="O280" s="16" t="s">
        <v>241</v>
      </c>
    </row>
    <row r="281">
      <c r="A281" s="14" t="str">
        <f>CONCATENATE("M 5 ",G79)</f>
      </c>
      <c r="B281" s="14"/>
      <c r="C281" s="14"/>
      <c r="D281" s="18"/>
      <c r="E281" s="14"/>
      <c r="F281" s="14"/>
      <c r="G281" s="14" t="str">
        <f>CONCATENATE("M 4 ",G63)</f>
      </c>
      <c r="I281" s="14" t="str">
        <f>CONCATENATE("M 20 ",O79)</f>
      </c>
      <c r="J281" s="14"/>
      <c r="K281" s="14"/>
      <c r="L281" s="18"/>
      <c r="M281" s="14"/>
      <c r="N281" s="14"/>
      <c r="O281" s="14" t="str">
        <f>CONCATENATE("M 19 ",O63)</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5 ",G79)</f>
      </c>
      <c r="B288" s="14" t="s">
        <v>247</v>
      </c>
      <c r="C288" s="14" t="s">
        <v>250</v>
      </c>
      <c r="D288" s="14"/>
      <c r="E288" s="14" t="s">
        <v>250</v>
      </c>
      <c r="F288" s="14" t="s">
        <v>247</v>
      </c>
      <c r="G288" s="14" t="str">
        <f>CONCATENATE("M 4 ",G63)</f>
      </c>
      <c r="I288" s="14" t="str">
        <f>CONCATENATE("M 20 ",O79)</f>
      </c>
      <c r="J288" s="14" t="s">
        <v>247</v>
      </c>
      <c r="K288" s="14" t="s">
        <v>250</v>
      </c>
      <c r="L288" s="14"/>
      <c r="M288" s="14" t="s">
        <v>250</v>
      </c>
      <c r="N288" s="14" t="s">
        <v>247</v>
      </c>
      <c r="O288" s="14" t="str">
        <f>CONCATENATE("M 19 ",O63)</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253</v>
      </c>
      <c r="G292" s="19"/>
      <c r="N292" t="s">
        <v>253</v>
      </c>
      <c r="O292" s="19"/>
    </row>
    <row r="293">
      <c r="F293" t="s">
        <v>254</v>
      </c>
      <c r="G293" s="19"/>
      <c r="N293" t="s">
        <v>254</v>
      </c>
      <c r="O293" s="19"/>
    </row>
    <row r="295">
      <c r="A295" s="13" t="s">
        <v>384</v>
      </c>
      <c r="B295" s="13"/>
      <c r="C295" s="13"/>
      <c r="D295" s="13"/>
      <c r="E295" s="13"/>
      <c r="F295" s="13"/>
      <c r="G295" s="13"/>
      <c r="I295" s="13" t="s">
        <v>385</v>
      </c>
      <c r="J295" s="13"/>
      <c r="K295" s="13"/>
      <c r="L295" s="13"/>
      <c r="M295" s="13"/>
      <c r="N295" s="13"/>
      <c r="O295" s="13"/>
    </row>
    <row r="296">
      <c r="A296" s="17" t="s">
        <v>239</v>
      </c>
      <c r="D296" s="14" t="s">
        <v>240</v>
      </c>
      <c r="G296" s="16" t="s">
        <v>241</v>
      </c>
      <c r="I296" s="17" t="s">
        <v>239</v>
      </c>
      <c r="L296" s="14" t="s">
        <v>240</v>
      </c>
      <c r="O296" s="16" t="s">
        <v>241</v>
      </c>
    </row>
    <row r="297">
      <c r="A297" s="14" t="str">
        <f>CONCATENATE("M 7 ",G111)</f>
      </c>
      <c r="B297" s="14"/>
      <c r="C297" s="14"/>
      <c r="D297" s="18"/>
      <c r="E297" s="14"/>
      <c r="F297" s="14"/>
      <c r="G297" s="14" t="str">
        <f>CONCATENATE("M 6 ",G95)</f>
      </c>
      <c r="I297" s="14" t="str">
        <f>CONCATENATE("M 22 ",O111)</f>
      </c>
      <c r="J297" s="14"/>
      <c r="K297" s="14"/>
      <c r="L297" s="18"/>
      <c r="M297" s="14"/>
      <c r="N297" s="14"/>
      <c r="O297" s="14" t="str">
        <f>CONCATENATE("M 21 ",O95)</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7 ",G111)</f>
      </c>
      <c r="B304" s="14" t="s">
        <v>247</v>
      </c>
      <c r="C304" s="14" t="s">
        <v>250</v>
      </c>
      <c r="D304" s="14"/>
      <c r="E304" s="14" t="s">
        <v>250</v>
      </c>
      <c r="F304" s="14" t="s">
        <v>247</v>
      </c>
      <c r="G304" s="14" t="str">
        <f>CONCATENATE("M 6 ",G95)</f>
      </c>
      <c r="I304" s="14" t="str">
        <f>CONCATENATE("M 22 ",O111)</f>
      </c>
      <c r="J304" s="14" t="s">
        <v>247</v>
      </c>
      <c r="K304" s="14" t="s">
        <v>250</v>
      </c>
      <c r="L304" s="14"/>
      <c r="M304" s="14" t="s">
        <v>250</v>
      </c>
      <c r="N304" s="14" t="s">
        <v>247</v>
      </c>
      <c r="O304" s="14" t="str">
        <f>CONCATENATE("M 21 ",O95)</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253</v>
      </c>
      <c r="G308" s="19"/>
      <c r="N308" t="s">
        <v>253</v>
      </c>
      <c r="O308" s="19"/>
    </row>
    <row r="309">
      <c r="F309" t="s">
        <v>254</v>
      </c>
      <c r="G309" s="19"/>
      <c r="N309" t="s">
        <v>254</v>
      </c>
      <c r="O309" s="19"/>
    </row>
    <row r="311">
      <c r="A311" s="13" t="s">
        <v>386</v>
      </c>
      <c r="B311" s="13"/>
      <c r="C311" s="13"/>
      <c r="D311" s="13"/>
      <c r="E311" s="13"/>
      <c r="F311" s="13"/>
      <c r="G311" s="13"/>
      <c r="I311" s="13" t="s">
        <v>387</v>
      </c>
      <c r="J311" s="13"/>
      <c r="K311" s="13"/>
      <c r="L311" s="13"/>
      <c r="M311" s="13"/>
      <c r="N311" s="13"/>
      <c r="O311" s="13"/>
    </row>
    <row r="312">
      <c r="A312" s="17" t="s">
        <v>239</v>
      </c>
      <c r="D312" s="14" t="s">
        <v>240</v>
      </c>
      <c r="G312" s="16" t="s">
        <v>241</v>
      </c>
      <c r="I312" s="17" t="s">
        <v>239</v>
      </c>
      <c r="L312" s="14" t="s">
        <v>240</v>
      </c>
      <c r="O312" s="16" t="s">
        <v>241</v>
      </c>
    </row>
    <row r="313">
      <c r="A313" s="14" t="str">
        <f>CONCATENATE("M 9 ",G143)</f>
      </c>
      <c r="B313" s="14"/>
      <c r="C313" s="14"/>
      <c r="D313" s="18"/>
      <c r="E313" s="14"/>
      <c r="F313" s="14"/>
      <c r="G313" s="14" t="str">
        <f>CONCATENATE("M 8 ",G127)</f>
      </c>
      <c r="I313" s="14" t="str">
        <f>CONCATENATE("M 24 ",O143)</f>
      </c>
      <c r="J313" s="14"/>
      <c r="K313" s="14"/>
      <c r="L313" s="18"/>
      <c r="M313" s="14"/>
      <c r="N313" s="14"/>
      <c r="O313" s="14" t="str">
        <f>CONCATENATE("M 23 ",O127)</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247</v>
      </c>
      <c r="C320" s="14" t="s">
        <v>250</v>
      </c>
      <c r="D320" s="14"/>
      <c r="E320" s="14" t="s">
        <v>250</v>
      </c>
      <c r="F320" s="14" t="s">
        <v>247</v>
      </c>
      <c r="G320" s="14" t="str">
        <f>CONCATENATE("M 8 ",G127)</f>
      </c>
      <c r="I320" s="14" t="str">
        <f>CONCATENATE("M 24 ",O143)</f>
      </c>
      <c r="J320" s="14" t="s">
        <v>247</v>
      </c>
      <c r="K320" s="14" t="s">
        <v>250</v>
      </c>
      <c r="L320" s="14"/>
      <c r="M320" s="14" t="s">
        <v>250</v>
      </c>
      <c r="N320" s="14" t="s">
        <v>247</v>
      </c>
      <c r="O320" s="14" t="str">
        <f>CONCATENATE("M 23 ",O127)</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253</v>
      </c>
      <c r="G324" s="19"/>
      <c r="N324" t="s">
        <v>253</v>
      </c>
      <c r="O324" s="19"/>
    </row>
    <row r="325">
      <c r="F325" t="s">
        <v>254</v>
      </c>
      <c r="G325" s="19"/>
      <c r="N325" t="s">
        <v>254</v>
      </c>
      <c r="O325" s="19"/>
    </row>
    <row r="327">
      <c r="A327" s="13" t="s">
        <v>388</v>
      </c>
      <c r="B327" s="13"/>
      <c r="C327" s="13"/>
      <c r="D327" s="13"/>
      <c r="E327" s="13"/>
      <c r="F327" s="13"/>
      <c r="G327" s="13"/>
      <c r="I327" s="13" t="s">
        <v>389</v>
      </c>
      <c r="J327" s="13"/>
      <c r="K327" s="13"/>
      <c r="L327" s="13"/>
      <c r="M327" s="13"/>
      <c r="N327" s="13"/>
      <c r="O327" s="13"/>
    </row>
    <row r="328">
      <c r="A328" s="17" t="s">
        <v>239</v>
      </c>
      <c r="D328" s="14" t="s">
        <v>240</v>
      </c>
      <c r="G328" s="16" t="s">
        <v>241</v>
      </c>
      <c r="I328" s="17" t="s">
        <v>239</v>
      </c>
      <c r="L328" s="14" t="s">
        <v>240</v>
      </c>
      <c r="O328" s="16" t="s">
        <v>241</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247</v>
      </c>
      <c r="C336" s="14" t="s">
        <v>250</v>
      </c>
      <c r="D336" s="14"/>
      <c r="E336" s="14" t="s">
        <v>250</v>
      </c>
      <c r="F336" s="14" t="s">
        <v>247</v>
      </c>
      <c r="G336" s="14" t="str">
        <f>CONCATENATE("M 10 ",G159)</f>
      </c>
      <c r="I336" s="14" t="str">
        <f>CONCATENATE("M 26 ",O175)</f>
      </c>
      <c r="J336" s="14" t="s">
        <v>247</v>
      </c>
      <c r="K336" s="14" t="s">
        <v>250</v>
      </c>
      <c r="L336" s="14"/>
      <c r="M336" s="14" t="s">
        <v>250</v>
      </c>
      <c r="N336" s="14" t="s">
        <v>247</v>
      </c>
      <c r="O336" s="14" t="str">
        <f>CONCATENATE("M 25 ",O159)</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253</v>
      </c>
      <c r="G340" s="19"/>
      <c r="N340" t="s">
        <v>253</v>
      </c>
      <c r="O340" s="19"/>
    </row>
    <row r="341">
      <c r="F341" t="s">
        <v>254</v>
      </c>
      <c r="G341" s="19"/>
      <c r="N341" t="s">
        <v>254</v>
      </c>
      <c r="O341" s="19"/>
    </row>
    <row r="343">
      <c r="A343" s="13" t="s">
        <v>390</v>
      </c>
      <c r="B343" s="13"/>
      <c r="C343" s="13"/>
      <c r="D343" s="13"/>
      <c r="E343" s="13"/>
      <c r="F343" s="13"/>
      <c r="G343" s="13"/>
      <c r="I343" s="13" t="s">
        <v>391</v>
      </c>
      <c r="J343" s="13"/>
      <c r="K343" s="13"/>
      <c r="L343" s="13"/>
      <c r="M343" s="13"/>
      <c r="N343" s="13"/>
      <c r="O343" s="13"/>
    </row>
    <row r="344">
      <c r="A344" s="17" t="s">
        <v>239</v>
      </c>
      <c r="D344" s="14" t="s">
        <v>240</v>
      </c>
      <c r="G344" s="16" t="s">
        <v>241</v>
      </c>
      <c r="I344" s="17" t="s">
        <v>239</v>
      </c>
      <c r="L344" s="14" t="s">
        <v>240</v>
      </c>
      <c r="O344" s="16" t="s">
        <v>241</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247</v>
      </c>
      <c r="C352" s="14" t="s">
        <v>250</v>
      </c>
      <c r="D352" s="14"/>
      <c r="E352" s="14" t="s">
        <v>250</v>
      </c>
      <c r="F352" s="14" t="s">
        <v>247</v>
      </c>
      <c r="G352" s="14" t="str">
        <f>CONCATENATE("M 12 ",G191)</f>
      </c>
      <c r="I352" s="14" t="str">
        <f>CONCATENATE("M 28 ",O207)</f>
      </c>
      <c r="J352" s="14" t="s">
        <v>247</v>
      </c>
      <c r="K352" s="14" t="s">
        <v>250</v>
      </c>
      <c r="L352" s="14"/>
      <c r="M352" s="14" t="s">
        <v>250</v>
      </c>
      <c r="N352" s="14" t="s">
        <v>247</v>
      </c>
      <c r="O352" s="14" t="str">
        <f>CONCATENATE("M 27 ",O191)</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253</v>
      </c>
      <c r="G356" s="19"/>
      <c r="N356" t="s">
        <v>253</v>
      </c>
      <c r="O356" s="19"/>
    </row>
    <row r="357">
      <c r="F357" t="s">
        <v>254</v>
      </c>
      <c r="G357" s="19"/>
      <c r="N357" t="s">
        <v>254</v>
      </c>
      <c r="O357" s="19"/>
    </row>
    <row r="359">
      <c r="A359" s="13" t="s">
        <v>392</v>
      </c>
      <c r="B359" s="13"/>
      <c r="C359" s="13"/>
      <c r="D359" s="13"/>
      <c r="E359" s="13"/>
      <c r="F359" s="13"/>
      <c r="G359" s="13"/>
      <c r="I359" s="13" t="s">
        <v>393</v>
      </c>
      <c r="J359" s="13"/>
      <c r="K359" s="13"/>
      <c r="L359" s="13"/>
      <c r="M359" s="13"/>
      <c r="N359" s="13"/>
      <c r="O359" s="13"/>
    </row>
    <row r="360">
      <c r="A360" s="17" t="s">
        <v>239</v>
      </c>
      <c r="D360" s="14" t="s">
        <v>240</v>
      </c>
      <c r="G360" s="16" t="s">
        <v>241</v>
      </c>
      <c r="I360" s="17" t="s">
        <v>239</v>
      </c>
      <c r="L360" s="14" t="s">
        <v>240</v>
      </c>
      <c r="O360" s="16" t="s">
        <v>241</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247</v>
      </c>
      <c r="C368" s="14" t="s">
        <v>250</v>
      </c>
      <c r="D368" s="14"/>
      <c r="E368" s="14" t="s">
        <v>250</v>
      </c>
      <c r="F368" s="14" t="s">
        <v>247</v>
      </c>
      <c r="G368" s="14" t="str">
        <f>CONCATENATE("M 14 ",G223)</f>
      </c>
      <c r="I368" s="14" t="str">
        <f>CONCATENATE("M 30 ",O239)</f>
      </c>
      <c r="J368" s="14" t="s">
        <v>247</v>
      </c>
      <c r="K368" s="14" t="s">
        <v>250</v>
      </c>
      <c r="L368" s="14"/>
      <c r="M368" s="14" t="s">
        <v>250</v>
      </c>
      <c r="N368" s="14" t="s">
        <v>247</v>
      </c>
      <c r="O368" s="14" t="str">
        <f>CONCATENATE("M 29 ",O223)</f>
      </c>
    </row>
    <row r="369">
      <c r="A369" s="14" t="s">
        <v>348</v>
      </c>
      <c r="B369" s="14" t="str">
        <f>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",""),"0",""),"-",""))),1,0))+IF(UPPER(D364)="X",0,IF((LEN(SUBSTITUTE(SUBSTITUTE(SUBSTITUTE(B364," ",""),"0",""),"-",""))+LEN(SUBSTITUTE(SUBSTITUTE(SUBSTITUTE(C364," ",""),"0",""),"-","")))&gt;(LEN(SUBSTITUTE(SUBSTITUTE(SUBSTITUTE(E364," ",""),"0",""),"-",""))+LEN(SUBSTITUTE(SUBSTITUTE(SUBSTITUTE(F364," ",""),"0",""),"-",""))),1,0))+IF(UPPER(D365)="X",0,IF((LEN(SUBSTITUTE(SUBSTITUTE(SUBSTITUTE(B365,"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f>
      </c>
      <c r="C369" s="14" t="str">
        <f>LEN(SUBSTITUTE(SUBSTITUTE(SUBSTITUTE(B362," ",""),"0",""),"-",""))+LEN(SUBSTITUTE(SUBSTITUTE(SUBSTITUTE(C362," ",""),"0",""),"-",""))+LEN(SUBSTITUTE(SUBSTITUTE(SUBSTITUTE(B363," ",""),"0",""),"-",""))+LEN(SUBSTITUTE(SUBSTITUTE(SUBSTITUTE(C363," ",""),"0",""),"-",""))+LEN(SUBSTITUTE(SUBSTITUTE(SUBSTITUTE(B364," ",""),"0",""),"-",""))+LEN(SUBSTITUTE(SUBSTITUTE(SUBSTITUTE(C364," ",""),"0",""),"-",""))+LEN(SUBSTITUTE(SUBSTITUTE(SUBSTITUTE(B365," ",""),"0",""),"-",""))+LEN(SUBSTITUTE(SUBSTITUTE(SUBSTITUTE(C365," ",""),"0",""),"-",""))+LEN(SUBSTITUTE(SUBSTITUTE(SUBSTITUTE(B366," ",""),"0",""),"-",""))+LEN(SUBSTITUTE(SUBSTITUTE(SUBSTITUTE(C366," ",""),"0",""),"-",""))</f>
      </c>
      <c r="D369" s="14"/>
      <c r="E369" s="14" t="str">
        <f>LEN(SUBSTITUTE(SUBSTITUTE(SUBSTITUTE(E362," ",""),"0",""),"-",""))+LEN(SUBSTITUTE(SUBSTITUTE(SUBSTITUTE(F362," ",""),"0",""),"-",""))+LEN(SUBSTITUTE(SUBSTITUTE(SUBSTITUTE(E363," ",""),"0",""),"-",""))+LEN(SUBSTITUTE(SUBSTITUTE(SUBSTITUTE(F363," ",""),"0",""),"-",""))+LEN(SUBSTITUTE(SUBSTITUTE(SUBSTITUTE(E364," ",""),"0",""),"-",""))+LEN(SUBSTITUTE(SUBSTITUTE(SUBSTITUTE(F364," ",""),"0",""),"-",""))+LEN(SUBSTITUTE(SUBSTITUTE(SUBSTITUTE(E365," ",""),"0",""),"-",""))+LEN(SUBSTITUTE(SUBSTITUTE(SUBSTITUTE(F365," ",""),"0",""),"-",""))+LEN(SUBSTITUTE(SUBSTITUTE(SUBSTITUTE(E366," ",""),"0",""),"-",""))+LEN(SUBSTITUTE(SUBSTITUTE(SUBSTITUTE(F366," ",""),"0",""),"-",""))</f>
      </c>
      <c r="F369" s="14" t="str">
        <f>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",""),"0",""),"-",""))),1,0))+IF(UPPER(D364)="X",0,IF((LEN(SUBSTITUTE(SUBSTITUTE(SUBSTITUTE(E364," ",""),"0",""),"-",""))+LEN(SUBSTITUTE(SUBSTITUTE(SUBSTITUTE(F364," ",""),"0",""),"-","")))&gt;(LEN(SUBSTITUTE(SUBSTITUTE(SUBSTITUTE(B364," ",""),"0",""),"-",""))+LEN(SUBSTITUTE(SUBSTITUTE(SUBSTITUTE(C364," ",""),"0",""),"-",""))),1,0))+IF(UPPER(D365)="X",0,IF((LEN(SUBSTITUTE(SUBSTITUTE(SUBSTITUTE(E365,"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f>
      </c>
      <c r="G369" s="14" t="s">
        <v>348</v>
      </c>
      <c r="I369" s="14" t="s">
        <v>348</v>
      </c>
      <c r="J369" s="14" t="str">
        <f>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",""),"0",""),"-",""))),1,0))+IF(UPPER(L364)="X",0,IF((LEN(SUBSTITUTE(SUBSTITUTE(SUBSTITUTE(J364," ",""),"0",""),"-",""))+LEN(SUBSTITUTE(SUBSTITUTE(SUBSTITUTE(K364," ",""),"0",""),"-","")))&gt;(LEN(SUBSTITUTE(SUBSTITUTE(SUBSTITUTE(M364," ",""),"0",""),"-",""))+LEN(SUBSTITUTE(SUBSTITUTE(SUBSTITUTE(N364," ",""),"0",""),"-",""))),1,0))+IF(UPPER(L365)="X",0,IF((LEN(SUBSTITUTE(SUBSTITUTE(SUBSTITUTE(J365,"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f>
      </c>
      <c r="K369" s="14" t="str">
        <f>LEN(SUBSTITUTE(SUBSTITUTE(SUBSTITUTE(J362," ",""),"0",""),"-",""))+LEN(SUBSTITUTE(SUBSTITUTE(SUBSTITUTE(K362," ",""),"0",""),"-",""))+LEN(SUBSTITUTE(SUBSTITUTE(SUBSTITUTE(J363," ",""),"0",""),"-",""))+LEN(SUBSTITUTE(SUBSTITUTE(SUBSTITUTE(K363," ",""),"0",""),"-",""))+LEN(SUBSTITUTE(SUBSTITUTE(SUBSTITUTE(J364," ",""),"0",""),"-",""))+LEN(SUBSTITUTE(SUBSTITUTE(SUBSTITUTE(K364," ",""),"0",""),"-",""))+LEN(SUBSTITUTE(SUBSTITUTE(SUBSTITUTE(J365," ",""),"0",""),"-",""))+LEN(SUBSTITUTE(SUBSTITUTE(SUBSTITUTE(K365," ",""),"0",""),"-",""))+LEN(SUBSTITUTE(SUBSTITUTE(SUBSTITUTE(J366," ",""),"0",""),"-",""))+LEN(SUBSTITUTE(SUBSTITUTE(SUBSTITUTE(K366," ",""),"0",""),"-",""))</f>
      </c>
      <c r="L369" s="14"/>
      <c r="M369" s="14" t="str">
        <f>LEN(SUBSTITUTE(SUBSTITUTE(SUBSTITUTE(M362," ",""),"0",""),"-",""))+LEN(SUBSTITUTE(SUBSTITUTE(SUBSTITUTE(N362," ",""),"0",""),"-",""))+LEN(SUBSTITUTE(SUBSTITUTE(SUBSTITUTE(M363," ",""),"0",""),"-",""))+LEN(SUBSTITUTE(SUBSTITUTE(SUBSTITUTE(N363," ",""),"0",""),"-",""))+LEN(SUBSTITUTE(SUBSTITUTE(SUBSTITUTE(M364," ",""),"0",""),"-",""))+LEN(SUBSTITUTE(SUBSTITUTE(SUBSTITUTE(N364," ",""),"0",""),"-",""))+LEN(SUBSTITUTE(SUBSTITUTE(SUBSTITUTE(M365," ",""),"0",""),"-",""))+LEN(SUBSTITUTE(SUBSTITUTE(SUBSTITUTE(N365," ",""),"0",""),"-",""))+LEN(SUBSTITUTE(SUBSTITUTE(SUBSTITUTE(M366," ",""),"0",""),"-",""))+LEN(SUBSTITUTE(SUBSTITUTE(SUBSTITUTE(N366," ",""),"0",""),"-",""))</f>
      </c>
      <c r="N369" s="14" t="str">
        <f>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",""),"0",""),"-",""))),1,0))+IF(UPPER(L364)="X",0,IF((LEN(SUBSTITUTE(SUBSTITUTE(SUBSTITUTE(M364," ",""),"0",""),"-",""))+LEN(SUBSTITUTE(SUBSTITUTE(SUBSTITUTE(N364," ",""),"0",""),"-","")))&gt;(LEN(SUBSTITUTE(SUBSTITUTE(SUBSTITUTE(J364," ",""),"0",""),"-",""))+LEN(SUBSTITUTE(SUBSTITUTE(SUBSTITUTE(K364," ",""),"0",""),"-",""))),1,0))+IF(UPPER(L365)="X",0,IF((LEN(SUBSTITUTE(SUBSTITUTE(SUBSTITUTE(M365,"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f>
      </c>
      <c r="O369" s="14" t="s">
        <v>348</v>
      </c>
    </row>
    <row r="372">
      <c r="F372" t="s">
        <v>253</v>
      </c>
      <c r="G372" s="19"/>
      <c r="N372" t="s">
        <v>253</v>
      </c>
      <c r="O372" s="19"/>
    </row>
    <row r="373">
      <c r="F373" t="s">
        <v>254</v>
      </c>
      <c r="G373" s="19"/>
      <c r="N373" t="s">
        <v>254</v>
      </c>
      <c r="O373" s="19"/>
    </row>
    <row r="380">
      <c r="A380" s="13" t="s">
        <v>394</v>
      </c>
      <c r="B380" s="13"/>
      <c r="C380" s="13"/>
      <c r="D380" s="13"/>
      <c r="E380" s="13"/>
      <c r="F380" s="13"/>
      <c r="G380" s="13"/>
      <c r="I380" s="13" t="s">
        <v>395</v>
      </c>
      <c r="J380" s="13"/>
      <c r="K380" s="13"/>
      <c r="L380" s="13"/>
      <c r="M380" s="13"/>
      <c r="N380" s="13"/>
      <c r="O380" s="13"/>
    </row>
    <row r="381">
      <c r="A381" s="17" t="s">
        <v>239</v>
      </c>
      <c r="D381" s="14" t="s">
        <v>240</v>
      </c>
      <c r="G381" s="16" t="s">
        <v>241</v>
      </c>
      <c r="I381" s="17" t="s">
        <v>239</v>
      </c>
      <c r="L381" s="14" t="s">
        <v>240</v>
      </c>
      <c r="O381" s="16" t="s">
        <v>241</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247</v>
      </c>
      <c r="C389" s="14" t="s">
        <v>250</v>
      </c>
      <c r="D389" s="14"/>
      <c r="E389" s="14" t="s">
        <v>250</v>
      </c>
      <c r="F389" s="14" t="s">
        <v>247</v>
      </c>
      <c r="G389" s="14" t="str">
        <f>CONCATENATE("M 31 ",G260)</f>
      </c>
      <c r="I389" s="14" t="str">
        <f>CONCATENATE("M 40 ",O276)</f>
      </c>
      <c r="J389" s="14" t="s">
        <v>247</v>
      </c>
      <c r="K389" s="14" t="s">
        <v>250</v>
      </c>
      <c r="L389" s="14"/>
      <c r="M389" s="14" t="s">
        <v>250</v>
      </c>
      <c r="N389" s="14" t="s">
        <v>247</v>
      </c>
      <c r="O389" s="14" t="str">
        <f>CONCATENATE("M 39 ",O260)</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253</v>
      </c>
      <c r="G393" s="19"/>
      <c r="N393" t="s">
        <v>253</v>
      </c>
      <c r="O393" s="19"/>
    </row>
    <row r="394">
      <c r="F394" t="s">
        <v>254</v>
      </c>
      <c r="G394" s="19"/>
      <c r="N394" t="s">
        <v>254</v>
      </c>
      <c r="O394" s="19"/>
    </row>
    <row r="396">
      <c r="A396" s="13" t="s">
        <v>396</v>
      </c>
      <c r="B396" s="13"/>
      <c r="C396" s="13"/>
      <c r="D396" s="13"/>
      <c r="E396" s="13"/>
      <c r="F396" s="13"/>
      <c r="G396" s="13"/>
      <c r="I396" s="13" t="s">
        <v>397</v>
      </c>
      <c r="J396" s="13"/>
      <c r="K396" s="13"/>
      <c r="L396" s="13"/>
      <c r="M396" s="13"/>
      <c r="N396" s="13"/>
      <c r="O396" s="13"/>
    </row>
    <row r="397">
      <c r="A397" s="17" t="s">
        <v>239</v>
      </c>
      <c r="D397" s="14" t="s">
        <v>240</v>
      </c>
      <c r="G397" s="16" t="s">
        <v>241</v>
      </c>
      <c r="I397" s="17" t="s">
        <v>239</v>
      </c>
      <c r="L397" s="14" t="s">
        <v>240</v>
      </c>
      <c r="O397" s="16" t="s">
        <v>241</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247</v>
      </c>
      <c r="C405" s="14" t="s">
        <v>250</v>
      </c>
      <c r="D405" s="14"/>
      <c r="E405" s="14" t="s">
        <v>250</v>
      </c>
      <c r="F405" s="14" t="s">
        <v>247</v>
      </c>
      <c r="G405" s="14" t="str">
        <f>CONCATENATE("M 33 ",G292)</f>
      </c>
      <c r="I405" s="14" t="str">
        <f>CONCATENATE("M 42 ",O308)</f>
      </c>
      <c r="J405" s="14" t="s">
        <v>247</v>
      </c>
      <c r="K405" s="14" t="s">
        <v>250</v>
      </c>
      <c r="L405" s="14"/>
      <c r="M405" s="14" t="s">
        <v>250</v>
      </c>
      <c r="N405" s="14" t="s">
        <v>247</v>
      </c>
      <c r="O405" s="14" t="str">
        <f>CONCATENATE("M 41 ",O292)</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253</v>
      </c>
      <c r="G409" s="19"/>
      <c r="N409" t="s">
        <v>253</v>
      </c>
      <c r="O409" s="19"/>
    </row>
    <row r="410">
      <c r="F410" t="s">
        <v>254</v>
      </c>
      <c r="G410" s="19"/>
      <c r="N410" t="s">
        <v>254</v>
      </c>
      <c r="O410" s="19"/>
    </row>
    <row r="412">
      <c r="A412" s="13" t="s">
        <v>398</v>
      </c>
      <c r="B412" s="13"/>
      <c r="C412" s="13"/>
      <c r="D412" s="13"/>
      <c r="E412" s="13"/>
      <c r="F412" s="13"/>
      <c r="G412" s="13"/>
      <c r="I412" s="13" t="s">
        <v>399</v>
      </c>
      <c r="J412" s="13"/>
      <c r="K412" s="13"/>
      <c r="L412" s="13"/>
      <c r="M412" s="13"/>
      <c r="N412" s="13"/>
      <c r="O412" s="13"/>
    </row>
    <row r="413">
      <c r="A413" s="17" t="s">
        <v>239</v>
      </c>
      <c r="D413" s="14" t="s">
        <v>240</v>
      </c>
      <c r="G413" s="16" t="s">
        <v>241</v>
      </c>
      <c r="I413" s="17" t="s">
        <v>239</v>
      </c>
      <c r="L413" s="14" t="s">
        <v>240</v>
      </c>
      <c r="O413" s="16" t="s">
        <v>241</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247</v>
      </c>
      <c r="C421" s="14" t="s">
        <v>250</v>
      </c>
      <c r="D421" s="14"/>
      <c r="E421" s="14" t="s">
        <v>250</v>
      </c>
      <c r="F421" s="14" t="s">
        <v>247</v>
      </c>
      <c r="G421" s="14" t="str">
        <f>CONCATENATE("M 35 ",G324)</f>
      </c>
      <c r="I421" s="14" t="str">
        <f>CONCATENATE("M 44 ",O340)</f>
      </c>
      <c r="J421" s="14" t="s">
        <v>247</v>
      </c>
      <c r="K421" s="14" t="s">
        <v>250</v>
      </c>
      <c r="L421" s="14"/>
      <c r="M421" s="14" t="s">
        <v>250</v>
      </c>
      <c r="N421" s="14" t="s">
        <v>247</v>
      </c>
      <c r="O421" s="14" t="str">
        <f>CONCATENATE("M 43 ",O324)</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253</v>
      </c>
      <c r="G425" s="19"/>
      <c r="N425" t="s">
        <v>253</v>
      </c>
      <c r="O425" s="19"/>
    </row>
    <row r="426">
      <c r="F426" t="s">
        <v>254</v>
      </c>
      <c r="G426" s="19"/>
      <c r="N426" t="s">
        <v>254</v>
      </c>
      <c r="O426" s="19"/>
    </row>
    <row r="428">
      <c r="A428" s="13" t="s">
        <v>400</v>
      </c>
      <c r="B428" s="13"/>
      <c r="C428" s="13"/>
      <c r="D428" s="13"/>
      <c r="E428" s="13"/>
      <c r="F428" s="13"/>
      <c r="G428" s="13"/>
      <c r="I428" s="13" t="s">
        <v>401</v>
      </c>
      <c r="J428" s="13"/>
      <c r="K428" s="13"/>
      <c r="L428" s="13"/>
      <c r="M428" s="13"/>
      <c r="N428" s="13"/>
      <c r="O428" s="13"/>
    </row>
    <row r="429">
      <c r="A429" s="17" t="s">
        <v>239</v>
      </c>
      <c r="D429" s="14" t="s">
        <v>240</v>
      </c>
      <c r="G429" s="16" t="s">
        <v>241</v>
      </c>
      <c r="I429" s="17" t="s">
        <v>239</v>
      </c>
      <c r="L429" s="14" t="s">
        <v>240</v>
      </c>
      <c r="O429" s="16" t="s">
        <v>241</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247</v>
      </c>
      <c r="C437" s="14" t="s">
        <v>250</v>
      </c>
      <c r="D437" s="14"/>
      <c r="E437" s="14" t="s">
        <v>250</v>
      </c>
      <c r="F437" s="14" t="s">
        <v>247</v>
      </c>
      <c r="G437" s="14" t="str">
        <f>CONCATENATE("M 37 ",G356)</f>
      </c>
      <c r="I437" s="14" t="str">
        <f>CONCATENATE("M 46 ",O372)</f>
      </c>
      <c r="J437" s="14" t="s">
        <v>247</v>
      </c>
      <c r="K437" s="14" t="s">
        <v>250</v>
      </c>
      <c r="L437" s="14"/>
      <c r="M437" s="14" t="s">
        <v>250</v>
      </c>
      <c r="N437" s="14" t="s">
        <v>247</v>
      </c>
      <c r="O437" s="14" t="str">
        <f>CONCATENATE("M 45 ",O356)</f>
      </c>
    </row>
    <row r="438">
      <c r="A438" s="14" t="s">
        <v>348</v>
      </c>
      <c r="B438" s="14" t="str">
        <f>IF(UPPER(D431)="X",0,IF((LEN(SUBSTITUTE(SUBSTITUTE(SUBSTITUTE(B431," ",""),"0",""),"-",""))+LEN(SUBSTITUTE(SUBSTITUTE(SUBSTITUTE(C431," ",""),"0",""),"-","")))&gt;(LEN(SUBSTITUTE(SUBSTITUTE(SUBSTITUTE(E431," ",""),"0",""),"-",""))+LEN(SUBSTITUTE(SUBSTITUTE(SUBSTITUTE(F431," ",""),"0",""),"-",""))),1,0))+IF(UPPER(D432)="X",0,IF((LEN(SUBSTITUTE(SUBSTITUTE(SUBSTITUTE(B432," ",""),"0",""),"-",""))+LEN(SUBSTITUTE(SUBSTITUTE(SUBSTITUTE(C432," ",""),"0",""),"-","")))&gt;(LEN(SUBSTITUTE(SUBSTITUTE(SUBSTITUTE(E432," ",""),"0",""),"-",""))+LEN(SUBSTITUTE(SUBSTITUTE(SUBSTITUTE(F432," ",""),"0",""),"-",""))),1,0))+IF(UPPER(D433)="X",0,IF((LEN(SUBSTITUTE(SUBSTITUTE(SUBSTITUTE(B433," ",""),"0",""),"-",""))+LEN(SUBSTITUTE(SUBSTITUTE(SUBSTITUTE(C433," ",""),"0",""),"-","")))&gt;(LEN(SUBSTITUTE(SUBSTITUTE(SUBSTITUTE(E433," ",""),"0",""),"-",""))+LEN(SUBSTITUTE(SUBSTITUTE(SUBSTITUTE(F433," ",""),"0",""),"-",""))),1,0))+IF(UPPER(D434)="X",0,IF((LEN(SUBSTITUTE(SUBSTITUTE(SUBSTITUTE(B434," ",""),"0",""),"-",""))+LEN(SUBSTITUTE(SUBSTITUTE(SUBSTITUTE(C434," ",""),"0",""),"-","")))&gt;(LEN(SUBSTITUTE(SUBSTITUTE(SUBSTITUTE(E434," ",""),"0",""),"-",""))+LEN(SUBSTITUTE(SUBSTITUTE(SUBSTITUTE(F434," ",""),"0",""),"-",""))),1,0))+IF(UPPER(D435)="X",0,IF((LEN(SUBSTITUTE(SUBSTITUTE(SUBSTITUTE(B435," ",""),"0",""),"-",""))+LEN(SUBSTITUTE(SUBSTITUTE(SUBSTITUTE(C435," ",""),"0",""),"-","")))&gt;(LEN(SUBSTITUTE(SUBSTITUTE(SUBSTITUTE(E435," ",""),"0",""),"-",""))+LEN(SUBSTITUTE(SUBSTITUTE(SUBSTITUTE(F435," ",""),"0",""),"-",""))),1,0))</f>
      </c>
      <c r="C438" s="14" t="str">
        <f>LEN(SUBSTITUTE(SUBSTITUTE(SUBSTITUTE(B431," ",""),"0",""),"-",""))+LEN(SUBSTITUTE(SUBSTITUTE(SUBSTITUTE(C431," ",""),"0",""),"-",""))+LEN(SUBSTITUTE(SUBSTITUTE(SUBSTITUTE(B432," ",""),"0",""),"-",""))+LEN(SUBSTITUTE(SUBSTITUTE(SUBSTITUTE(C432," ",""),"0",""),"-",""))+LEN(SUBSTITUTE(SUBSTITUTE(SUBSTITUTE(B433," ",""),"0",""),"-",""))+LEN(SUBSTITUTE(SUBSTITUTE(SUBSTITUTE(C433," ",""),"0",""),"-",""))+LEN(SUBSTITUTE(SUBSTITUTE(SUBSTITUTE(B434," ",""),"0",""),"-",""))+LEN(SUBSTITUTE(SUBSTITUTE(SUBSTITUTE(C434," ",""),"0",""),"-",""))+LEN(SUBSTITUTE(SUBSTITUTE(SUBSTITUTE(B435," ",""),"0",""),"-",""))+LEN(SUBSTITUTE(SUBSTITUTE(SUBSTITUTE(C435," ",""),"0",""),"-",""))</f>
      </c>
      <c r="D438" s="14"/>
      <c r="E438" s="14" t="str">
        <f>LEN(SUBSTITUTE(SUBSTITUTE(SUBSTITUTE(E431," ",""),"0",""),"-",""))+LEN(SUBSTITUTE(SUBSTITUTE(SUBSTITUTE(F431," ",""),"0",""),"-",""))+LEN(SUBSTITUTE(SUBSTITUTE(SUBSTITUTE(E432," ",""),"0",""),"-",""))+LEN(SUBSTITUTE(SUBSTITUTE(SUBSTITUTE(F432," ",""),"0",""),"-",""))+LEN(SUBSTITUTE(SUBSTITUTE(SUBSTITUTE(E433," ",""),"0",""),"-",""))+LEN(SUBSTITUTE(SUBSTITUTE(SUBSTITUTE(F433," ",""),"0",""),"-",""))+LEN(SUBSTITUTE(SUBSTITUTE(SUBSTITUTE(E434," ",""),"0",""),"-",""))+LEN(SUBSTITUTE(SUBSTITUTE(SUBSTITUTE(F434," ",""),"0",""),"-",""))+LEN(SUBSTITUTE(SUBSTITUTE(SUBSTITUTE(E435," ",""),"0",""),"-",""))+LEN(SUBSTITUTE(SUBSTITUTE(SUBSTITUTE(F435," ",""),"0",""),"-",""))</f>
      </c>
      <c r="F438" s="14" t="str">
        <f>IF(UPPER(D431)="X",0,IF((LEN(SUBSTITUTE(SUBSTITUTE(SUBSTITUTE(E431," ",""),"0",""),"-",""))+LEN(SUBSTITUTE(SUBSTITUTE(SUBSTITUTE(F431," ",""),"0",""),"-","")))&gt;(LEN(SUBSTITUTE(SUBSTITUTE(SUBSTITUTE(B431," ",""),"0",""),"-",""))+LEN(SUBSTITUTE(SUBSTITUTE(SUBSTITUTE(C431," ",""),"0",""),"-",""))),1,0))+IF(UPPER(D432)="X",0,IF((LEN(SUBSTITUTE(SUBSTITUTE(SUBSTITUTE(E432," ",""),"0",""),"-",""))+LEN(SUBSTITUTE(SUBSTITUTE(SUBSTITUTE(F432," ",""),"0",""),"-","")))&gt;(LEN(SUBSTITUTE(SUBSTITUTE(SUBSTITUTE(B432," ",""),"0",""),"-",""))+LEN(SUBSTITUTE(SUBSTITUTE(SUBSTITUTE(C432," ",""),"0",""),"-",""))),1,0))+IF(UPPER(D433)="X",0,IF((LEN(SUBSTITUTE(SUBSTITUTE(SUBSTITUTE(E433," ",""),"0",""),"-",""))+LEN(SUBSTITUTE(SUBSTITUTE(SUBSTITUTE(F433," ",""),"0",""),"-","")))&gt;(LEN(SUBSTITUTE(SUBSTITUTE(SUBSTITUTE(B433," ",""),"0",""),"-",""))+LEN(SUBSTITUTE(SUBSTITUTE(SUBSTITUTE(C433," ",""),"0",""),"-",""))),1,0))+IF(UPPER(D434)="X",0,IF((LEN(SUBSTITUTE(SUBSTITUTE(SUBSTITUTE(E434," ",""),"0",""),"-",""))+LEN(SUBSTITUTE(SUBSTITUTE(SUBSTITUTE(F434," ",""),"0",""),"-","")))&gt;(LEN(SUBSTITUTE(SUBSTITUTE(SUBSTITUTE(B434," ",""),"0",""),"-",""))+LEN(SUBSTITUTE(SUBSTITUTE(SUBSTITUTE(C434," ",""),"0",""),"-",""))),1,0))+IF(UPPER(D435)="X",0,IF((LEN(SUBSTITUTE(SUBSTITUTE(SUBSTITUTE(E435," ",""),"0",""),"-",""))+LEN(SUBSTITUTE(SUBSTITUTE(SUBSTITUTE(F435," ",""),"0",""),"-","")))&gt;(LEN(SUBSTITUTE(SUBSTITUTE(SUBSTITUTE(B435," ",""),"0",""),"-",""))+LEN(SUBSTITUTE(SUBSTITUTE(SUBSTITUTE(C435," ",""),"0",""),"-",""))),1,0))</f>
      </c>
      <c r="G438" s="14" t="s">
        <v>348</v>
      </c>
      <c r="I438" s="14" t="s">
        <v>348</v>
      </c>
      <c r="J438" s="14" t="str">
        <f>IF(UPPER(L431)="X",0,IF((LEN(SUBSTITUTE(SUBSTITUTE(SUBSTITUTE(J431," ",""),"0",""),"-",""))+LEN(SUBSTITUTE(SUBSTITUTE(SUBSTITUTE(K431," ",""),"0",""),"-","")))&gt;(LEN(SUBSTITUTE(SUBSTITUTE(SUBSTITUTE(M431," ",""),"0",""),"-",""))+LEN(SUBSTITUTE(SUBSTITUTE(SUBSTITUTE(N431," ",""),"0",""),"-",""))),1,0))+IF(UPPER(L432)="X",0,IF((LEN(SUBSTITUTE(SUBSTITUTE(SUBSTITUTE(J432," ",""),"0",""),"-",""))+LEN(SUBSTITUTE(SUBSTITUTE(SUBSTITUTE(K432," ",""),"0",""),"-","")))&gt;(LEN(SUBSTITUTE(SUBSTITUTE(SUBSTITUTE(M432," ",""),"0",""),"-",""))+LEN(SUBSTITUTE(SUBSTITUTE(SUBSTITUTE(N432," ",""),"0",""),"-",""))),1,0))+IF(UPPER(L433)="X",0,IF((LEN(SUBSTITUTE(SUBSTITUTE(SUBSTITUTE(J433," ",""),"0",""),"-",""))+LEN(SUBSTITUTE(SUBSTITUTE(SUBSTITUTE(K433," ",""),"0",""),"-","")))&gt;(LEN(SUBSTITUTE(SUBSTITUTE(SUBSTITUTE(M433," ",""),"0",""),"-",""))+LEN(SUBSTITUTE(SUBSTITUTE(SUBSTITUTE(N433," ",""),"0",""),"-",""))),1,0))+IF(UPPER(L434)="X",0,IF((LEN(SUBSTITUTE(SUBSTITUTE(SUBSTITUTE(J434," ",""),"0",""),"-",""))+LEN(SUBSTITUTE(SUBSTITUTE(SUBSTITUTE(K434," ",""),"0",""),"-","")))&gt;(LEN(SUBSTITUTE(SUBSTITUTE(SUBSTITUTE(M434," ",""),"0",""),"-",""))+LEN(SUBSTITUTE(SUBSTITUTE(SUBSTITUTE(N434," ",""),"0",""),"-",""))),1,0))+IF(UPPER(L435)="X",0,IF((LEN(SUBSTITUTE(SUBSTITUTE(SUBSTITUTE(J435," ",""),"0",""),"-",""))+LEN(SUBSTITUTE(SUBSTITUTE(SUBSTITUTE(K435," ",""),"0",""),"-","")))&gt;(LEN(SUBSTITUTE(SUBSTITUTE(SUBSTITUTE(M435," ",""),"0",""),"-",""))+LEN(SUBSTITUTE(SUBSTITUTE(SUBSTITUTE(N435," ",""),"0",""),"-",""))),1,0))</f>
      </c>
      <c r="K438" s="14" t="str">
        <f>LEN(SUBSTITUTE(SUBSTITUTE(SUBSTITUTE(J431," ",""),"0",""),"-",""))+LEN(SUBSTITUTE(SUBSTITUTE(SUBSTITUTE(K431," ",""),"0",""),"-",""))+LEN(SUBSTITUTE(SUBSTITUTE(SUBSTITUTE(J432," ",""),"0",""),"-",""))+LEN(SUBSTITUTE(SUBSTITUTE(SUBSTITUTE(K432," ",""),"0",""),"-",""))+LEN(SUBSTITUTE(SUBSTITUTE(SUBSTITUTE(J433," ",""),"0",""),"-",""))+LEN(SUBSTITUTE(SUBSTITUTE(SUBSTITUTE(K433," ",""),"0",""),"-",""))+LEN(SUBSTITUTE(SUBSTITUTE(SUBSTITUTE(J434," ",""),"0",""),"-",""))+LEN(SUBSTITUTE(SUBSTITUTE(SUBSTITUTE(K434," ",""),"0",""),"-",""))+LEN(SUBSTITUTE(SUBSTITUTE(SUBSTITUTE(J435," ",""),"0",""),"-",""))+LEN(SUBSTITUTE(SUBSTITUTE(SUBSTITUTE(K435," ",""),"0",""),"-",""))</f>
      </c>
      <c r="L438" s="14"/>
      <c r="M438" s="14" t="str">
        <f>LEN(SUBSTITUTE(SUBSTITUTE(SUBSTITUTE(M431," ",""),"0",""),"-",""))+LEN(SUBSTITUTE(SUBSTITUTE(SUBSTITUTE(N431," ",""),"0",""),"-",""))+LEN(SUBSTITUTE(SUBSTITUTE(SUBSTITUTE(M432," ",""),"0",""),"-",""))+LEN(SUBSTITUTE(SUBSTITUTE(SUBSTITUTE(N432," ",""),"0",""),"-",""))+LEN(SUBSTITUTE(SUBSTITUTE(SUBSTITUTE(M433," ",""),"0",""),"-",""))+LEN(SUBSTITUTE(SUBSTITUTE(SUBSTITUTE(N433," ",""),"0",""),"-",""))+LEN(SUBSTITUTE(SUBSTITUTE(SUBSTITUTE(M434," ",""),"0",""),"-",""))+LEN(SUBSTITUTE(SUBSTITUTE(SUBSTITUTE(N434," ",""),"0",""),"-",""))+LEN(SUBSTITUTE(SUBSTITUTE(SUBSTITUTE(M435," ",""),"0",""),"-",""))+LEN(SUBSTITUTE(SUBSTITUTE(SUBSTITUTE(N435," ",""),"0",""),"-",""))</f>
      </c>
      <c r="N438" s="14" t="str">
        <f>IF(UPPER(L431)="X",0,IF((LEN(SUBSTITUTE(SUBSTITUTE(SUBSTITUTE(M431," ",""),"0",""),"-",""))+LEN(SUBSTITUTE(SUBSTITUTE(SUBSTITUTE(N431," ",""),"0",""),"-","")))&gt;(LEN(SUBSTITUTE(SUBSTITUTE(SUBSTITUTE(J431," ",""),"0",""),"-",""))+LEN(SUBSTITUTE(SUBSTITUTE(SUBSTITUTE(K431," ",""),"0",""),"-",""))),1,0))+IF(UPPER(L432)="X",0,IF((LEN(SUBSTITUTE(SUBSTITUTE(SUBSTITUTE(M432," ",""),"0",""),"-",""))+LEN(SUBSTITUTE(SUBSTITUTE(SUBSTITUTE(N432," ",""),"0",""),"-","")))&gt;(LEN(SUBSTITUTE(SUBSTITUTE(SUBSTITUTE(J432," ",""),"0",""),"-",""))+LEN(SUBSTITUTE(SUBSTITUTE(SUBSTITUTE(K432," ",""),"0",""),"-",""))),1,0))+IF(UPPER(L433)="X",0,IF((LEN(SUBSTITUTE(SUBSTITUTE(SUBSTITUTE(M433," ",""),"0",""),"-",""))+LEN(SUBSTITUTE(SUBSTITUTE(SUBSTITUTE(N433," ",""),"0",""),"-","")))&gt;(LEN(SUBSTITUTE(SUBSTITUTE(SUBSTITUTE(J433," ",""),"0",""),"-",""))+LEN(SUBSTITUTE(SUBSTITUTE(SUBSTITUTE(K433," ",""),"0",""),"-",""))),1,0))+IF(UPPER(L434)="X",0,IF((LEN(SUBSTITUTE(SUBSTITUTE(SUBSTITUTE(M434," ",""),"0",""),"-",""))+LEN(SUBSTITUTE(SUBSTITUTE(SUBSTITUTE(N434," ",""),"0",""),"-","")))&gt;(LEN(SUBSTITUTE(SUBSTITUTE(SUBSTITUTE(J434," ",""),"0",""),"-",""))+LEN(SUBSTITUTE(SUBSTITUTE(SUBSTITUTE(K434," ",""),"0",""),"-",""))),1,0))+IF(UPPER(L435)="X",0,IF((LEN(SUBSTITUTE(SUBSTITUTE(SUBSTITUTE(M435," ",""),"0",""),"-",""))+LEN(SUBSTITUTE(SUBSTITUTE(SUBSTITUTE(N435," ",""),"0",""),"-","")))&gt;(LEN(SUBSTITUTE(SUBSTITUTE(SUBSTITUTE(J435," ",""),"0",""),"-",""))+LEN(SUBSTITUTE(SUBSTITUTE(SUBSTITUTE(K435," ",""),"0",""),"-",""))),1,0))</f>
      </c>
      <c r="O438" s="14" t="s">
        <v>348</v>
      </c>
    </row>
    <row r="441">
      <c r="F441" t="s">
        <v>253</v>
      </c>
      <c r="G441" s="19"/>
      <c r="N441" t="s">
        <v>253</v>
      </c>
      <c r="O441" s="19"/>
    </row>
    <row r="442">
      <c r="F442" t="s">
        <v>254</v>
      </c>
      <c r="G442" s="19"/>
      <c r="N442" t="s">
        <v>254</v>
      </c>
      <c r="O442" s="19"/>
    </row>
    <row r="449">
      <c r="A449" s="13" t="s">
        <v>402</v>
      </c>
      <c r="B449" s="13"/>
      <c r="C449" s="13"/>
      <c r="D449" s="13"/>
      <c r="E449" s="13"/>
      <c r="F449" s="13"/>
      <c r="G449" s="13"/>
      <c r="I449" s="13" t="s">
        <v>403</v>
      </c>
      <c r="J449" s="13"/>
      <c r="K449" s="13"/>
      <c r="L449" s="13"/>
      <c r="M449" s="13"/>
      <c r="N449" s="13"/>
      <c r="O449" s="13"/>
    </row>
    <row r="450">
      <c r="A450" s="17" t="s">
        <v>239</v>
      </c>
      <c r="D450" s="14" t="s">
        <v>240</v>
      </c>
      <c r="G450" s="16" t="s">
        <v>241</v>
      </c>
      <c r="I450" s="17" t="s">
        <v>239</v>
      </c>
      <c r="L450" s="14" t="s">
        <v>240</v>
      </c>
      <c r="O450" s="16" t="s">
        <v>241</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247</v>
      </c>
      <c r="C458" s="14" t="s">
        <v>250</v>
      </c>
      <c r="D458" s="14"/>
      <c r="E458" s="14" t="s">
        <v>250</v>
      </c>
      <c r="F458" s="14" t="s">
        <v>247</v>
      </c>
      <c r="G458" s="14" t="str">
        <f>CONCATENATE("M 47 ",G393)</f>
      </c>
      <c r="I458" s="14" t="str">
        <f>CONCATENATE("M 52 ",O409)</f>
      </c>
      <c r="J458" s="14" t="s">
        <v>247</v>
      </c>
      <c r="K458" s="14" t="s">
        <v>250</v>
      </c>
      <c r="L458" s="14"/>
      <c r="M458" s="14" t="s">
        <v>250</v>
      </c>
      <c r="N458" s="14" t="s">
        <v>247</v>
      </c>
      <c r="O458" s="14" t="str">
        <f>CONCATENATE("M 51 ",O393)</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253</v>
      </c>
      <c r="G462" s="19"/>
      <c r="N462" t="s">
        <v>253</v>
      </c>
      <c r="O462" s="19"/>
    </row>
    <row r="463">
      <c r="F463" t="s">
        <v>254</v>
      </c>
      <c r="G463" s="19"/>
      <c r="N463" t="s">
        <v>254</v>
      </c>
      <c r="O463" s="19"/>
    </row>
    <row r="465">
      <c r="A465" s="13" t="s">
        <v>404</v>
      </c>
      <c r="B465" s="13"/>
      <c r="C465" s="13"/>
      <c r="D465" s="13"/>
      <c r="E465" s="13"/>
      <c r="F465" s="13"/>
      <c r="G465" s="13"/>
      <c r="I465" s="13" t="s">
        <v>405</v>
      </c>
      <c r="J465" s="13"/>
      <c r="K465" s="13"/>
      <c r="L465" s="13"/>
      <c r="M465" s="13"/>
      <c r="N465" s="13"/>
      <c r="O465" s="13"/>
    </row>
    <row r="466">
      <c r="A466" s="17" t="s">
        <v>239</v>
      </c>
      <c r="D466" s="14" t="s">
        <v>240</v>
      </c>
      <c r="G466" s="16" t="s">
        <v>241</v>
      </c>
      <c r="I466" s="17" t="s">
        <v>239</v>
      </c>
      <c r="L466" s="14" t="s">
        <v>240</v>
      </c>
      <c r="O466" s="16" t="s">
        <v>241</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247</v>
      </c>
      <c r="C474" s="14" t="s">
        <v>250</v>
      </c>
      <c r="D474" s="14"/>
      <c r="E474" s="14" t="s">
        <v>250</v>
      </c>
      <c r="F474" s="14" t="s">
        <v>247</v>
      </c>
      <c r="G474" s="14" t="str">
        <f>CONCATENATE("M 49 ",G425)</f>
      </c>
      <c r="I474" s="14" t="str">
        <f>CONCATENATE("M 54 ",O441)</f>
      </c>
      <c r="J474" s="14" t="s">
        <v>247</v>
      </c>
      <c r="K474" s="14" t="s">
        <v>250</v>
      </c>
      <c r="L474" s="14"/>
      <c r="M474" s="14" t="s">
        <v>250</v>
      </c>
      <c r="N474" s="14" t="s">
        <v>247</v>
      </c>
      <c r="O474" s="14" t="str">
        <f>CONCATENATE("M 53 ",O425)</f>
      </c>
    </row>
    <row r="475">
      <c r="A475" s="14" t="s">
        <v>348</v>
      </c>
      <c r="B475" s="14" t="str">
        <f>IF(UPPER(D468)="X",0,IF((LEN(SUBSTITUTE(SUBSTITUTE(SUBSTITUTE(B468," ",""),"0",""),"-",""))+LEN(SUBSTITUTE(SUBSTITUTE(SUBSTITUTE(C468," ",""),"0",""),"-","")))&gt;(LEN(SUBSTITUTE(SUBSTITUTE(SUBSTITUTE(E468," ",""),"0",""),"-",""))+LEN(SUBSTITUTE(SUBSTITUTE(SUBSTITUTE(F468," ",""),"0",""),"-",""))),1,0))+IF(UPPER(D469)="X",0,IF((LEN(SUBSTITUTE(SUBSTITUTE(SUBSTITUTE(B469," ",""),"0",""),"-",""))+LEN(SUBSTITUTE(SUBSTITUTE(SUBSTITUTE(C469," ",""),"0",""),"-","")))&gt;(LEN(SUBSTITUTE(SUBSTITUTE(SUBSTITUTE(E469," ",""),"0",""),"-",""))+LEN(SUBSTITUTE(SUBSTITUTE(SUBSTITUTE(F469," ",""),"0",""),"-",""))),1,0))+IF(UPPER(D470)="X",0,IF((LEN(SUBSTITUTE(SUBSTITUTE(SUBSTITUTE(B470," ",""),"0",""),"-",""))+LEN(SUBSTITUTE(SUBSTITUTE(SUBSTITUTE(C470," ",""),"0",""),"-","")))&gt;(LEN(SUBSTITUTE(SUBSTITUTE(SUBSTITUTE(E470," ",""),"0",""),"-",""))+LEN(SUBSTITUTE(SUBSTITUTE(SUBSTITUTE(F470," ",""),"0",""),"-",""))),1,0))+IF(UPPER(D471)="X",0,IF((LEN(SUBSTITUTE(SUBSTITUTE(SUBSTITUTE(B471," ",""),"0",""),"-",""))+LEN(SUBSTITUTE(SUBSTITUTE(SUBSTITUTE(C471," ",""),"0",""),"-","")))&gt;(LEN(SUBSTITUTE(SUBSTITUTE(SUBSTITUTE(E471," ",""),"0",""),"-",""))+LEN(SUBSTITUTE(SUBSTITUTE(SUBSTITUTE(F471," ",""),"0",""),"-",""))),1,0))+IF(UPPER(D472)="X",0,IF((LEN(SUBSTITUTE(SUBSTITUTE(SUBSTITUTE(B472," ",""),"0",""),"-",""))+LEN(SUBSTITUTE(SUBSTITUTE(SUBSTITUTE(C472," ",""),"0",""),"-","")))&gt;(LEN(SUBSTITUTE(SUBSTITUTE(SUBSTITUTE(E472," ",""),"0",""),"-",""))+LEN(SUBSTITUTE(SUBSTITUTE(SUBSTITUTE(F472," ",""),"0",""),"-",""))),1,0))</f>
      </c>
      <c r="C475" s="14" t="str">
        <f>LEN(SUBSTITUTE(SUBSTITUTE(SUBSTITUTE(B468," ",""),"0",""),"-",""))+LEN(SUBSTITUTE(SUBSTITUTE(SUBSTITUTE(C468," ",""),"0",""),"-",""))+LEN(SUBSTITUTE(SUBSTITUTE(SUBSTITUTE(B469," ",""),"0",""),"-",""))+LEN(SUBSTITUTE(SUBSTITUTE(SUBSTITUTE(C469," ",""),"0",""),"-",""))+LEN(SUBSTITUTE(SUBSTITUTE(SUBSTITUTE(B470," ",""),"0",""),"-",""))+LEN(SUBSTITUTE(SUBSTITUTE(SUBSTITUTE(C470," ",""),"0",""),"-",""))+LEN(SUBSTITUTE(SUBSTITUTE(SUBSTITUTE(B471," ",""),"0",""),"-",""))+LEN(SUBSTITUTE(SUBSTITUTE(SUBSTITUTE(C471," ",""),"0",""),"-",""))+LEN(SUBSTITUTE(SUBSTITUTE(SUBSTITUTE(B472," ",""),"0",""),"-",""))+LEN(SUBSTITUTE(SUBSTITUTE(SUBSTITUTE(C472," ",""),"0",""),"-",""))</f>
      </c>
      <c r="D475" s="14"/>
      <c r="E475" s="14" t="str">
        <f>LEN(SUBSTITUTE(SUBSTITUTE(SUBSTITUTE(E468," ",""),"0",""),"-",""))+LEN(SUBSTITUTE(SUBSTITUTE(SUBSTITUTE(F468," ",""),"0",""),"-",""))+LEN(SUBSTITUTE(SUBSTITUTE(SUBSTITUTE(E469," ",""),"0",""),"-",""))+LEN(SUBSTITUTE(SUBSTITUTE(SUBSTITUTE(F469," ",""),"0",""),"-",""))+LEN(SUBSTITUTE(SUBSTITUTE(SUBSTITUTE(E470," ",""),"0",""),"-",""))+LEN(SUBSTITUTE(SUBSTITUTE(SUBSTITUTE(F470," ",""),"0",""),"-",""))+LEN(SUBSTITUTE(SUBSTITUTE(SUBSTITUTE(E471," ",""),"0",""),"-",""))+LEN(SUBSTITUTE(SUBSTITUTE(SUBSTITUTE(F471," ",""),"0",""),"-",""))+LEN(SUBSTITUTE(SUBSTITUTE(SUBSTITUTE(E472," ",""),"0",""),"-",""))+LEN(SUBSTITUTE(SUBSTITUTE(SUBSTITUTE(F472," ",""),"0",""),"-",""))</f>
      </c>
      <c r="F475" s="14" t="str">
        <f>IF(UPPER(D468)="X",0,IF((LEN(SUBSTITUTE(SUBSTITUTE(SUBSTITUTE(E468," ",""),"0",""),"-",""))+LEN(SUBSTITUTE(SUBSTITUTE(SUBSTITUTE(F468," ",""),"0",""),"-","")))&gt;(LEN(SUBSTITUTE(SUBSTITUTE(SUBSTITUTE(B468," ",""),"0",""),"-",""))+LEN(SUBSTITUTE(SUBSTITUTE(SUBSTITUTE(C468," ",""),"0",""),"-",""))),1,0))+IF(UPPER(D469)="X",0,IF((LEN(SUBSTITUTE(SUBSTITUTE(SUBSTITUTE(E469," ",""),"0",""),"-",""))+LEN(SUBSTITUTE(SUBSTITUTE(SUBSTITUTE(F469," ",""),"0",""),"-","")))&gt;(LEN(SUBSTITUTE(SUBSTITUTE(SUBSTITUTE(B469," ",""),"0",""),"-",""))+LEN(SUBSTITUTE(SUBSTITUTE(SUBSTITUTE(C469," ",""),"0",""),"-",""))),1,0))+IF(UPPER(D470)="X",0,IF((LEN(SUBSTITUTE(SUBSTITUTE(SUBSTITUTE(E470," ",""),"0",""),"-",""))+LEN(SUBSTITUTE(SUBSTITUTE(SUBSTITUTE(F470," ",""),"0",""),"-","")))&gt;(LEN(SUBSTITUTE(SUBSTITUTE(SUBSTITUTE(B470," ",""),"0",""),"-",""))+LEN(SUBSTITUTE(SUBSTITUTE(SUBSTITUTE(C470," ",""),"0",""),"-",""))),1,0))+IF(UPPER(D471)="X",0,IF((LEN(SUBSTITUTE(SUBSTITUTE(SUBSTITUTE(E471," ",""),"0",""),"-",""))+LEN(SUBSTITUTE(SUBSTITUTE(SUBSTITUTE(F471," ",""),"0",""),"-","")))&gt;(LEN(SUBSTITUTE(SUBSTITUTE(SUBSTITUTE(B471," ",""),"0",""),"-",""))+LEN(SUBSTITUTE(SUBSTITUTE(SUBSTITUTE(C471," ",""),"0",""),"-",""))),1,0))+IF(UPPER(D472)="X",0,IF((LEN(SUBSTITUTE(SUBSTITUTE(SUBSTITUTE(E472," ",""),"0",""),"-",""))+LEN(SUBSTITUTE(SUBSTITUTE(SUBSTITUTE(F472," ",""),"0",""),"-","")))&gt;(LEN(SUBSTITUTE(SUBSTITUTE(SUBSTITUTE(B472," ",""),"0",""),"-",""))+LEN(SUBSTITUTE(SUBSTITUTE(SUBSTITUTE(C472," ",""),"0",""),"-",""))),1,0))</f>
      </c>
      <c r="G475" s="14" t="s">
        <v>348</v>
      </c>
      <c r="I475" s="14" t="s">
        <v>348</v>
      </c>
      <c r="J475" s="14" t="str">
        <f>IF(UPPER(L468)="X",0,IF((LEN(SUBSTITUTE(SUBSTITUTE(SUBSTITUTE(J468," ",""),"0",""),"-",""))+LEN(SUBSTITUTE(SUBSTITUTE(SUBSTITUTE(K468," ",""),"0",""),"-","")))&gt;(LEN(SUBSTITUTE(SUBSTITUTE(SUBSTITUTE(M468," ",""),"0",""),"-",""))+LEN(SUBSTITUTE(SUBSTITUTE(SUBSTITUTE(N468," ",""),"0",""),"-",""))),1,0))+IF(UPPER(L469)="X",0,IF((LEN(SUBSTITUTE(SUBSTITUTE(SUBSTITUTE(J469," ",""),"0",""),"-",""))+LEN(SUBSTITUTE(SUBSTITUTE(SUBSTITUTE(K469," ",""),"0",""),"-","")))&gt;(LEN(SUBSTITUTE(SUBSTITUTE(SUBSTITUTE(M469," ",""),"0",""),"-",""))+LEN(SUBSTITUTE(SUBSTITUTE(SUBSTITUTE(N469," ",""),"0",""),"-",""))),1,0))+IF(UPPER(L470)="X",0,IF((LEN(SUBSTITUTE(SUBSTITUTE(SUBSTITUTE(J470," ",""),"0",""),"-",""))+LEN(SUBSTITUTE(SUBSTITUTE(SUBSTITUTE(K470," ",""),"0",""),"-","")))&gt;(LEN(SUBSTITUTE(SUBSTITUTE(SUBSTITUTE(M470," ",""),"0",""),"-",""))+LEN(SUBSTITUTE(SUBSTITUTE(SUBSTITUTE(N470," ",""),"0",""),"-",""))),1,0))+IF(UPPER(L471)="X",0,IF((LEN(SUBSTITUTE(SUBSTITUTE(SUBSTITUTE(J471," ",""),"0",""),"-",""))+LEN(SUBSTITUTE(SUBSTITUTE(SUBSTITUTE(K471," ",""),"0",""),"-","")))&gt;(LEN(SUBSTITUTE(SUBSTITUTE(SUBSTITUTE(M471," ",""),"0",""),"-",""))+LEN(SUBSTITUTE(SUBSTITUTE(SUBSTITUTE(N471," ",""),"0",""),"-",""))),1,0))+IF(UPPER(L472)="X",0,IF((LEN(SUBSTITUTE(SUBSTITUTE(SUBSTITUTE(J472," ",""),"0",""),"-",""))+LEN(SUBSTITUTE(SUBSTITUTE(SUBSTITUTE(K472," ",""),"0",""),"-","")))&gt;(LEN(SUBSTITUTE(SUBSTITUTE(SUBSTITUTE(M472," ",""),"0",""),"-",""))+LEN(SUBSTITUTE(SUBSTITUTE(SUBSTITUTE(N472," ",""),"0",""),"-",""))),1,0))</f>
      </c>
      <c r="K475" s="14" t="str">
        <f>LEN(SUBSTITUTE(SUBSTITUTE(SUBSTITUTE(J468," ",""),"0",""),"-",""))+LEN(SUBSTITUTE(SUBSTITUTE(SUBSTITUTE(K468," ",""),"0",""),"-",""))+LEN(SUBSTITUTE(SUBSTITUTE(SUBSTITUTE(J469," ",""),"0",""),"-",""))+LEN(SUBSTITUTE(SUBSTITUTE(SUBSTITUTE(K469," ",""),"0",""),"-",""))+LEN(SUBSTITUTE(SUBSTITUTE(SUBSTITUTE(J470," ",""),"0",""),"-",""))+LEN(SUBSTITUTE(SUBSTITUTE(SUBSTITUTE(K470," ",""),"0",""),"-",""))+LEN(SUBSTITUTE(SUBSTITUTE(SUBSTITUTE(J471," ",""),"0",""),"-",""))+LEN(SUBSTITUTE(SUBSTITUTE(SUBSTITUTE(K471," ",""),"0",""),"-",""))+LEN(SUBSTITUTE(SUBSTITUTE(SUBSTITUTE(J472," ",""),"0",""),"-",""))+LEN(SUBSTITUTE(SUBSTITUTE(SUBSTITUTE(K472," ",""),"0",""),"-",""))</f>
      </c>
      <c r="L475" s="14"/>
      <c r="M475" s="14" t="str">
        <f>LEN(SUBSTITUTE(SUBSTITUTE(SUBSTITUTE(M468," ",""),"0",""),"-",""))+LEN(SUBSTITUTE(SUBSTITUTE(SUBSTITUTE(N468," ",""),"0",""),"-",""))+LEN(SUBSTITUTE(SUBSTITUTE(SUBSTITUTE(M469," ",""),"0",""),"-",""))+LEN(SUBSTITUTE(SUBSTITUTE(SUBSTITUTE(N469," ",""),"0",""),"-",""))+LEN(SUBSTITUTE(SUBSTITUTE(SUBSTITUTE(M470," ",""),"0",""),"-",""))+LEN(SUBSTITUTE(SUBSTITUTE(SUBSTITUTE(N470," ",""),"0",""),"-",""))+LEN(SUBSTITUTE(SUBSTITUTE(SUBSTITUTE(M471," ",""),"0",""),"-",""))+LEN(SUBSTITUTE(SUBSTITUTE(SUBSTITUTE(N471," ",""),"0",""),"-",""))+LEN(SUBSTITUTE(SUBSTITUTE(SUBSTITUTE(M472," ",""),"0",""),"-",""))+LEN(SUBSTITUTE(SUBSTITUTE(SUBSTITUTE(N472," ",""),"0",""),"-",""))</f>
      </c>
      <c r="N475" s="14" t="str">
        <f>IF(UPPER(L468)="X",0,IF((LEN(SUBSTITUTE(SUBSTITUTE(SUBSTITUTE(M468," ",""),"0",""),"-",""))+LEN(SUBSTITUTE(SUBSTITUTE(SUBSTITUTE(N468," ",""),"0",""),"-","")))&gt;(LEN(SUBSTITUTE(SUBSTITUTE(SUBSTITUTE(J468," ",""),"0",""),"-",""))+LEN(SUBSTITUTE(SUBSTITUTE(SUBSTITUTE(K468," ",""),"0",""),"-",""))),1,0))+IF(UPPER(L469)="X",0,IF((LEN(SUBSTITUTE(SUBSTITUTE(SUBSTITUTE(M469," ",""),"0",""),"-",""))+LEN(SUBSTITUTE(SUBSTITUTE(SUBSTITUTE(N469," ",""),"0",""),"-","")))&gt;(LEN(SUBSTITUTE(SUBSTITUTE(SUBSTITUTE(J469," ",""),"0",""),"-",""))+LEN(SUBSTITUTE(SUBSTITUTE(SUBSTITUTE(K469," ",""),"0",""),"-",""))),1,0))+IF(UPPER(L470)="X",0,IF((LEN(SUBSTITUTE(SUBSTITUTE(SUBSTITUTE(M470," ",""),"0",""),"-",""))+LEN(SUBSTITUTE(SUBSTITUTE(SUBSTITUTE(N470," ",""),"0",""),"-","")))&gt;(LEN(SUBSTITUTE(SUBSTITUTE(SUBSTITUTE(J470," ",""),"0",""),"-",""))+LEN(SUBSTITUTE(SUBSTITUTE(SUBSTITUTE(K470," ",""),"0",""),"-",""))),1,0))+IF(UPPER(L471)="X",0,IF((LEN(SUBSTITUTE(SUBSTITUTE(SUBSTITUTE(M471," ",""),"0",""),"-",""))+LEN(SUBSTITUTE(SUBSTITUTE(SUBSTITUTE(N471," ",""),"0",""),"-","")))&gt;(LEN(SUBSTITUTE(SUBSTITUTE(SUBSTITUTE(J471," ",""),"0",""),"-",""))+LEN(SUBSTITUTE(SUBSTITUTE(SUBSTITUTE(K471," ",""),"0",""),"-",""))),1,0))+IF(UPPER(L472)="X",0,IF((LEN(SUBSTITUTE(SUBSTITUTE(SUBSTITUTE(M472," ",""),"0",""),"-",""))+LEN(SUBSTITUTE(SUBSTITUTE(SUBSTITUTE(N472," ",""),"0",""),"-","")))&gt;(LEN(SUBSTITUTE(SUBSTITUTE(SUBSTITUTE(J472," ",""),"0",""),"-",""))+LEN(SUBSTITUTE(SUBSTITUTE(SUBSTITUTE(K472," ",""),"0",""),"-",""))),1,0))</f>
      </c>
      <c r="O475" s="14" t="s">
        <v>348</v>
      </c>
    </row>
    <row r="478">
      <c r="F478" t="s">
        <v>253</v>
      </c>
      <c r="G478" s="19"/>
      <c r="N478" t="s">
        <v>253</v>
      </c>
      <c r="O478" s="19"/>
    </row>
    <row r="479">
      <c r="F479" t="s">
        <v>254</v>
      </c>
      <c r="G479" s="19"/>
      <c r="N479" t="s">
        <v>254</v>
      </c>
      <c r="O479" s="19"/>
    </row>
    <row r="486">
      <c r="A486" s="13" t="s">
        <v>406</v>
      </c>
      <c r="B486" s="13"/>
      <c r="C486" s="13"/>
      <c r="D486" s="13"/>
      <c r="E486" s="13"/>
      <c r="F486" s="13"/>
      <c r="G486" s="13"/>
      <c r="I486" s="13" t="s">
        <v>407</v>
      </c>
      <c r="J486" s="13"/>
      <c r="K486" s="13"/>
      <c r="L486" s="13"/>
      <c r="M486" s="13"/>
      <c r="N486" s="13"/>
      <c r="O486" s="13"/>
    </row>
    <row r="487">
      <c r="A487" s="17" t="s">
        <v>239</v>
      </c>
      <c r="D487" s="14" t="s">
        <v>240</v>
      </c>
      <c r="G487" s="16" t="s">
        <v>241</v>
      </c>
      <c r="I487" s="17" t="s">
        <v>239</v>
      </c>
      <c r="L487" s="14" t="s">
        <v>240</v>
      </c>
      <c r="O487" s="16" t="s">
        <v>241</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247</v>
      </c>
      <c r="C495" s="14" t="s">
        <v>250</v>
      </c>
      <c r="D495" s="14"/>
      <c r="E495" s="14" t="s">
        <v>250</v>
      </c>
      <c r="F495" s="14" t="s">
        <v>247</v>
      </c>
      <c r="G495" s="14" t="str">
        <f>CONCATENATE("M 55 ",G462)</f>
      </c>
      <c r="I495" s="14" t="str">
        <f>CONCATENATE("M 58 ",O478)</f>
      </c>
      <c r="J495" s="14" t="s">
        <v>247</v>
      </c>
      <c r="K495" s="14" t="s">
        <v>250</v>
      </c>
      <c r="L495" s="14"/>
      <c r="M495" s="14" t="s">
        <v>250</v>
      </c>
      <c r="N495" s="14" t="s">
        <v>247</v>
      </c>
      <c r="O495" s="14" t="str">
        <f>CONCATENATE("M 57 ",O462)</f>
      </c>
    </row>
    <row r="496">
      <c r="A496" s="14" t="s">
        <v>348</v>
      </c>
      <c r="B496" s="14" t="str">
        <f>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",""),"0",""),"-",""))),1,0))+IF(UPPER(D493)="X",0,IF((LEN(SUBSTITUTE(SUBSTITUTE(SUBSTITUTE(B493," ",""),"0",""),"-",""))+LEN(SUBSTITUTE(SUBSTITUTE(SUBSTITUTE(C493," ",""),"0",""),"-","")))&gt;(LEN(SUBSTITUTE(SUBSTITUTE(SUBSTITUTE(E493," ",""),"0",""),"-",""))+LEN(SUBSTITUTE(SUBSTITUTE(SUBSTITUTE(F493," ",""),"0",""),"-",""))),1,0))</f>
      </c>
      <c r="C496" s="14" t="str">
        <f>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",""),"0",""),"-",""))+LEN(SUBSTITUTE(SUBSTITUTE(SUBSTITUTE(B493," ",""),"0",""),"-",""))+LEN(SUBSTITUTE(SUBSTITUTE(SUBSTITUTE(C493," ",""),"0",""),"-",""))</f>
      </c>
      <c r="D496" s="14"/>
      <c r="E496" s="14" t="str">
        <f>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",""),"0",""),"-",""))+LEN(SUBSTITUTE(SUBSTITUTE(SUBSTITUTE(E493," ",""),"0",""),"-",""))+LEN(SUBSTITUTE(SUBSTITUTE(SUBSTITUTE(F493," ",""),"0",""),"-",""))</f>
      </c>
      <c r="F496" s="14" t="str">
        <f>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",""),"0",""),"-",""))),1,0))+IF(UPPER(D493)="X",0,IF((LEN(SUBSTITUTE(SUBSTITUTE(SUBSTITUTE(E493," ",""),"0",""),"-",""))+LEN(SUBSTITUTE(SUBSTITUTE(SUBSTITUTE(F493," ",""),"0",""),"-","")))&gt;(LEN(SUBSTITUTE(SUBSTITUTE(SUBSTITUTE(B493," ",""),"0",""),"-",""))+LEN(SUBSTITUTE(SUBSTITUTE(SUBSTITUTE(C493," ",""),"0",""),"-",""))),1,0))</f>
      </c>
      <c r="G496" s="14" t="s">
        <v>348</v>
      </c>
      <c r="I496" s="14" t="s">
        <v>348</v>
      </c>
      <c r="J496" s="14" t="str">
        <f>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",""),"0",""),"-",""))),1,0))+IF(UPPER(L493)="X",0,IF((LEN(SUBSTITUTE(SUBSTITUTE(SUBSTITUTE(J493," ",""),"0",""),"-",""))+LEN(SUBSTITUTE(SUBSTITUTE(SUBSTITUTE(K493," ",""),"0",""),"-","")))&gt;(LEN(SUBSTITUTE(SUBSTITUTE(SUBSTITUTE(M493," ",""),"0",""),"-",""))+LEN(SUBSTITUTE(SUBSTITUTE(SUBSTITUTE(N493," ",""),"0",""),"-",""))),1,0))</f>
      </c>
      <c r="K496" s="14" t="str">
        <f>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",""),"0",""),"-",""))+LEN(SUBSTITUTE(SUBSTITUTE(SUBSTITUTE(J493," ",""),"0",""),"-",""))+LEN(SUBSTITUTE(SUBSTITUTE(SUBSTITUTE(K493," ",""),"0",""),"-",""))</f>
      </c>
      <c r="L496" s="14"/>
      <c r="M496" s="14" t="str">
        <f>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",""),"0",""),"-",""))+LEN(SUBSTITUTE(SUBSTITUTE(SUBSTITUTE(M493," ",""),"0",""),"-",""))+LEN(SUBSTITUTE(SUBSTITUTE(SUBSTITUTE(N493," ",""),"0",""),"-",""))</f>
      </c>
      <c r="N496" s="14" t="str">
        <f>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",""),"0",""),"-",""))),1,0))+IF(UPPER(L493)="X",0,IF((LEN(SUBSTITUTE(SUBSTITUTE(SUBSTITUTE(M493," ",""),"0",""),"-",""))+LEN(SUBSTITUTE(SUBSTITUTE(SUBSTITUTE(N493," ",""),"0",""),"-","")))&gt;(LEN(SUBSTITUTE(SUBSTITUTE(SUBSTITUTE(J493," ",""),"0",""),"-",""))+LEN(SUBSTITUTE(SUBSTITUTE(SUBSTITUTE(K493," ",""),"0",""),"-",""))),1,0))</f>
      </c>
      <c r="O496" s="14" t="s">
        <v>348</v>
      </c>
    </row>
    <row r="499">
      <c r="F499" t="s">
        <v>253</v>
      </c>
      <c r="G499" s="19"/>
      <c r="N499" t="s">
        <v>253</v>
      </c>
      <c r="O499" s="19"/>
    </row>
    <row r="500">
      <c r="F500" t="s">
        <v>254</v>
      </c>
      <c r="G500" s="19"/>
      <c r="N500" t="s">
        <v>254</v>
      </c>
      <c r="O500" s="19"/>
    </row>
    <row r="507">
      <c r="A507" s="13" t="s">
        <v>408</v>
      </c>
      <c r="B507" s="13"/>
      <c r="C507" s="13"/>
      <c r="D507" s="13"/>
      <c r="E507" s="13"/>
      <c r="F507" s="13"/>
      <c r="G507" s="13"/>
    </row>
    <row r="508">
      <c r="A508" s="17" t="s">
        <v>239</v>
      </c>
      <c r="D508" s="14" t="s">
        <v>240</v>
      </c>
      <c r="G508" s="16" t="s">
        <v>241</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247</v>
      </c>
      <c r="C516" s="14" t="s">
        <v>250</v>
      </c>
      <c r="D516" s="14"/>
      <c r="E516" s="14" t="s">
        <v>250</v>
      </c>
      <c r="F516" s="14" t="s">
        <v>247</v>
      </c>
      <c r="G516" s="14" t="str">
        <f>CONCATENATE("M 59 ",G499)</f>
      </c>
    </row>
    <row r="517">
      <c r="A517" s="14" t="s">
        <v>348</v>
      </c>
      <c r="B517" s="14" t="str">
        <f>IF(UPPER(D510)="X",0,IF((LEN(SUBSTITUTE(SUBSTITUTE(SUBSTITUTE(B510," ",""),"0",""),"-",""))+LEN(SUBSTITUTE(SUBSTITUTE(SUBSTITUTE(C510," ",""),"0",""),"-","")))&gt;(LEN(SUBSTITUTE(SUBSTITUTE(SUBSTITUTE(E510," ",""),"0",""),"-",""))+LEN(SUBSTITUTE(SUBSTITUTE(SUBSTITUTE(F510," ",""),"0",""),"-",""))),1,0))+IF(UPPER(D511)="X",0,IF((LEN(SUBSTITUTE(SUBSTITUTE(SUBSTITUTE(B511," ",""),"0",""),"-",""))+LEN(SUBSTITUTE(SUBSTITUTE(SUBSTITUTE(C511," ",""),"0",""),"-","")))&gt;(LEN(SUBSTITUTE(SUBSTITUTE(SUBSTITUTE(E511," ",""),"0",""),"-",""))+LEN(SUBSTITUTE(SUBSTITUTE(SUBSTITUTE(F511," ",""),"0",""),"-",""))),1,0))+IF(UPPER(D512)="X",0,IF((LEN(SUBSTITUTE(SUBSTITUTE(SUBSTITUTE(B512," ",""),"0",""),"-",""))+LEN(SUBSTITUTE(SUBSTITUTE(SUBSTITUTE(C512," ",""),"0",""),"-","")))&gt;(LEN(SUBSTITUTE(SUBSTITUTE(SUBSTITUTE(E512," ",""),"0",""),"-",""))+LEN(SUBSTITUTE(SUBSTITUTE(SUBSTITUTE(F512," ",""),"0",""),"-",""))),1,0))+IF(UPPER(D513)="X",0,IF((LEN(SUBSTITUTE(SUBSTITUTE(SUBSTITUTE(B513," ",""),"0",""),"-",""))+LEN(SUBSTITUTE(SUBSTITUTE(SUBSTITUTE(C513," ",""),"0",""),"-","")))&gt;(LEN(SUBSTITUTE(SUBSTITUTE(SUBSTITUTE(E513," ",""),"0",""),"-",""))+LEN(SUBSTITUTE(SUBSTITUTE(SUBSTITUTE(F513," ",""),"0",""),"-",""))),1,0))+IF(UPPER(D514)="X",0,IF((LEN(SUBSTITUTE(SUBSTITUTE(SUBSTITUTE(B514," ",""),"0",""),"-",""))+LEN(SUBSTITUTE(SUBSTITUTE(SUBSTITUTE(C514," ",""),"0",""),"-","")))&gt;(LEN(SUBSTITUTE(SUBSTITUTE(SUBSTITUTE(E514," ",""),"0",""),"-",""))+LEN(SUBSTITUTE(SUBSTITUTE(SUBSTITUTE(F514," ",""),"0",""),"-",""))),1,0))</f>
      </c>
      <c r="C517" s="14" t="str">
        <f>LEN(SUBSTITUTE(SUBSTITUTE(SUBSTITUTE(B510," ",""),"0",""),"-",""))+LEN(SUBSTITUTE(SUBSTITUTE(SUBSTITUTE(C510," ",""),"0",""),"-",""))+LEN(SUBSTITUTE(SUBSTITUTE(SUBSTITUTE(B511," ",""),"0",""),"-",""))+LEN(SUBSTITUTE(SUBSTITUTE(SUBSTITUTE(C511," ",""),"0",""),"-",""))+LEN(SUBSTITUTE(SUBSTITUTE(SUBSTITUTE(B512," ",""),"0",""),"-",""))+LEN(SUBSTITUTE(SUBSTITUTE(SUBSTITUTE(C512," ",""),"0",""),"-",""))+LEN(SUBSTITUTE(SUBSTITUTE(SUBSTITUTE(B513," ",""),"0",""),"-",""))+LEN(SUBSTITUTE(SUBSTITUTE(SUBSTITUTE(C513," ",""),"0",""),"-",""))+LEN(SUBSTITUTE(SUBSTITUTE(SUBSTITUTE(B514," ",""),"0",""),"-",""))+LEN(SUBSTITUTE(SUBSTITUTE(SUBSTITUTE(C514," ",""),"0",""),"-",""))</f>
      </c>
      <c r="D517" s="14"/>
      <c r="E517" s="14" t="str">
        <f>LEN(SUBSTITUTE(SUBSTITUTE(SUBSTITUTE(E510," ",""),"0",""),"-",""))+LEN(SUBSTITUTE(SUBSTITUTE(SUBSTITUTE(F510," ",""),"0",""),"-",""))+LEN(SUBSTITUTE(SUBSTITUTE(SUBSTITUTE(E511," ",""),"0",""),"-",""))+LEN(SUBSTITUTE(SUBSTITUTE(SUBSTITUTE(F511," ",""),"0",""),"-",""))+LEN(SUBSTITUTE(SUBSTITUTE(SUBSTITUTE(E512," ",""),"0",""),"-",""))+LEN(SUBSTITUTE(SUBSTITUTE(SUBSTITUTE(F512," ",""),"0",""),"-",""))+LEN(SUBSTITUTE(SUBSTITUTE(SUBSTITUTE(E513," ",""),"0",""),"-",""))+LEN(SUBSTITUTE(SUBSTITUTE(SUBSTITUTE(F513," ",""),"0",""),"-",""))+LEN(SUBSTITUTE(SUBSTITUTE(SUBSTITUTE(E514," ",""),"0",""),"-",""))+LEN(SUBSTITUTE(SUBSTITUTE(SUBSTITUTE(F514," ",""),"0",""),"-",""))</f>
      </c>
      <c r="F517" s="14" t="str">
        <f>IF(UPPER(D510)="X",0,IF((LEN(SUBSTITUTE(SUBSTITUTE(SUBSTITUTE(E510," ",""),"0",""),"-",""))+LEN(SUBSTITUTE(SUBSTITUTE(SUBSTITUTE(F510," ",""),"0",""),"-","")))&gt;(LEN(SUBSTITUTE(SUBSTITUTE(SUBSTITUTE(B510," ",""),"0",""),"-",""))+LEN(SUBSTITUTE(SUBSTITUTE(SUBSTITUTE(C510," ",""),"0",""),"-",""))),1,0))+IF(UPPER(D511)="X",0,IF((LEN(SUBSTITUTE(SUBSTITUTE(SUBSTITUTE(E511," ",""),"0",""),"-",""))+LEN(SUBSTITUTE(SUBSTITUTE(SUBSTITUTE(F511," ",""),"0",""),"-","")))&gt;(LEN(SUBSTITUTE(SUBSTITUTE(SUBSTITUTE(B511," ",""),"0",""),"-",""))+LEN(SUBSTITUTE(SUBSTITUTE(SUBSTITUTE(C511," ",""),"0",""),"-",""))),1,0))+IF(UPPER(D512)="X",0,IF((LEN(SUBSTITUTE(SUBSTITUTE(SUBSTITUTE(E512," ",""),"0",""),"-",""))+LEN(SUBSTITUTE(SUBSTITUTE(SUBSTITUTE(F512," ",""),"0",""),"-","")))&gt;(LEN(SUBSTITUTE(SUBSTITUTE(SUBSTITUTE(B512," ",""),"0",""),"-",""))+LEN(SUBSTITUTE(SUBSTITUTE(SUBSTITUTE(C512," ",""),"0",""),"-",""))),1,0))+IF(UPPER(D513)="X",0,IF((LEN(SUBSTITUTE(SUBSTITUTE(SUBSTITUTE(E513," ",""),"0",""),"-",""))+LEN(SUBSTITUTE(SUBSTITUTE(SUBSTITUTE(F513," ",""),"0",""),"-","")))&gt;(LEN(SUBSTITUTE(SUBSTITUTE(SUBSTITUTE(B513," ",""),"0",""),"-",""))+LEN(SUBSTITUTE(SUBSTITUTE(SUBSTITUTE(C513," ",""),"0",""),"-",""))),1,0))+IF(UPPER(D514)="X",0,IF((LEN(SUBSTITUTE(SUBSTITUTE(SUBSTITUTE(E514," ",""),"0",""),"-",""))+LEN(SUBSTITUTE(SUBSTITUTE(SUBSTITUTE(F514," ",""),"0",""),"-","")))&gt;(LEN(SUBSTITUTE(SUBSTITUTE(SUBSTITUTE(B514," ",""),"0",""),"-",""))+LEN(SUBSTITUTE(SUBSTITUTE(SUBSTITUTE(C514," ",""),"0",""),"-",""))),1,0))</f>
      </c>
      <c r="G517" s="14" t="s">
        <v>348</v>
      </c>
    </row>
    <row r="520">
      <c r="F520" t="s">
        <v>253</v>
      </c>
      <c r="G520" s="19"/>
    </row>
    <row r="521">
      <c r="F521" t="s">
        <v>254</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"1. " &amp; data!$B$3</f>
      </c>
    </row>
    <row r="6">
      <c r="A6" s="26" t="str">
        <f>"2. " &amp; data!$B$4</f>
      </c>
      <c r="E6" s="23" t="str">
        <f>CONCATENATE("Pool A-1st ",'Pool Matches'!G40)</f>
      </c>
    </row>
    <row r="7">
      <c r="A7" s="27" t="str">
        <f>"3. " &amp; data!$B$5</f>
      </c>
      <c r="F7" s="22"/>
      <c r="G7" s="20"/>
    </row>
    <row r="8">
      <c r="A8" s="22"/>
      <c r="G8" s="21">
        <v>31</v>
      </c>
    </row>
    <row r="9">
      <c r="A9" s="24" t="str">
        <f>'data'!$A$8</f>
      </c>
      <c r="C9" s="23" t="str">
        <f>CONCATENATE("Pool C-1st ",'Pool Matches'!G126)</f>
      </c>
      <c r="G9" s="20"/>
      <c r="H9" s="22"/>
      <c r="I9" s="20"/>
    </row>
    <row r="10">
      <c r="A10" s="25" t="str">
        <f>"1. " &amp; data!$B$6</f>
      </c>
      <c r="D10" s="22"/>
      <c r="E10" s="21">
        <v>1</v>
      </c>
      <c r="F10" s="15"/>
      <c r="G10" s="20"/>
      <c r="I10" s="20"/>
    </row>
    <row r="11">
      <c r="A11" s="26" t="str">
        <f>"2. " &amp; data!$B$7</f>
      </c>
      <c r="C11" s="23" t="str">
        <f>CONCATENATE("Pool B-2nd ",'Pool Matches'!G84)</f>
      </c>
      <c r="D11" s="15"/>
      <c r="E11" s="20"/>
      <c r="I11" s="20"/>
    </row>
    <row r="12">
      <c r="A12" s="27" t="str">
        <f>"3. " &amp; data!$B$8</f>
      </c>
      <c r="I12" s="21">
        <v>47</v>
      </c>
    </row>
    <row r="13">
      <c r="A13" s="22"/>
      <c r="C13" s="23" t="str">
        <f>CONCATENATE("Pool E-1st ",'Pool Matches'!G212)</f>
      </c>
      <c r="I13" s="20"/>
      <c r="J13" s="22"/>
      <c r="K13" s="20"/>
    </row>
    <row r="14">
      <c r="A14" s="24" t="str">
        <f>'data'!$A$11</f>
      </c>
      <c r="D14" s="22"/>
      <c r="E14" s="21">
        <v>2</v>
      </c>
      <c r="I14" s="20"/>
      <c r="K14" s="20"/>
    </row>
    <row r="15">
      <c r="A15" s="25" t="str">
        <f>"1. " &amp; data!$B$9</f>
      </c>
      <c r="C15" s="23" t="str">
        <f>CONCATENATE("Pool D-2nd ",'Pool Matches'!G170)</f>
      </c>
      <c r="D15" s="15"/>
      <c r="E15" s="20"/>
      <c r="F15" s="22"/>
      <c r="G15" s="20"/>
      <c r="I15" s="20"/>
      <c r="K15" s="20"/>
    </row>
    <row r="16">
      <c r="A16" s="26" t="str">
        <f>"2. " &amp; data!$B$10</f>
      </c>
      <c r="G16" s="21">
        <v>32</v>
      </c>
      <c r="H16" s="15"/>
      <c r="I16" s="20"/>
      <c r="K16" s="20"/>
    </row>
    <row r="17">
      <c r="A17" s="27" t="str">
        <f>"3. " &amp; data!$B$11</f>
      </c>
      <c r="C17" s="23" t="str">
        <f>CONCATENATE("Pool G-1st ",'Pool Matches'!G298)</f>
      </c>
      <c r="G17" s="20"/>
      <c r="K17" s="20"/>
    </row>
    <row r="18">
      <c r="A18" s="22"/>
      <c r="D18" s="22"/>
      <c r="E18" s="21">
        <v>3</v>
      </c>
      <c r="F18" s="15"/>
      <c r="G18" s="20"/>
      <c r="K18" s="20"/>
    </row>
    <row r="19">
      <c r="A19" s="24" t="str">
        <f>'data'!$A$14</f>
      </c>
      <c r="C19" s="23" t="str">
        <f>CONCATENATE("Pool F-2nd ",'Pool Matches'!G256)</f>
      </c>
      <c r="D19" s="15"/>
      <c r="E19" s="20"/>
      <c r="K19" s="20"/>
    </row>
    <row r="20">
      <c r="A20" s="25" t="str">
        <f>"1. " &amp; data!$B$12</f>
      </c>
      <c r="K20" s="21">
        <v>55</v>
      </c>
    </row>
    <row r="21">
      <c r="A21" s="26" t="str">
        <f>"2. " &amp; data!$B$13</f>
      </c>
      <c r="C21" s="23" t="str">
        <f>CONCATENATE("Pool I-1st ",'Pool Matches'!G384)</f>
      </c>
      <c r="K21" s="20"/>
    </row>
    <row r="22">
      <c r="A22" s="27" t="str">
        <f>"3. " &amp; data!$B$14</f>
      </c>
      <c r="D22" s="22"/>
      <c r="E22" s="21">
        <v>4</v>
      </c>
      <c r="K22" s="20"/>
    </row>
    <row r="23">
      <c r="A23" s="22"/>
      <c r="C23" s="23" t="str">
        <f>CONCATENATE("Pool H-2nd ",'Pool Matches'!G342)</f>
      </c>
      <c r="D23" s="15"/>
      <c r="E23" s="20"/>
      <c r="F23" s="22"/>
      <c r="G23" s="20"/>
      <c r="K23" s="20"/>
    </row>
    <row r="24">
      <c r="A24" s="24" t="str">
        <f>'data'!$A$17</f>
      </c>
      <c r="G24" s="21">
        <v>33</v>
      </c>
      <c r="K24" s="20"/>
    </row>
    <row r="25">
      <c r="A25" s="25" t="str">
        <f>"1. " &amp; data!$B$15</f>
      </c>
      <c r="C25" s="23" t="str">
        <f>CONCATENATE("Pool K-1st ",'Pool Matches'!G470)</f>
      </c>
      <c r="G25" s="20"/>
      <c r="H25" s="22"/>
      <c r="I25" s="20"/>
      <c r="K25" s="20"/>
    </row>
    <row r="26">
      <c r="A26" s="26" t="str">
        <f>"2. " &amp; data!$B$16</f>
      </c>
      <c r="D26" s="22"/>
      <c r="E26" s="21">
        <v>5</v>
      </c>
      <c r="F26" s="15"/>
      <c r="G26" s="20"/>
      <c r="I26" s="20"/>
      <c r="K26" s="20"/>
    </row>
    <row r="27">
      <c r="A27" s="27" t="str">
        <f>"3. " &amp; data!$B$17</f>
      </c>
      <c r="C27" s="23" t="str">
        <f>CONCATENATE("Pool J-2nd ",'Pool Matches'!G428)</f>
      </c>
      <c r="D27" s="15"/>
      <c r="E27" s="20"/>
      <c r="I27" s="20"/>
      <c r="K27" s="20"/>
    </row>
    <row r="28">
      <c r="A28" s="22"/>
      <c r="I28" s="21">
        <v>48</v>
      </c>
      <c r="J28" s="15"/>
      <c r="K28" s="20"/>
    </row>
    <row r="29">
      <c r="A29" s="24" t="str">
        <f>'data'!$A$20</f>
      </c>
      <c r="C29" s="23" t="str">
        <f>CONCATENATE("Pool M-1st ",'Pool Matches'!G556)</f>
      </c>
      <c r="I29" s="20"/>
    </row>
    <row r="30">
      <c r="A30" s="25" t="str">
        <f>"1. " &amp; data!$B$18</f>
      </c>
      <c r="D30" s="22"/>
      <c r="E30" s="21">
        <v>6</v>
      </c>
      <c r="I30" s="20"/>
    </row>
    <row r="31">
      <c r="A31" s="26" t="str">
        <f>"2. " &amp; data!$B$19</f>
      </c>
      <c r="C31" s="23" t="str">
        <f>CONCATENATE("Pool L-2nd ",'Pool Matches'!G514)</f>
      </c>
      <c r="D31" s="15"/>
      <c r="E31" s="20"/>
      <c r="F31" s="22"/>
      <c r="G31" s="20"/>
      <c r="I31" s="20"/>
    </row>
    <row r="32">
      <c r="A32" s="27" t="str">
        <f>"3. " &amp; data!$B$20</f>
      </c>
      <c r="G32" s="21">
        <v>34</v>
      </c>
      <c r="H32" s="15"/>
      <c r="I32" s="20"/>
    </row>
    <row r="33">
      <c r="A33" s="22"/>
      <c r="C33" s="23" t="str">
        <f>CONCATENATE("Pool O-1st ",'Pool Matches'!G642)</f>
      </c>
      <c r="G33" s="20"/>
    </row>
    <row r="34">
      <c r="A34" s="24" t="str">
        <f>'data'!$A$23</f>
      </c>
      <c r="D34" s="22"/>
      <c r="E34" s="21">
        <v>7</v>
      </c>
      <c r="F34" s="15"/>
      <c r="G34" s="20"/>
    </row>
    <row r="35">
      <c r="A35" s="25" t="str">
        <f>"1. " &amp; data!$B$21</f>
      </c>
      <c r="C35" s="23" t="str">
        <f>CONCATENATE("Pool N-2nd ",'Pool Matches'!G600)</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"1. " &amp; data!$B$27</f>
      </c>
      <c r="C5" s="23" t="str">
        <f>CONCATENATE("Pool Q-1st ",'Pool Matches'!O40)</f>
      </c>
    </row>
    <row r="6">
      <c r="A6" s="26" t="str">
        <f>"2. " &amp; data!$B$28</f>
      </c>
      <c r="D6" s="22"/>
      <c r="E6" s="21">
        <v>8</v>
      </c>
    </row>
    <row r="7">
      <c r="A7" s="27" t="str">
        <f>"3. " &amp; data!$B$29</f>
      </c>
      <c r="C7" s="23" t="str">
        <f>CONCATENATE("Pool P-2nd ",'Pool Matches'!G668)</f>
      </c>
      <c r="D7" s="15"/>
      <c r="E7" s="20"/>
      <c r="F7" s="22"/>
      <c r="G7" s="20"/>
    </row>
    <row r="8">
      <c r="A8" s="22"/>
      <c r="G8" s="21">
        <v>35</v>
      </c>
    </row>
    <row r="9">
      <c r="A9" s="24" t="str">
        <f>'data'!$A$32</f>
      </c>
      <c r="C9" s="23" t="str">
        <f>CONCATENATE("Pool S-1st ",'Pool Matches'!O126)</f>
      </c>
      <c r="G9" s="20"/>
      <c r="H9" s="22"/>
      <c r="I9" s="20"/>
    </row>
    <row r="10">
      <c r="A10" s="25" t="str">
        <f>"1. " &amp; data!$B$30</f>
      </c>
      <c r="D10" s="22"/>
      <c r="E10" s="21">
        <v>9</v>
      </c>
      <c r="F10" s="15"/>
      <c r="G10" s="20"/>
      <c r="I10" s="20"/>
    </row>
    <row r="11">
      <c r="A11" s="26" t="str">
        <f>"2. " &amp; data!$B$31</f>
      </c>
      <c r="C11" s="23" t="str">
        <f>CONCATENATE("Pool R-2nd ",'Pool Matches'!O84)</f>
      </c>
      <c r="D11" s="15"/>
      <c r="E11" s="20"/>
      <c r="I11" s="20"/>
    </row>
    <row r="12">
      <c r="A12" s="27" t="str">
        <f>"3. " &amp; data!$B$32</f>
      </c>
      <c r="I12" s="21">
        <v>49</v>
      </c>
    </row>
    <row r="13">
      <c r="A13" s="22"/>
      <c r="C13" s="23" t="str">
        <f>CONCATENATE("Pool U-1st ",'Pool Matches'!O212)</f>
      </c>
      <c r="I13" s="20"/>
      <c r="J13" s="22"/>
      <c r="K13" s="20"/>
    </row>
    <row r="14">
      <c r="A14" s="24" t="str">
        <f>'data'!$A$35</f>
      </c>
      <c r="D14" s="22"/>
      <c r="E14" s="21">
        <v>10</v>
      </c>
      <c r="I14" s="20"/>
      <c r="K14" s="20"/>
    </row>
    <row r="15">
      <c r="A15" s="25" t="str">
        <f>"1. " &amp; data!$B$33</f>
      </c>
      <c r="C15" s="23" t="str">
        <f>CONCATENATE("Pool T-2nd ",'Pool Matches'!O170)</f>
      </c>
      <c r="D15" s="15"/>
      <c r="E15" s="20"/>
      <c r="F15" s="22"/>
      <c r="G15" s="20"/>
      <c r="I15" s="20"/>
      <c r="K15" s="20"/>
    </row>
    <row r="16">
      <c r="A16" s="26" t="str">
        <f>"2. " &amp; data!$B$34</f>
      </c>
      <c r="G16" s="21">
        <v>36</v>
      </c>
      <c r="H16" s="15"/>
      <c r="I16" s="20"/>
      <c r="K16" s="20"/>
    </row>
    <row r="17">
      <c r="A17" s="27" t="str">
        <f>"3. " &amp; data!$B$35</f>
      </c>
      <c r="C17" s="23" t="str">
        <f>CONCATENATE("Pool W-1st ",'Pool Matches'!O298)</f>
      </c>
      <c r="G17" s="20"/>
      <c r="K17" s="20"/>
    </row>
    <row r="18">
      <c r="A18" s="22"/>
      <c r="D18" s="22"/>
      <c r="E18" s="21">
        <v>11</v>
      </c>
      <c r="F18" s="15"/>
      <c r="G18" s="20"/>
      <c r="K18" s="20"/>
    </row>
    <row r="19">
      <c r="A19" s="24" t="str">
        <f>'data'!$A$38</f>
      </c>
      <c r="C19" s="23" t="str">
        <f>CONCATENATE("Pool V-2nd ",'Pool Matches'!O256)</f>
      </c>
      <c r="D19" s="15"/>
      <c r="E19" s="20"/>
      <c r="K19" s="20"/>
    </row>
    <row r="20">
      <c r="A20" s="25" t="str">
        <f>"1. " &amp; data!$B$36</f>
      </c>
      <c r="K20" s="21">
        <v>56</v>
      </c>
    </row>
    <row r="21">
      <c r="A21" s="26" t="str">
        <f>"2. " &amp; data!$B$37</f>
      </c>
      <c r="C21" s="23" t="str">
        <f>CONCATENATE("Pool Y-1st ",'Pool Matches'!O384)</f>
      </c>
      <c r="K21" s="20"/>
    </row>
    <row r="22">
      <c r="A22" s="27" t="str">
        <f>"3. " &amp; data!$B$38</f>
      </c>
      <c r="D22" s="22"/>
      <c r="E22" s="21">
        <v>12</v>
      </c>
      <c r="K22" s="20"/>
    </row>
    <row r="23">
      <c r="A23" s="22"/>
      <c r="C23" s="23" t="str">
        <f>CONCATENATE("Pool X-2nd ",'Pool Matches'!O342)</f>
      </c>
      <c r="D23" s="15"/>
      <c r="E23" s="20"/>
      <c r="F23" s="22"/>
      <c r="G23" s="20"/>
      <c r="K23" s="20"/>
    </row>
    <row r="24">
      <c r="A24" s="24" t="str">
        <f>'data'!$A$41</f>
      </c>
      <c r="G24" s="21">
        <v>37</v>
      </c>
      <c r="K24" s="20"/>
    </row>
    <row r="25">
      <c r="A25" s="25" t="str">
        <f>"1. " &amp; data!$B$39</f>
      </c>
      <c r="C25" s="23" t="str">
        <f>CONCATENATE("Pool AA-1st ",'Pool Matches'!O470)</f>
      </c>
      <c r="G25" s="20"/>
      <c r="H25" s="22"/>
      <c r="I25" s="20"/>
      <c r="K25" s="20"/>
    </row>
    <row r="26">
      <c r="A26" s="26" t="str">
        <f>"2. " &amp; data!$B$40</f>
      </c>
      <c r="D26" s="22"/>
      <c r="E26" s="21">
        <v>13</v>
      </c>
      <c r="F26" s="15"/>
      <c r="G26" s="20"/>
      <c r="I26" s="20"/>
      <c r="K26" s="20"/>
    </row>
    <row r="27">
      <c r="A27" s="27" t="str">
        <f>"3. " &amp; data!$B$41</f>
      </c>
      <c r="C27" s="23" t="str">
        <f>CONCATENATE("Pool Z-2nd ",'Pool Matches'!O428)</f>
      </c>
      <c r="D27" s="15"/>
      <c r="E27" s="20"/>
      <c r="I27" s="20"/>
      <c r="K27" s="20"/>
    </row>
    <row r="28">
      <c r="A28" s="22"/>
      <c r="I28" s="21">
        <v>50</v>
      </c>
      <c r="J28" s="15"/>
      <c r="K28" s="20"/>
    </row>
    <row r="29">
      <c r="A29" s="24" t="str">
        <f>'data'!$A$44</f>
      </c>
      <c r="C29" s="23" t="str">
        <f>CONCATENATE("Pool CC-1st ",'Pool Matches'!O556)</f>
      </c>
      <c r="I29" s="20"/>
    </row>
    <row r="30">
      <c r="A30" s="25" t="str">
        <f>"1. " &amp; data!$B$42</f>
      </c>
      <c r="D30" s="22"/>
      <c r="E30" s="21">
        <v>14</v>
      </c>
      <c r="I30" s="20"/>
    </row>
    <row r="31">
      <c r="A31" s="26" t="str">
        <f>"2. " &amp; data!$B$43</f>
      </c>
      <c r="C31" s="23" t="str">
        <f>CONCATENATE("Pool BB-2nd ",'Pool Matches'!O514)</f>
      </c>
      <c r="D31" s="15"/>
      <c r="E31" s="20"/>
      <c r="F31" s="22"/>
      <c r="G31" s="20"/>
      <c r="I31" s="20"/>
    </row>
    <row r="32">
      <c r="A32" s="27" t="str">
        <f>"3. " &amp; data!$B$44</f>
      </c>
      <c r="G32" s="21">
        <v>38</v>
      </c>
      <c r="H32" s="15"/>
      <c r="I32" s="20"/>
    </row>
    <row r="33">
      <c r="A33" s="22"/>
      <c r="C33" s="23" t="str">
        <f>CONCATENATE("Pool EE-1st ",'Pool Matches'!O640)</f>
      </c>
      <c r="G33" s="20"/>
    </row>
    <row r="34">
      <c r="A34" s="24" t="str">
        <f>'data'!$A$47</f>
      </c>
      <c r="D34" s="22"/>
      <c r="E34" s="21">
        <v>15</v>
      </c>
      <c r="F34" s="15"/>
      <c r="G34" s="20"/>
    </row>
    <row r="35">
      <c r="A35" s="25" t="str">
        <f>"1. " &amp; data!$B$45</f>
      </c>
      <c r="C35" s="23" t="str">
        <f>CONCATENATE("Pool DD-2nd ",'Pool Matches'!O600)</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"1. " &amp; data!$B$50</f>
      </c>
    </row>
    <row r="6">
      <c r="A6" s="26" t="str">
        <f>"2. " &amp; data!$B$51</f>
      </c>
      <c r="E6" s="23" t="str">
        <f>CONCATENATE("Pool B-1st ",'Pool Matches'!G83)</f>
      </c>
    </row>
    <row r="7">
      <c r="A7" s="27" t="str">
        <f>"3. " &amp; data!$B$52</f>
      </c>
      <c r="F7" s="22"/>
      <c r="G7" s="20"/>
    </row>
    <row r="8">
      <c r="A8" s="22"/>
      <c r="G8" s="21">
        <v>39</v>
      </c>
    </row>
    <row r="9">
      <c r="A9" s="24" t="str">
        <f>'data'!$A$55</f>
      </c>
      <c r="C9" s="23" t="str">
        <f>CONCATENATE("Pool A-2nd ",'Pool Matches'!G41)</f>
      </c>
      <c r="G9" s="20"/>
      <c r="H9" s="22"/>
      <c r="I9" s="20"/>
    </row>
    <row r="10">
      <c r="A10" s="25" t="str">
        <f>"1. " &amp; data!$B$53</f>
      </c>
      <c r="D10" s="22"/>
      <c r="E10" s="21">
        <v>16</v>
      </c>
      <c r="F10" s="15"/>
      <c r="G10" s="20"/>
      <c r="I10" s="20"/>
    </row>
    <row r="11">
      <c r="A11" s="26" t="str">
        <f>"2. " &amp; data!$B$54</f>
      </c>
      <c r="C11" s="23" t="str">
        <f>CONCATENATE("Pool C-2nd ",'Pool Matches'!G127)</f>
      </c>
      <c r="D11" s="15"/>
      <c r="E11" s="20"/>
      <c r="I11" s="20"/>
    </row>
    <row r="12">
      <c r="A12" s="27" t="str">
        <f>"3. " &amp; data!$B$55</f>
      </c>
      <c r="I12" s="21">
        <v>51</v>
      </c>
    </row>
    <row r="13">
      <c r="A13" s="22"/>
      <c r="C13" s="23" t="str">
        <f>CONCATENATE("Pool D-1st ",'Pool Matches'!G169)</f>
      </c>
      <c r="I13" s="20"/>
      <c r="J13" s="22"/>
      <c r="K13" s="20"/>
    </row>
    <row r="14">
      <c r="A14" s="24" t="str">
        <f>'data'!$A$58</f>
      </c>
      <c r="D14" s="22"/>
      <c r="E14" s="21">
        <v>17</v>
      </c>
      <c r="I14" s="20"/>
      <c r="K14" s="20"/>
    </row>
    <row r="15">
      <c r="A15" s="25" t="str">
        <f>"1. " &amp; data!$B$56</f>
      </c>
      <c r="C15" s="23" t="str">
        <f>CONCATENATE("Pool E-2nd ",'Pool Matches'!G213)</f>
      </c>
      <c r="D15" s="15"/>
      <c r="E15" s="20"/>
      <c r="F15" s="22"/>
      <c r="G15" s="20"/>
      <c r="I15" s="20"/>
      <c r="K15" s="20"/>
    </row>
    <row r="16">
      <c r="A16" s="26" t="str">
        <f>"2. " &amp; data!$B$57</f>
      </c>
      <c r="G16" s="21">
        <v>40</v>
      </c>
      <c r="H16" s="15"/>
      <c r="I16" s="20"/>
      <c r="K16" s="20"/>
    </row>
    <row r="17">
      <c r="A17" s="27" t="str">
        <f>"3. " &amp; data!$B$58</f>
      </c>
      <c r="C17" s="23" t="str">
        <f>CONCATENATE("Pool F-1st ",'Pool Matches'!G255)</f>
      </c>
      <c r="G17" s="20"/>
      <c r="K17" s="20"/>
    </row>
    <row r="18">
      <c r="A18" s="22"/>
      <c r="D18" s="22"/>
      <c r="E18" s="21">
        <v>18</v>
      </c>
      <c r="F18" s="15"/>
      <c r="G18" s="20"/>
      <c r="K18" s="20"/>
    </row>
    <row r="19">
      <c r="A19" s="24" t="str">
        <f>'data'!$A$61</f>
      </c>
      <c r="C19" s="23" t="str">
        <f>CONCATENATE("Pool G-2nd ",'Pool Matches'!G299)</f>
      </c>
      <c r="D19" s="15"/>
      <c r="E19" s="20"/>
      <c r="K19" s="20"/>
    </row>
    <row r="20">
      <c r="A20" s="25" t="str">
        <f>"1. " &amp; data!$B$59</f>
      </c>
      <c r="K20" s="21">
        <v>57</v>
      </c>
    </row>
    <row r="21">
      <c r="A21" s="26" t="str">
        <f>"2. " &amp; data!$B$60</f>
      </c>
      <c r="C21" s="23" t="str">
        <f>CONCATENATE("Pool H-1st ",'Pool Matches'!G341)</f>
      </c>
      <c r="K21" s="20"/>
    </row>
    <row r="22">
      <c r="A22" s="27" t="str">
        <f>"3. " &amp; data!$B$61</f>
      </c>
      <c r="D22" s="22"/>
      <c r="E22" s="21">
        <v>19</v>
      </c>
      <c r="K22" s="20"/>
    </row>
    <row r="23">
      <c r="A23" s="22"/>
      <c r="C23" s="23" t="str">
        <f>CONCATENATE("Pool I-2nd ",'Pool Matches'!G385)</f>
      </c>
      <c r="D23" s="15"/>
      <c r="E23" s="20"/>
      <c r="F23" s="22"/>
      <c r="G23" s="20"/>
      <c r="K23" s="20"/>
    </row>
    <row r="24">
      <c r="A24" s="24" t="str">
        <f>'data'!$A$64</f>
      </c>
      <c r="G24" s="21">
        <v>41</v>
      </c>
      <c r="K24" s="20"/>
    </row>
    <row r="25">
      <c r="A25" s="25" t="str">
        <f>"1. " &amp; data!$B$62</f>
      </c>
      <c r="C25" s="23" t="str">
        <f>CONCATENATE("Pool J-1st ",'Pool Matches'!G427)</f>
      </c>
      <c r="G25" s="20"/>
      <c r="H25" s="22"/>
      <c r="I25" s="20"/>
      <c r="K25" s="20"/>
    </row>
    <row r="26">
      <c r="A26" s="26" t="str">
        <f>"2. " &amp; data!$B$63</f>
      </c>
      <c r="D26" s="22"/>
      <c r="E26" s="21">
        <v>20</v>
      </c>
      <c r="F26" s="15"/>
      <c r="G26" s="20"/>
      <c r="I26" s="20"/>
      <c r="K26" s="20"/>
    </row>
    <row r="27">
      <c r="A27" s="27" t="str">
        <f>"3. " &amp; data!$B$64</f>
      </c>
      <c r="C27" s="23" t="str">
        <f>CONCATENATE("Pool K-2nd ",'Pool Matches'!G471)</f>
      </c>
      <c r="D27" s="15"/>
      <c r="E27" s="20"/>
      <c r="I27" s="20"/>
      <c r="K27" s="20"/>
    </row>
    <row r="28">
      <c r="A28" s="22"/>
      <c r="I28" s="21">
        <v>52</v>
      </c>
      <c r="J28" s="15"/>
      <c r="K28" s="20"/>
    </row>
    <row r="29">
      <c r="A29" s="24" t="str">
        <f>'data'!$A$67</f>
      </c>
      <c r="C29" s="23" t="str">
        <f>CONCATENATE("Pool L-1st ",'Pool Matches'!G513)</f>
      </c>
      <c r="I29" s="20"/>
    </row>
    <row r="30">
      <c r="A30" s="25" t="str">
        <f>"1. " &amp; data!$B$65</f>
      </c>
      <c r="D30" s="22"/>
      <c r="E30" s="21">
        <v>21</v>
      </c>
      <c r="I30" s="20"/>
    </row>
    <row r="31">
      <c r="A31" s="26" t="str">
        <f>"2. " &amp; data!$B$66</f>
      </c>
      <c r="C31" s="23" t="str">
        <f>CONCATENATE("Pool M-2nd ",'Pool Matches'!G557)</f>
      </c>
      <c r="D31" s="15"/>
      <c r="E31" s="20"/>
      <c r="F31" s="22"/>
      <c r="G31" s="20"/>
      <c r="I31" s="20"/>
    </row>
    <row r="32">
      <c r="A32" s="27" t="str">
        <f>"3. " &amp; data!$B$67</f>
      </c>
      <c r="G32" s="21">
        <v>42</v>
      </c>
      <c r="H32" s="15"/>
      <c r="I32" s="20"/>
    </row>
    <row r="33">
      <c r="A33" s="22"/>
      <c r="C33" s="23" t="str">
        <f>CONCATENATE("Pool N-1st ",'Pool Matches'!G599)</f>
      </c>
      <c r="G33" s="20"/>
    </row>
    <row r="34">
      <c r="A34" s="24" t="str">
        <f>'data'!$A$70</f>
      </c>
      <c r="D34" s="22"/>
      <c r="E34" s="21">
        <v>22</v>
      </c>
      <c r="F34" s="15"/>
      <c r="G34" s="20"/>
    </row>
    <row r="35">
      <c r="A35" s="25" t="str">
        <f>"1. " &amp; data!$B$68</f>
      </c>
      <c r="C35" s="23" t="str">
        <f>CONCATENATE("Pool O-2nd ",'Pool Matches'!G643)</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"1. " &amp; data!$B$74</f>
      </c>
      <c r="C5" s="23" t="str">
        <f>CONCATENATE("Pool P-1st ",'Pool Matches'!G667)</f>
      </c>
    </row>
    <row r="6">
      <c r="A6" s="26" t="str">
        <f>"2. " &amp; data!$B$75</f>
      </c>
      <c r="D6" s="22"/>
      <c r="E6" s="21">
        <v>23</v>
      </c>
    </row>
    <row r="7">
      <c r="A7" s="27" t="str">
        <f>"3. " &amp; data!$B$76</f>
      </c>
      <c r="C7" s="23" t="str">
        <f>CONCATENATE("Pool Q-2nd ",'Pool Matches'!O41)</f>
      </c>
      <c r="D7" s="15"/>
      <c r="E7" s="20"/>
      <c r="F7" s="22"/>
      <c r="G7" s="20"/>
    </row>
    <row r="8">
      <c r="A8" s="22"/>
      <c r="G8" s="21">
        <v>43</v>
      </c>
    </row>
    <row r="9">
      <c r="A9" s="24" t="str">
        <f>'data'!$A$79</f>
      </c>
      <c r="C9" s="23" t="str">
        <f>CONCATENATE("Pool R-1st ",'Pool Matches'!O83)</f>
      </c>
      <c r="G9" s="20"/>
      <c r="H9" s="22"/>
      <c r="I9" s="20"/>
    </row>
    <row r="10">
      <c r="A10" s="25" t="str">
        <f>"1. " &amp; data!$B$77</f>
      </c>
      <c r="D10" s="22"/>
      <c r="E10" s="21">
        <v>24</v>
      </c>
      <c r="F10" s="15"/>
      <c r="G10" s="20"/>
      <c r="I10" s="20"/>
    </row>
    <row r="11">
      <c r="A11" s="26" t="str">
        <f>"2. " &amp; data!$B$78</f>
      </c>
      <c r="C11" s="23" t="str">
        <f>CONCATENATE("Pool S-2nd ",'Pool Matches'!O127)</f>
      </c>
      <c r="D11" s="15"/>
      <c r="E11" s="20"/>
      <c r="I11" s="20"/>
    </row>
    <row r="12">
      <c r="A12" s="27" t="str">
        <f>"3. " &amp; data!$B$79</f>
      </c>
      <c r="I12" s="21">
        <v>53</v>
      </c>
    </row>
    <row r="13">
      <c r="A13" s="22"/>
      <c r="C13" s="23" t="str">
        <f>CONCATENATE("Pool T-1st ",'Pool Matches'!O169)</f>
      </c>
      <c r="I13" s="20"/>
      <c r="J13" s="22"/>
      <c r="K13" s="20"/>
    </row>
    <row r="14">
      <c r="A14" s="24" t="str">
        <f>'data'!$A$82</f>
      </c>
      <c r="D14" s="22"/>
      <c r="E14" s="21">
        <v>25</v>
      </c>
      <c r="I14" s="20"/>
      <c r="K14" s="20"/>
    </row>
    <row r="15">
      <c r="A15" s="25" t="str">
        <f>"1. " &amp; data!$B$80</f>
      </c>
      <c r="C15" s="23" t="str">
        <f>CONCATENATE("Pool U-2nd ",'Pool Matches'!O213)</f>
      </c>
      <c r="D15" s="15"/>
      <c r="E15" s="20"/>
      <c r="F15" s="22"/>
      <c r="G15" s="20"/>
      <c r="I15" s="20"/>
      <c r="K15" s="20"/>
    </row>
    <row r="16">
      <c r="A16" s="26" t="str">
        <f>"2. " &amp; data!$B$81</f>
      </c>
      <c r="G16" s="21">
        <v>44</v>
      </c>
      <c r="H16" s="15"/>
      <c r="I16" s="20"/>
      <c r="K16" s="20"/>
    </row>
    <row r="17">
      <c r="A17" s="27" t="str">
        <f>"3. " &amp; data!$B$82</f>
      </c>
      <c r="C17" s="23" t="str">
        <f>CONCATENATE("Pool V-1st ",'Pool Matches'!O255)</f>
      </c>
      <c r="G17" s="20"/>
      <c r="K17" s="20"/>
    </row>
    <row r="18">
      <c r="A18" s="22"/>
      <c r="D18" s="22"/>
      <c r="E18" s="21">
        <v>26</v>
      </c>
      <c r="F18" s="15"/>
      <c r="G18" s="20"/>
      <c r="K18" s="20"/>
    </row>
    <row r="19">
      <c r="A19" s="24" t="str">
        <f>'data'!$A$85</f>
      </c>
      <c r="C19" s="23" t="str">
        <f>CONCATENATE("Pool W-2nd ",'Pool Matches'!O299)</f>
      </c>
      <c r="D19" s="15"/>
      <c r="E19" s="20"/>
      <c r="K19" s="20"/>
    </row>
    <row r="20">
      <c r="A20" s="25" t="str">
        <f>"1. " &amp; data!$B$83</f>
      </c>
      <c r="K20" s="21">
        <v>58</v>
      </c>
    </row>
    <row r="21">
      <c r="A21" s="26" t="str">
        <f>"2. " &amp; data!$B$84</f>
      </c>
      <c r="C21" s="23" t="str">
        <f>CONCATENATE("Pool X-1st ",'Pool Matches'!O341)</f>
      </c>
      <c r="K21" s="20"/>
    </row>
    <row r="22">
      <c r="A22" s="27" t="str">
        <f>"3. " &amp; data!$B$85</f>
      </c>
      <c r="D22" s="22"/>
      <c r="E22" s="21">
        <v>27</v>
      </c>
      <c r="K22" s="20"/>
    </row>
    <row r="23">
      <c r="A23" s="22"/>
      <c r="C23" s="23" t="str">
        <f>CONCATENATE("Pool Y-2nd ",'Pool Matches'!O385)</f>
      </c>
      <c r="D23" s="15"/>
      <c r="E23" s="20"/>
      <c r="F23" s="22"/>
      <c r="G23" s="20"/>
      <c r="K23" s="20"/>
    </row>
    <row r="24">
      <c r="A24" s="24" t="str">
        <f>'data'!$A$88</f>
      </c>
      <c r="G24" s="21">
        <v>45</v>
      </c>
      <c r="K24" s="20"/>
    </row>
    <row r="25">
      <c r="A25" s="25" t="str">
        <f>"1. " &amp; data!$B$86</f>
      </c>
      <c r="C25" s="23" t="str">
        <f>CONCATENATE("Pool Z-1st ",'Pool Matches'!O427)</f>
      </c>
      <c r="G25" s="20"/>
      <c r="H25" s="22"/>
      <c r="I25" s="20"/>
      <c r="K25" s="20"/>
    </row>
    <row r="26">
      <c r="A26" s="26" t="str">
        <f>"2. " &amp; data!$B$87</f>
      </c>
      <c r="D26" s="22"/>
      <c r="E26" s="21">
        <v>28</v>
      </c>
      <c r="F26" s="15"/>
      <c r="G26" s="20"/>
      <c r="I26" s="20"/>
      <c r="K26" s="20"/>
    </row>
    <row r="27">
      <c r="A27" s="27" t="str">
        <f>"3. " &amp; data!$B$88</f>
      </c>
      <c r="C27" s="23" t="str">
        <f>CONCATENATE("Pool AA-2nd ",'Pool Matches'!O471)</f>
      </c>
      <c r="D27" s="15"/>
      <c r="E27" s="20"/>
      <c r="I27" s="20"/>
      <c r="K27" s="20"/>
    </row>
    <row r="28">
      <c r="A28" s="22"/>
      <c r="I28" s="21">
        <v>54</v>
      </c>
      <c r="J28" s="15"/>
      <c r="K28" s="20"/>
    </row>
    <row r="29">
      <c r="A29" s="24" t="str">
        <f>'data'!$A$91</f>
      </c>
      <c r="C29" s="23" t="str">
        <f>CONCATENATE("Pool BB-1st ",'Pool Matches'!O513)</f>
      </c>
      <c r="I29" s="20"/>
    </row>
    <row r="30">
      <c r="A30" s="25" t="str">
        <f>"1. " &amp; data!$B$89</f>
      </c>
      <c r="D30" s="22"/>
      <c r="E30" s="21">
        <v>29</v>
      </c>
      <c r="I30" s="20"/>
    </row>
    <row r="31">
      <c r="A31" s="26" t="str">
        <f>"2. " &amp; data!$B$90</f>
      </c>
      <c r="C31" s="23" t="str">
        <f>CONCATENATE("Pool CC-2nd ",'Pool Matches'!O557)</f>
      </c>
      <c r="D31" s="15"/>
      <c r="E31" s="20"/>
      <c r="F31" s="22"/>
      <c r="G31" s="20"/>
      <c r="I31" s="20"/>
    </row>
    <row r="32">
      <c r="A32" s="27" t="str">
        <f>"3. " &amp; data!$B$91</f>
      </c>
      <c r="G32" s="21">
        <v>46</v>
      </c>
      <c r="H32" s="15"/>
      <c r="I32" s="20"/>
    </row>
    <row r="33">
      <c r="A33" s="22"/>
      <c r="C33" s="23" t="str">
        <f>CONCATENATE("Pool DD-1st ",'Pool Matches'!O599)</f>
      </c>
      <c r="G33" s="20"/>
    </row>
    <row r="34">
      <c r="A34" s="24" t="str">
        <f>'data'!$A$93</f>
      </c>
      <c r="D34" s="22"/>
      <c r="E34" s="21">
        <v>30</v>
      </c>
      <c r="F34" s="15"/>
      <c r="G34" s="20"/>
    </row>
    <row r="35">
      <c r="A35" s="25" t="str">
        <f>"1. " &amp; data!$B$92</f>
      </c>
      <c r="C35" s="23" t="str">
        <f>CONCATENATE("Pool EE-2nd ",'Pool Matches'!O641)</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row r="47" ht="270" customHeight="true">
      <c r="A47" s="28" t="s">
        <v>302</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303</v>
      </c>
      <c r="B1" s="29" t="str">
        <f>'data'!D50</f>
      </c>
    </row>
    <row r="2" ht="270" customHeight="true">
      <c r="A2" s="28" t="s">
        <v>304</v>
      </c>
      <c r="B2" s="29" t="str">
        <f>'data'!D51</f>
      </c>
    </row>
    <row r="3" ht="270" customHeight="true">
      <c r="A3" s="28" t="s">
        <v>305</v>
      </c>
      <c r="B3" s="29" t="str">
        <f>'data'!D52</f>
      </c>
    </row>
    <row r="4" ht="270" customHeight="true">
      <c r="A4" s="28" t="s">
        <v>306</v>
      </c>
      <c r="B4" s="29" t="str">
        <f>'data'!D53</f>
      </c>
    </row>
    <row r="5" ht="270" customHeight="true">
      <c r="A5" s="28" t="s">
        <v>307</v>
      </c>
      <c r="B5" s="29" t="str">
        <f>'data'!D54</f>
      </c>
    </row>
    <row r="6" ht="270" customHeight="true">
      <c r="A6" s="28" t="s">
        <v>308</v>
      </c>
      <c r="B6" s="29" t="str">
        <f>'data'!D55</f>
      </c>
    </row>
    <row r="7" ht="270" customHeight="true">
      <c r="A7" s="28" t="s">
        <v>309</v>
      </c>
      <c r="B7" s="29" t="str">
        <f>'data'!D56</f>
      </c>
    </row>
    <row r="8" ht="270" customHeight="true">
      <c r="A8" s="28" t="s">
        <v>310</v>
      </c>
      <c r="B8" s="29" t="str">
        <f>'data'!D57</f>
      </c>
    </row>
    <row r="9" ht="270" customHeight="true">
      <c r="A9" s="28" t="s">
        <v>311</v>
      </c>
      <c r="B9" s="29" t="str">
        <f>'data'!D58</f>
      </c>
    </row>
    <row r="10" ht="270" customHeight="true">
      <c r="A10" s="28" t="s">
        <v>312</v>
      </c>
      <c r="B10" s="29" t="str">
        <f>'data'!D59</f>
      </c>
    </row>
    <row r="11" ht="270" customHeight="true">
      <c r="A11" s="28" t="s">
        <v>313</v>
      </c>
      <c r="B11" s="29" t="str">
        <f>'data'!D60</f>
      </c>
    </row>
    <row r="12" ht="270" customHeight="true">
      <c r="A12" s="28" t="s">
        <v>314</v>
      </c>
      <c r="B12" s="29" t="str">
        <f>'data'!D61</f>
      </c>
    </row>
    <row r="13" ht="270" customHeight="true">
      <c r="A13" s="28" t="s">
        <v>315</v>
      </c>
      <c r="B13" s="29" t="str">
        <f>'data'!D62</f>
      </c>
    </row>
    <row r="14" ht="270" customHeight="true">
      <c r="A14" s="28" t="s">
        <v>316</v>
      </c>
      <c r="B14" s="29" t="str">
        <f>'data'!D63</f>
      </c>
    </row>
    <row r="15" ht="270" customHeight="true">
      <c r="A15" s="28" t="s">
        <v>317</v>
      </c>
      <c r="B15" s="29" t="str">
        <f>'data'!D64</f>
      </c>
    </row>
    <row r="16" ht="270" customHeight="true">
      <c r="A16" s="28" t="s">
        <v>318</v>
      </c>
      <c r="B16" s="29" t="str">
        <f>'data'!D65</f>
      </c>
    </row>
    <row r="17" ht="270" customHeight="true">
      <c r="A17" s="28" t="s">
        <v>319</v>
      </c>
      <c r="B17" s="29" t="str">
        <f>'data'!D66</f>
      </c>
    </row>
    <row r="18" ht="270" customHeight="true">
      <c r="A18" s="28" t="s">
        <v>320</v>
      </c>
      <c r="B18" s="29" t="str">
        <f>'data'!D67</f>
      </c>
    </row>
    <row r="19" ht="270" customHeight="true">
      <c r="A19" s="28" t="s">
        <v>321</v>
      </c>
      <c r="B19" s="29" t="str">
        <f>'data'!D68</f>
      </c>
    </row>
    <row r="20" ht="270" customHeight="true">
      <c r="A20" s="28" t="s">
        <v>322</v>
      </c>
      <c r="B20" s="29" t="str">
        <f>'data'!D69</f>
      </c>
    </row>
    <row r="21" ht="270" customHeight="true">
      <c r="A21" s="28" t="s">
        <v>323</v>
      </c>
      <c r="B21" s="29" t="str">
        <f>'data'!D70</f>
      </c>
    </row>
    <row r="22" ht="270" customHeight="true">
      <c r="A22" s="28" t="s">
        <v>324</v>
      </c>
      <c r="B22" s="29" t="str">
        <f>'data'!D71</f>
      </c>
    </row>
    <row r="23" ht="270" customHeight="true">
      <c r="A23" s="28" t="s">
        <v>325</v>
      </c>
      <c r="B23" s="29" t="str">
        <f>'data'!D72</f>
      </c>
    </row>
    <row r="24" ht="270" customHeight="true">
      <c r="A24" s="28" t="s">
        <v>326</v>
      </c>
      <c r="B24" s="29" t="str">
        <f>'data'!D73</f>
      </c>
    </row>
    <row r="25" ht="270" customHeight="true">
      <c r="A25" s="28" t="s">
        <v>327</v>
      </c>
      <c r="B25" s="29" t="str">
        <f>'data'!D74</f>
      </c>
    </row>
    <row r="26" ht="270" customHeight="true">
      <c r="A26" s="28" t="s">
        <v>328</v>
      </c>
      <c r="B26" s="29" t="str">
        <f>'data'!D75</f>
      </c>
    </row>
    <row r="27" ht="270" customHeight="true">
      <c r="A27" s="28" t="s">
        <v>329</v>
      </c>
      <c r="B27" s="29" t="str">
        <f>'data'!D76</f>
      </c>
    </row>
    <row r="28" ht="270" customHeight="true">
      <c r="A28" s="28" t="s">
        <v>330</v>
      </c>
      <c r="B28" s="29" t="str">
        <f>'data'!D77</f>
      </c>
    </row>
    <row r="29" ht="270" customHeight="true">
      <c r="A29" s="28" t="s">
        <v>331</v>
      </c>
      <c r="B29" s="29" t="str">
        <f>'data'!D78</f>
      </c>
    </row>
    <row r="30" ht="270" customHeight="true">
      <c r="A30" s="28" t="s">
        <v>332</v>
      </c>
      <c r="B30" s="29" t="str">
        <f>'data'!D79</f>
      </c>
    </row>
    <row r="31" ht="270" customHeight="true">
      <c r="A31" s="28" t="s">
        <v>333</v>
      </c>
      <c r="B31" s="29" t="str">
        <f>'data'!D80</f>
      </c>
    </row>
    <row r="32" ht="270" customHeight="true">
      <c r="A32" s="28" t="s">
        <v>334</v>
      </c>
      <c r="B32" s="29" t="str">
        <f>'data'!D81</f>
      </c>
    </row>
    <row r="33" ht="270" customHeight="true">
      <c r="A33" s="28" t="s">
        <v>335</v>
      </c>
      <c r="B33" s="29" t="str">
        <f>'data'!D82</f>
      </c>
    </row>
    <row r="34" ht="270" customHeight="true">
      <c r="A34" s="28" t="s">
        <v>336</v>
      </c>
      <c r="B34" s="29" t="str">
        <f>'data'!D83</f>
      </c>
    </row>
    <row r="35" ht="270" customHeight="true">
      <c r="A35" s="28" t="s">
        <v>337</v>
      </c>
      <c r="B35" s="29" t="str">
        <f>'data'!D84</f>
      </c>
    </row>
    <row r="36" ht="270" customHeight="true">
      <c r="A36" s="28" t="s">
        <v>338</v>
      </c>
      <c r="B36" s="29" t="str">
        <f>'data'!D85</f>
      </c>
    </row>
    <row r="37" ht="270" customHeight="true">
      <c r="A37" s="28" t="s">
        <v>339</v>
      </c>
      <c r="B37" s="29" t="str">
        <f>'data'!D86</f>
      </c>
    </row>
    <row r="38" ht="270" customHeight="true">
      <c r="A38" s="28" t="s">
        <v>340</v>
      </c>
      <c r="B38" s="29" t="str">
        <f>'data'!D87</f>
      </c>
    </row>
    <row r="39" ht="270" customHeight="true">
      <c r="A39" s="28" t="s">
        <v>341</v>
      </c>
      <c r="B39" s="29" t="str">
        <f>'data'!D88</f>
      </c>
    </row>
    <row r="40" ht="270" customHeight="true">
      <c r="A40" s="28" t="s">
        <v>342</v>
      </c>
      <c r="B40" s="29" t="str">
        <f>'data'!D89</f>
      </c>
    </row>
    <row r="41" ht="270" customHeight="true">
      <c r="A41" s="28" t="s">
        <v>343</v>
      </c>
      <c r="B41" s="29" t="str">
        <f>'data'!D90</f>
      </c>
    </row>
    <row r="42" ht="270" customHeight="true">
      <c r="A42" s="28" t="s">
        <v>344</v>
      </c>
      <c r="B42" s="29" t="str">
        <f>'data'!D91</f>
      </c>
    </row>
    <row r="43" ht="270" customHeight="true">
      <c r="A43" s="28" t="s">
        <v>345</v>
      </c>
      <c r="B43" s="29" t="str">
        <f>'data'!D92</f>
      </c>
    </row>
    <row r="44" ht="270" customHeight="true">
      <c r="A44" s="28" t="s">
        <v>346</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