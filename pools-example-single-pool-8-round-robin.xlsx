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<sst xmlns="http://schemas.openxmlformats.org/spreadsheetml/2006/main" count="68" uniqueCount="68">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</sst>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'data'!$B$5</f>
      </c>
      <c r="B11" s="18"/>
      <c r="C11" s="18"/>
      <c r="D11" s="18"/>
      <c r="E11" s="18"/>
      <c r="F11" s="18"/>
      <c r="G11" s="14" t="str">
        <f>'data'!$B$3</f>
      </c>
    </row>
    <row r="12">
      <c r="A12" s="14" t="str">
        <f>'data'!$B$6</f>
      </c>
      <c r="B12" s="18"/>
      <c r="C12" s="18"/>
      <c r="D12" s="18"/>
      <c r="E12" s="18"/>
      <c r="F12" s="18"/>
      <c r="G12" s="14" t="str">
        <f>'data'!$B$4</f>
      </c>
    </row>
    <row r="13">
      <c r="A13" s="14" t="str">
        <f>'data'!$B$7</f>
      </c>
      <c r="B13" s="18"/>
      <c r="C13" s="18"/>
      <c r="D13" s="18"/>
      <c r="E13" s="18"/>
      <c r="F13" s="18"/>
      <c r="G13" s="14" t="str">
        <f>'data'!$B$5</f>
      </c>
    </row>
    <row r="14">
      <c r="A14" s="14" t="str">
        <f>'data'!$B$8</f>
      </c>
      <c r="B14" s="18"/>
      <c r="C14" s="18"/>
      <c r="D14" s="18"/>
      <c r="E14" s="18"/>
      <c r="F14" s="18"/>
      <c r="G14" s="14" t="str">
        <f>'data'!$B$6</f>
      </c>
    </row>
    <row r="15">
      <c r="A15" s="14" t="str">
        <f>'data'!$B$9</f>
      </c>
      <c r="B15" s="18"/>
      <c r="C15" s="18"/>
      <c r="D15" s="18"/>
      <c r="E15" s="18"/>
      <c r="F15" s="18"/>
      <c r="G15" s="14" t="str">
        <f>'data'!$B$7</f>
      </c>
    </row>
    <row r="16">
      <c r="A16" s="14" t="str">
        <f>'data'!$B$10</f>
      </c>
      <c r="B16" s="18"/>
      <c r="C16" s="18"/>
      <c r="D16" s="18"/>
      <c r="E16" s="18"/>
      <c r="F16" s="18"/>
      <c r="G16" s="14" t="str">
        <f>'data'!$B$8</f>
      </c>
    </row>
    <row r="17">
      <c r="A17" s="14" t="str">
        <f>'data'!$B$6</f>
      </c>
      <c r="B17" s="18"/>
      <c r="C17" s="18"/>
      <c r="D17" s="18"/>
      <c r="E17" s="18"/>
      <c r="F17" s="18"/>
      <c r="G17" s="14" t="str">
        <f>'data'!$B$3</f>
      </c>
    </row>
    <row r="18">
      <c r="A18" s="14" t="str">
        <f>'data'!$B$7</f>
      </c>
      <c r="B18" s="18"/>
      <c r="C18" s="18"/>
      <c r="D18" s="18"/>
      <c r="E18" s="18"/>
      <c r="F18" s="18"/>
      <c r="G18" s="14" t="str">
        <f>'data'!$B$4</f>
      </c>
    </row>
    <row r="19">
      <c r="A19" s="14" t="str">
        <f>'data'!$B$8</f>
      </c>
      <c r="B19" s="18"/>
      <c r="C19" s="18"/>
      <c r="D19" s="18"/>
      <c r="E19" s="18"/>
      <c r="F19" s="18"/>
      <c r="G19" s="14" t="str">
        <f>'data'!$B$5</f>
      </c>
    </row>
    <row r="20">
      <c r="A20" s="14" t="str">
        <f>'data'!$B$9</f>
      </c>
      <c r="B20" s="18"/>
      <c r="C20" s="18"/>
      <c r="D20" s="18"/>
      <c r="E20" s="18"/>
      <c r="F20" s="18"/>
      <c r="G20" s="14" t="str">
        <f>'data'!$B$6</f>
      </c>
    </row>
    <row r="21">
      <c r="A21" s="14" t="str">
        <f>'data'!$B$10</f>
      </c>
      <c r="B21" s="18"/>
      <c r="C21" s="18"/>
      <c r="D21" s="18"/>
      <c r="E21" s="18"/>
      <c r="F21" s="18"/>
      <c r="G21" s="14" t="str">
        <f>'data'!$B$7</f>
      </c>
    </row>
    <row r="22">
      <c r="A22" s="14" t="str">
        <f>'data'!$B$3</f>
      </c>
      <c r="B22" s="18"/>
      <c r="C22" s="18"/>
      <c r="D22" s="18"/>
      <c r="E22" s="18"/>
      <c r="F22" s="18"/>
      <c r="G22" s="14" t="str">
        <f>'data'!$B$7</f>
      </c>
    </row>
    <row r="23">
      <c r="A23" s="14" t="str">
        <f>'data'!$B$8</f>
      </c>
      <c r="B23" s="18"/>
      <c r="C23" s="18"/>
      <c r="D23" s="18"/>
      <c r="E23" s="18"/>
      <c r="F23" s="18"/>
      <c r="G23" s="14" t="str">
        <f>'data'!$B$4</f>
      </c>
    </row>
    <row r="24">
      <c r="A24" s="14" t="str">
        <f>'data'!$B$9</f>
      </c>
      <c r="B24" s="18"/>
      <c r="C24" s="18"/>
      <c r="D24" s="18"/>
      <c r="E24" s="18"/>
      <c r="F24" s="18"/>
      <c r="G24" s="14" t="str">
        <f>'data'!$B$5</f>
      </c>
    </row>
    <row r="25">
      <c r="A25" s="14" t="str">
        <f>'data'!$B$10</f>
      </c>
      <c r="B25" s="18"/>
      <c r="C25" s="18"/>
      <c r="D25" s="18"/>
      <c r="E25" s="18"/>
      <c r="F25" s="18"/>
      <c r="G25" s="14" t="str">
        <f>'data'!$B$6</f>
      </c>
    </row>
    <row r="26">
      <c r="A26" s="14" t="str">
        <f>'data'!$B$8</f>
      </c>
      <c r="B26" s="18"/>
      <c r="C26" s="18"/>
      <c r="D26" s="18"/>
      <c r="E26" s="18"/>
      <c r="F26" s="18"/>
      <c r="G26" s="14" t="str">
        <f>'data'!$B$3</f>
      </c>
    </row>
    <row r="27">
      <c r="A27" s="14" t="str">
        <f>'data'!$B$9</f>
      </c>
      <c r="B27" s="18"/>
      <c r="C27" s="18"/>
      <c r="D27" s="18"/>
      <c r="E27" s="18"/>
      <c r="F27" s="18"/>
      <c r="G27" s="14" t="str">
        <f>'data'!$B$4</f>
      </c>
    </row>
    <row r="28">
      <c r="A28" s="14" t="str">
        <f>'data'!$B$10</f>
      </c>
      <c r="B28" s="18"/>
      <c r="C28" s="18"/>
      <c r="D28" s="18"/>
      <c r="E28" s="18"/>
      <c r="F28" s="18"/>
      <c r="G28" s="14" t="str">
        <f>'data'!$B$5</f>
      </c>
    </row>
    <row r="29">
      <c r="A29" s="14" t="str">
        <f>'data'!$B$9</f>
      </c>
      <c r="B29" s="18"/>
      <c r="C29" s="18"/>
      <c r="D29" s="18"/>
      <c r="E29" s="18"/>
      <c r="F29" s="18"/>
      <c r="G29" s="14" t="str">
        <f>'data'!$B$3</f>
      </c>
    </row>
    <row r="30">
      <c r="A30" s="14" t="str">
        <f>'data'!$B$10</f>
      </c>
      <c r="B30" s="18"/>
      <c r="C30" s="18"/>
      <c r="D30" s="18"/>
      <c r="E30" s="18"/>
      <c r="F30" s="18"/>
      <c r="G30" s="14" t="str">
        <f>'data'!$B$4</f>
      </c>
    </row>
    <row r="31">
      <c r="A31" s="14" t="str">
        <f>'data'!$B$10</f>
      </c>
      <c r="B31" s="18"/>
      <c r="C31" s="18"/>
      <c r="D31" s="18"/>
      <c r="E31" s="18"/>
      <c r="F31" s="18"/>
      <c r="G31" s="14" t="str">
        <f>'data'!$B$3</f>
      </c>
    </row>
    <row r="33">
      <c r="A33" s="13" t="s">
        <v>36</v>
      </c>
      <c r="B33" s="13" t="s">
        <v>37</v>
      </c>
      <c r="C33" s="13" t="s">
        <v>38</v>
      </c>
      <c r="D33" s="13" t="s">
        <v>39</v>
      </c>
      <c r="E33" s="13" t="s">
        <v>40</v>
      </c>
      <c r="F33" s="13" t="s">
        <v>41</v>
      </c>
      <c r="G33" s="13" t="s">
        <v>42</v>
      </c>
    </row>
    <row r="34">
      <c r="A34" s="14" t="str">
        <f>'data'!$B$3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43</v>
      </c>
    </row>
    <row r="45">
      <c r="F45" t="s">
        <v>44</v>
      </c>
      <c r="G45" s="19" t="str">
        <f>IFERROR(INDEX($A$34:$A$41, MATCH(1, $G$34:$G$41, 0)), "-")</f>
      </c>
    </row>
    <row r="46">
      <c r="F46" t="s">
        <v>45</v>
      </c>
      <c r="G46" s="19" t="str">
        <f>IFERROR(INDEX($A$34:$A$41, MATCH(2, $G$34:$G$41, 0)), "-")</f>
      </c>
    </row>
    <row r="47">
      <c r="F47" t="s">
        <v>46</v>
      </c>
      <c r="G47" s="19" t="str">
        <f>IFERROR(INDEX($A$34:$A$41, MATCH(3, $G$34:$G$41, 0)), "-")</f>
      </c>
    </row>
    <row r="48">
      <c r="F48" t="s">
        <v>47</v>
      </c>
      <c r="G48" s="19" t="str">
        <f>IFERROR(INDEX($A$34:$A$41, MATCH(4, $G$34:$G$41, 0)), "-")</f>
      </c>
    </row>
    <row r="49">
      <c r="F49" t="s">
        <v>48</v>
      </c>
      <c r="G49" s="19" t="str">
        <f>IFERROR(INDEX($A$34:$A$41, MATCH(5, $G$34:$G$41, 0)), "-")</f>
      </c>
    </row>
    <row r="50">
      <c r="F50" t="s">
        <v>49</v>
      </c>
      <c r="G50" s="19" t="str">
        <f>IFERROR(INDEX($A$34:$A$41, MATCH(6, $G$34:$G$41, 0)), "-")</f>
      </c>
    </row>
    <row r="51">
      <c r="F51" t="s">
        <v>50</v>
      </c>
      <c r="G51" s="19" t="str">
        <f>IFERROR(INDEX($A$34:$A$41, MATCH(7, $G$34:$G$41, 0)), "-")</f>
      </c>
    </row>
    <row r="52">
      <c r="F52" t="s">
        <v>51</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Matches'!G46)</f>
      </c>
      <c r="B4" s="18"/>
      <c r="C4" s="18"/>
      <c r="D4" s="18"/>
      <c r="E4" s="18"/>
      <c r="F4" s="18"/>
      <c r="G4" s="14" t="str">
        <f>CONCATENATE("Pool A-1st ",'Pool Matches'!G45)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'data'!$A$10</f>
      </c>
    </row>
    <row r="5">
      <c r="A5" s="25" t="str">
        <f>"1. " &amp; data!$B$3</f>
      </c>
      <c r="C5" s="23" t="str">
        <f>CONCATENATE("Pool A-1st ",'Pool Matches'!G45)</f>
      </c>
    </row>
    <row r="6">
      <c r="A6" s="26" t="str">
        <f>"2. " &amp; data!$B$4</f>
      </c>
      <c r="D6" s="22"/>
      <c r="E6" s="21">
        <v>1</v>
      </c>
    </row>
    <row r="7">
      <c r="A7" s="26" t="str">
        <f>"3. " &amp; data!$B$5</f>
      </c>
      <c r="C7" s="23" t="str">
        <f>CONCATENATE("Pool A-2nd ",'Pool Matches'!G46)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409" customHeight="true">
      <c r="A1" s="30" t="s">
        <v>52</v>
      </c>
    </row>
    <row r="2" ht="409" customHeight="true">
      <c r="A2" s="30" t="s">
        <v>52</v>
      </c>
    </row>
    <row r="3" ht="409" customHeight="true">
      <c r="A3" s="30" t="s">
        <v>53</v>
      </c>
    </row>
    <row r="4" ht="409" customHeight="true">
      <c r="A4" s="30" t="s">
        <v>53</v>
      </c>
    </row>
    <row r="5" ht="409" customHeight="true">
      <c r="A5" s="30" t="s">
        <v>54</v>
      </c>
    </row>
    <row r="6" ht="409" customHeight="true">
      <c r="A6" s="30" t="s">
        <v>54</v>
      </c>
    </row>
    <row r="7" ht="409" customHeight="true">
      <c r="A7" s="30" t="s">
        <v>55</v>
      </c>
    </row>
    <row r="8" ht="409" customHeight="true">
      <c r="A8" s="30" t="s">
        <v>55</v>
      </c>
    </row>
    <row r="9" ht="409" customHeight="true">
      <c r="A9" s="30" t="s">
        <v>56</v>
      </c>
    </row>
    <row r="10" ht="409" customHeight="true">
      <c r="A10" s="30" t="s">
        <v>56</v>
      </c>
    </row>
    <row r="11" ht="409" customHeight="true">
      <c r="A11" s="30" t="s">
        <v>57</v>
      </c>
    </row>
    <row r="12" ht="409" customHeight="true">
      <c r="A12" s="30" t="s">
        <v>57</v>
      </c>
    </row>
    <row r="13" ht="409" customHeight="true">
      <c r="A13" s="30" t="s">
        <v>58</v>
      </c>
    </row>
    <row r="14" ht="409" customHeight="true">
      <c r="A14" s="30" t="s">
        <v>58</v>
      </c>
    </row>
    <row r="15" ht="409" customHeight="true">
      <c r="A15" s="30" t="s">
        <v>59</v>
      </c>
    </row>
    <row r="16" ht="409"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