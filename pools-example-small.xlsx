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<sst xmlns="http://schemas.openxmlformats.org/spreadsheetml/2006/main" count="76" uniqueCount="76">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</sst>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43</v>
      </c>
      <c r="C11" s="14" t="s">
        <v>46</v>
      </c>
      <c r="D11" s="14"/>
      <c r="E11" s="14" t="s">
        <v>46</v>
      </c>
      <c r="F11" s="14" t="s">
        <v>43</v>
      </c>
      <c r="G11" s="14" t="str">
        <f>CONCATENATE("Pool B-1st ",'Pool Matches'!G107)</f>
      </c>
      <c r="I11" s="14" t="str">
        <f>CONCATENATE("Pool B-2nd ",'Pool Matches'!G108)</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C-1st ",'Pool Matches'!O64)</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"1. " &amp; data!$B$3</f>
      </c>
    </row>
    <row r="6">
      <c r="A6" s="26" t="str">
        <f>"2. " &amp; data!$B$4</f>
      </c>
      <c r="C6" s="23"/>
      <c r="D6" s="23"/>
      <c r="E6" s="23" t="str">
        <f>CONCATENATE("Pool A-1st ",'Pool Matches'!G66)</f>
      </c>
    </row>
    <row r="7">
      <c r="A7" s="26" t="str">
        <f>"3. " &amp; data!$B$5</f>
      </c>
      <c r="F7" s="22"/>
      <c r="G7" s="20"/>
    </row>
    <row r="8">
      <c r="A8" s="27" t="str">
        <f>"4. " &amp; data!$B$6</f>
      </c>
      <c r="G8" s="21">
        <v>3</v>
      </c>
    </row>
    <row r="9">
      <c r="A9" s="22"/>
      <c r="C9" s="23" t="str">
        <f>CONCATENATE("Pool B-1st ",'Pool Matches'!G107)</f>
      </c>
      <c r="G9" s="20"/>
    </row>
    <row r="10">
      <c r="A10" s="24" t="str">
        <f>'data'!$A$9</f>
      </c>
      <c r="D10" s="22"/>
      <c r="E10" s="21">
        <v>1</v>
      </c>
      <c r="F10" s="15"/>
      <c r="G10" s="20"/>
    </row>
    <row r="11">
      <c r="A11" s="25" t="str">
        <f>"1. " &amp; data!$B$7</f>
      </c>
      <c r="C11" s="23" t="str">
        <f>CONCATENATE("Pool C-2nd ",'Pool Matches'!O65)</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"1. " &amp; data!$B$10</f>
      </c>
    </row>
    <row r="6">
      <c r="A6" s="26" t="str">
        <f>"2. " &amp; data!$B$11</f>
      </c>
      <c r="C6" s="23"/>
      <c r="D6" s="23"/>
      <c r="E6" s="23" t="str">
        <f>CONCATENATE("Pool C-1st ",'Pool Matches'!O64)</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