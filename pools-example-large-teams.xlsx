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Matches'!$A$1:$O$641</definedName>
    <definedName localSheetId="9" name="_xlnm.Print_Area">'Names to Print A'!$A$1:$B$46</definedName>
    <definedName localSheetId="10" name="_xlnm.Print_Area">'Names to Print B'!$A$1:$B$45</definedName>
    <definedName localSheetId="4" name="_xlnm.Print_Area">'Elimination Matches'!$A$1:$O$511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<sst xmlns="http://schemas.openxmlformats.org/spreadsheetml/2006/main" count="414" uniqueCount="414">
  <si>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</si>
  <si>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</si>
  <si>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</si>
  <si>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</si>
  <si>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</si>
  <si>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</si>
  <si>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</si>
  <si>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</si>
  <si>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</si>
  <si>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</si>
  <si>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</si>
  <si>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</si>
  <si>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</si>
  <si>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</si>
  <si>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</si>
  <si>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</si>
  <si>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</si>
  <si>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</si>
  <si>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</si>
  <si>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</si>
  <si>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</si>
  <si>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</si>
  <si>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</si>
  <si>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</si>
  <si>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</si>
  <si>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</si>
  <si>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</si>
  <si>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</si>
  <si>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</si>
  <si>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</si>
  <si>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</si>
  <si>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</si>
  <si>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</si>
  <si>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</si>
  <si>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</si>
  <si>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</si>
  <si>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</si>
  <si>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</si>
  <si>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</si>
  <si>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</si>
  <si>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</si>
  <si>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</si>
  <si>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</si>
  <si>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</si>
  <si>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</si>
  <si>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</si>
  <si>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</si>
  <si>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</si>
  <si>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</si>
  <si>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</si>
  <si>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</si>
  <si>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</si>
  <si>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</si>
  <si>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</si>
  <si>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</si>
  <si>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</si>
  <si>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</si>
  <si>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</si>
  <si>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</si>
  <si>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</si>
  <si>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</si>
  <si>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</si>
  <si>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</si>
  <si>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</si>
  <si>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</si>
  <si>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</si>
  <si>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</si>
  <si>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</si>
  <si>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</si>
  <si>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</si>
  <si>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</si>
  <si>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</si>
  <si>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</si>
  <si>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</si>
  <si>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</si>
  <si>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</si>
  <si>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</si>
  <si>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</si>
  <si>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</si>
  <si>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</si>
  <si>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</si>
  <si>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</si>
  <si>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</si>
  <si>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</si>
  <si>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</si>
  <si>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</si>
  <si>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</si>
  <si>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</si>
  <si>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</si>
  <si>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</si>
  <si>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</si>
  <si>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</si>
  <si>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</si>
  <si>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</si>
  <si>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</si>
  <si>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</si>
  <si>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</si>
  <si>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</si>
  <si>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</si>
  <si>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</si>
  <si>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</si>
  <si>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</si>
  <si>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</si>
  <si>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</si>
  <si>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</si>
  <si>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</si>
  <si>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</si>
  <si>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</si>
  <si>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</si>
  <si>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</si>
  <si>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</si>
  <si>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</si>
  <si>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</si>
  <si>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</si>
  <si>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</si>
  <si>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</si>
  <si>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</si>
  <si>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</si>
  <si>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</si>
  <si>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</si>
  <si>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</si>
  <si>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</si>
  <si>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</si>
  <si>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</si>
  <si>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</si>
  <si>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</si>
  <si>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</si>
  <si>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</si>
  <si>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</si>
  <si>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</si>
  <si>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</si>
  <si>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</si>
  <si>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</si>
  <si>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</si>
  <si>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</si>
  <si>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</si>
  <si>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</si>
  <si>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</si>
  <si>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</si>
  <si>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</si>
  <si>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</si>
  <si>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</si>
  <si>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</si>
  <si>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</si>
  <si>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</si>
  <si>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</si>
  <si>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</si>
  <si>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</si>
  <si>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</si>
  <si>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</si>
  <si>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</si>
  <si>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</si>
  <si>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</si>
  <si>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</si>
  <si>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</si>
  <si>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</si>
  <si>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</si>
  <si>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</si>
  <si>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</si>
  <si>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</si>
  <si>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</si>
  <si>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</si>
  <si>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</si>
  <si>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</si>
  <si>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</si>
  <si>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</si>
  <si>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</si>
  <si>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</si>
  <si>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</si>
  <si>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</si>
  <si>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</si>
  <si>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</si>
  <si>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</si>
  <si>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</si>
  <si>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</si>
  <si>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</si>
  <si>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</si>
  <si>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</si>
  <si>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</si>
  <si>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</si>
  <si>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</si>
  <si>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</si>
  <si>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</si>
  <si>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</si>
  <si>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</si>
  <si>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</si>
  <si>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</si>
  <si>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</si>
  <si>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</si>
  <si>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</si>
  <si>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</si>
  <si>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</si>
  <si>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</si>
  <si>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</si>
  <si>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</si>
  <si>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</si>
  <si>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</si>
  <si>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</si>
  <si>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</si>
  <si>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</si>
  <si>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</si>
  <si>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</si>
  <si>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</si>
  <si>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</si>
  <si>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</si>
  <si>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</si>
  <si>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</si>
  <si>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</si>
  <si>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</si>
  <si>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</si>
  <si>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</si>
  <si>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</si>
  <si>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</si>
  <si>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</si>
  <si>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</si>
  <si>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</si>
  <si>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</si>
  <si>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</si>
  <si>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</si>
  <si>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</si>
  <si>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</si>
  <si>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</si>
  <si>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</si>
  <si>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</si>
  <si>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</si>
  <si>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</si>
  <si>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</si>
  <si>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</si>
  <si>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</si>
  <si>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</si>
  <si>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</si>
  <si>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</si>
  <si>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</si>
  <si>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</si>
  <si>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</si>
  <si>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</si>
  <si>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</si>
  <si>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</si>
  <si>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</si>
  <si>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</si>
  <si>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</si>
  <si>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W</t>
  </si>
  <si>
    <t>L</t>
  </si>
  <si>
    <t>T</t>
  </si>
  <si>
    <t>IV</t>
  </si>
  <si>
    <t>IL</t>
  </si>
  <si>
    <t>IT</t>
  </si>
  <si>
    <t>PW</t>
  </si>
  <si>
    <t>PL</t>
  </si>
  <si>
    <t>Ranking</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</si>
  <si>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</si>
  <si>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</si>
  <si>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</si>
  <si>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</si>
  <si>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</si>
  <si>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</si>
  <si>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</si>
  <si>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</si>
  <si>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</si>
  <si>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</si>
  <si>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</si>
  <si>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</si>
  <si>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</si>
  <si>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</si>
  <si>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</si>
  <si>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</si>
  <si>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</si>
  <si>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</si>
  <si>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</si>
  <si>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</si>
  <si>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</si>
  <si>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</si>
  <si>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</si>
  <si>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</si>
  <si>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</si>
  <si>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</si>
  <si>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</si>
  <si>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</si>
  <si>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</si>
  <si>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</si>
  <si>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</si>
  <si>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</si>
  <si>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</si>
  <si>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</si>
  <si>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</si>
  <si>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</si>
  <si>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</si>
  <si>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</si>
  <si>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</si>
  <si>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</si>
  <si>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</si>
  <si>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</si>
  <si>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</si>
  <si>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</si>
  <si>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</si>
  <si>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</si>
  <si>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</si>
  <si>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</si>
  <si>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</si>
  <si>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</si>
  <si>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</si>
  <si>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</si>
  <si>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</si>
  <si>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</si>
  <si>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</si>
  <si>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</si>
  <si>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</si>
  <si>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</si>
  <si>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</si>
  <si>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</si>
  <si>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</si>
  <si>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</si>
  <si>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</si>
  <si>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</si>
  <si>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</si>
  <si>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</si>
  <si>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</si>
  <si>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</si>
  <si>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</si>
  <si>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</si>
  <si>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</si>
  <si>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</si>
  <si>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</si>
  <si>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</si>
  <si>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</si>
  <si>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</si>
  <si>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</si>
  <si>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</si>
  <si>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</si>
  <si>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</si>
  <si>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</si>
  <si>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</si>
  <si>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</si>
  <si>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</si>
  <si>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</si>
  <si>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</si>
  <si>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</si>
  <si>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</si>
  <si>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</si>
  <si>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</si>
  <si>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</si>
  <si>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</si>
  <si>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</si>
  <si>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</si>
  <si>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</si>
  <si>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</si>
  <si>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Victories / Points</t>
  </si>
  <si>
    <t>1.</t>
  </si>
  <si>
    <t>2.</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</si>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</sst>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8" t="str">
        <f>SUMPRODUCT((UPPER(D5:D9)&lt;&gt;"X")*((LEN(SUBSTITUTE(SUBSTITUTE(SUBSTITUTE(B5:B9," ",""),"0",""),"-",""))+LEN(SUBSTITUTE(SUBSTITUTE(SUBSTITUTE(C5:C9," ",""),"0",""),"-","")))&gt;(LEN(SUBSTITUTE(SUBSTITUTE(SUBSTITUTE(E5:E9," ",""),"0",""),"-",""))+LEN(SUBSTITUTE(SUBSTITUTE(SUBSTITUTE(F5:F9," ",""),"0",""),"-",""))))*1)</f>
      </c>
      <c r="C4" s="18" t="str">
        <f>SUMPRODUCT(LEN(SUBSTITUTE(SUBSTITUTE(SUBSTITUTE(B5:B9," ",""),"0",""),"-",""))+LEN(SUBSTITUTE(SUBSTITUTE(SUBSTITUTE(C5:C9," ",""),"0",""),"-","")))</f>
      </c>
      <c r="D4" s="18"/>
      <c r="E4" s="18" t="str">
        <f>SUMPRODUCT(LEN(SUBSTITUTE(SUBSTITUTE(SUBSTITUTE(E5:E9," ",""),"0",""),"-",""))+LEN(SUBSTITUTE(SUBSTITUTE(SUBSTITUTE(F5:F9," ",""),"0",""),"-","")))</f>
      </c>
      <c r="F4" s="18" t="str">
        <f>SUMPRODUCT((UPPER(D5:D9)&lt;&gt;"X")*((LEN(SUBSTITUTE(SUBSTITUTE(SUBSTITUTE(E5:E9," ",""),"0",""),"-",""))+LEN(SUBSTITUTE(SUBSTITUTE(SUBSTITUTE(F5:F9," ",""),"0",""),"-","")))&gt;(LEN(SUBSTITUTE(SUBSTITUTE(SUBSTITUTE(B5:B9," ",""),"0",""),"-",""))+LEN(SUBSTITUTE(SUBSTITUTE(SUBSTITUTE(C5:C9," ",""),"0",""),"-",""))))*1)</f>
      </c>
      <c r="G4" s="14" t="str">
        <f>data!$B$3</f>
      </c>
      <c r="I4" s="14" t="str">
        <f>data!$B$50</f>
      </c>
      <c r="J4" s="18" t="str">
        <f>SUMPRODUCT((UPPER(L5:L9)&lt;&gt;"X")*((LEN(SUBSTITUTE(SUBSTITUTE(SUBSTITUTE(J5:J9," ",""),"0",""),"-",""))+LEN(SUBSTITUTE(SUBSTITUTE(SUBSTITUTE(K5:K9," ",""),"0",""),"-","")))&gt;(LEN(SUBSTITUTE(SUBSTITUTE(SUBSTITUTE(M5:M9," ",""),"0",""),"-",""))+LEN(SUBSTITUTE(SUBSTITUTE(SUBSTITUTE(N5:N9," ",""),"0",""),"-",""))))*1)</f>
      </c>
      <c r="K4" s="18" t="str">
        <f>SUMPRODUCT(LEN(SUBSTITUTE(SUBSTITUTE(SUBSTITUTE(J5:J9," ",""),"0",""),"-",""))+LEN(SUBSTITUTE(SUBSTITUTE(SUBSTITUTE(K5:K9," ",""),"0",""),"-","")))</f>
      </c>
      <c r="L4" s="18"/>
      <c r="M4" s="18" t="str">
        <f>SUMPRODUCT(LEN(SUBSTITUTE(SUBSTITUTE(SUBSTITUTE(M5:M9," ",""),"0",""),"-",""))+LEN(SUBSTITUTE(SUBSTITUTE(SUBSTITUTE(N5:N9," ",""),"0",""),"-","")))</f>
      </c>
      <c r="N4" s="18" t="str">
        <f>SUMPRODUCT((UPPER(L5:L9)&lt;&gt;"X")*((LEN(SUBSTITUTE(SUBSTITUTE(SUBSTITUTE(M5:M9," ",""),"0",""),"-",""))+LEN(SUBSTITUTE(SUBSTITUTE(SUBSTITUTE(N5:N9," ",""),"0",""),"-","")))&gt;(LEN(SUBSTITUTE(SUBSTITUTE(SUBSTITUTE(J5:J9," ",""),"0",""),"-",""))+LEN(SUBSTITUTE(SUBSTITUTE(SUBSTITUTE(K5:K9," ",""),"0",""),"-",""))))*1)</f>
      </c>
      <c r="O4" s="14" t="str">
        <f>data!$B$49</f>
      </c>
    </row>
    <row r="5">
      <c r="A5" s="18">
        <v>1</v>
      </c>
      <c r="B5" s="18"/>
      <c r="C5" s="18"/>
      <c r="D5" s="18"/>
      <c r="E5" s="18"/>
      <c r="F5" s="18"/>
      <c r="G5" s="18">
        <v>1</v>
      </c>
      <c r="I5" s="18">
        <v>1</v>
      </c>
      <c r="J5" s="18"/>
      <c r="K5" s="18"/>
      <c r="L5" s="18"/>
      <c r="M5" s="18"/>
      <c r="N5" s="18"/>
      <c r="O5" s="18">
        <v>1</v>
      </c>
    </row>
    <row r="6">
      <c r="A6" s="18">
        <v>2</v>
      </c>
      <c r="B6" s="18"/>
      <c r="C6" s="18"/>
      <c r="D6" s="18"/>
      <c r="E6" s="18"/>
      <c r="F6" s="18"/>
      <c r="G6" s="18">
        <v>2</v>
      </c>
      <c r="I6" s="18">
        <v>2</v>
      </c>
      <c r="J6" s="18"/>
      <c r="K6" s="18"/>
      <c r="L6" s="18"/>
      <c r="M6" s="18"/>
      <c r="N6" s="18"/>
      <c r="O6" s="18">
        <v>2</v>
      </c>
    </row>
    <row r="7">
      <c r="A7" s="18">
        <v>3</v>
      </c>
      <c r="B7" s="18"/>
      <c r="C7" s="18"/>
      <c r="D7" s="18"/>
      <c r="E7" s="18"/>
      <c r="F7" s="18"/>
      <c r="G7" s="18">
        <v>3</v>
      </c>
      <c r="I7" s="18">
        <v>3</v>
      </c>
      <c r="J7" s="18"/>
      <c r="K7" s="18"/>
      <c r="L7" s="18"/>
      <c r="M7" s="18"/>
      <c r="N7" s="18"/>
      <c r="O7" s="18">
        <v>3</v>
      </c>
    </row>
    <row r="8">
      <c r="A8" s="18">
        <v>4</v>
      </c>
      <c r="B8" s="18"/>
      <c r="C8" s="18"/>
      <c r="D8" s="18"/>
      <c r="E8" s="18"/>
      <c r="F8" s="18"/>
      <c r="G8" s="18">
        <v>4</v>
      </c>
      <c r="I8" s="18">
        <v>4</v>
      </c>
      <c r="J8" s="18"/>
      <c r="K8" s="18"/>
      <c r="L8" s="18"/>
      <c r="M8" s="18"/>
      <c r="N8" s="18"/>
      <c r="O8" s="18">
        <v>4</v>
      </c>
    </row>
    <row r="9">
      <c r="A9" s="18">
        <v>5</v>
      </c>
      <c r="B9" s="18"/>
      <c r="C9" s="18"/>
      <c r="D9" s="18"/>
      <c r="E9" s="18"/>
      <c r="F9" s="18"/>
      <c r="G9" s="18">
        <v>5</v>
      </c>
      <c r="I9" s="18">
        <v>5</v>
      </c>
      <c r="J9" s="18"/>
      <c r="K9" s="18"/>
      <c r="L9" s="18"/>
      <c r="M9" s="18"/>
      <c r="N9" s="18"/>
      <c r="O9" s="18">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8" t="str">
        <f>SUMPRODUCT((UPPER(D13:D17)&lt;&gt;"X")*((LEN(SUBSTITUTE(SUBSTITUTE(SUBSTITUTE(B13:B17," ",""),"0",""),"-",""))+LEN(SUBSTITUTE(SUBSTITUTE(SUBSTITUTE(C13:C17," ",""),"0",""),"-","")))&gt;(LEN(SUBSTITUTE(SUBSTITUTE(SUBSTITUTE(E13:E17," ",""),"0",""),"-",""))+LEN(SUBSTITUTE(SUBSTITUTE(SUBSTITUTE(F13:F17," ",""),"0",""),"-",""))))*1)</f>
      </c>
      <c r="C12" s="18" t="str">
        <f>SUMPRODUCT(LEN(SUBSTITUTE(SUBSTITUTE(SUBSTITUTE(B13:B17," ",""),"0",""),"-",""))+LEN(SUBSTITUTE(SUBSTITUTE(SUBSTITUTE(C13:C17," ",""),"0",""),"-","")))</f>
      </c>
      <c r="D12" s="18"/>
      <c r="E12" s="18" t="str">
        <f>SUMPRODUCT(LEN(SUBSTITUTE(SUBSTITUTE(SUBSTITUTE(E13:E17," ",""),"0",""),"-",""))+LEN(SUBSTITUTE(SUBSTITUTE(SUBSTITUTE(F13:F17," ",""),"0",""),"-","")))</f>
      </c>
      <c r="F12" s="18" t="str">
        <f>SUMPRODUCT((UPPER(D13:D17)&lt;&gt;"X")*((LEN(SUBSTITUTE(SUBSTITUTE(SUBSTITUTE(E13:E17," ",""),"0",""),"-",""))+LEN(SUBSTITUTE(SUBSTITUTE(SUBSTITUTE(F13:F17," ",""),"0",""),"-","")))&gt;(LEN(SUBSTITUTE(SUBSTITUTE(SUBSTITUTE(B13:B17," ",""),"0",""),"-",""))+LEN(SUBSTITUTE(SUBSTITUTE(SUBSTITUTE(C13:C17," ",""),"0",""),"-",""))))*1)</f>
      </c>
      <c r="G12" s="14" t="str">
        <f>data!$B$5</f>
      </c>
      <c r="I12" s="14" t="str">
        <f>data!$B$51</f>
      </c>
      <c r="J12" s="18" t="str">
        <f>SUMPRODUCT((UPPER(L13:L17)&lt;&gt;"X")*((LEN(SUBSTITUTE(SUBSTITUTE(SUBSTITUTE(J13:J17," ",""),"0",""),"-",""))+LEN(SUBSTITUTE(SUBSTITUTE(SUBSTITUTE(K13:K17," ",""),"0",""),"-","")))&gt;(LEN(SUBSTITUTE(SUBSTITUTE(SUBSTITUTE(M13:M17," ",""),"0",""),"-",""))+LEN(SUBSTITUTE(SUBSTITUTE(SUBSTITUTE(N13:N17," ",""),"0",""),"-",""))))*1)</f>
      </c>
      <c r="K12" s="18" t="str">
        <f>SUMPRODUCT(LEN(SUBSTITUTE(SUBSTITUTE(SUBSTITUTE(J13:J17," ",""),"0",""),"-",""))+LEN(SUBSTITUTE(SUBSTITUTE(SUBSTITUTE(K13:K17," ",""),"0",""),"-","")))</f>
      </c>
      <c r="L12" s="18"/>
      <c r="M12" s="18" t="str">
        <f>SUMPRODUCT(LEN(SUBSTITUTE(SUBSTITUTE(SUBSTITUTE(M13:M17," ",""),"0",""),"-",""))+LEN(SUBSTITUTE(SUBSTITUTE(SUBSTITUTE(N13:N17," ",""),"0",""),"-","")))</f>
      </c>
      <c r="N12" s="18" t="str">
        <f>SUMPRODUCT((UPPER(L13:L17)&lt;&gt;"X")*((LEN(SUBSTITUTE(SUBSTITUTE(SUBSTITUTE(M13:M17," ",""),"0",""),"-",""))+LEN(SUBSTITUTE(SUBSTITUTE(SUBSTITUTE(N13:N17," ",""),"0",""),"-","")))&gt;(LEN(SUBSTITUTE(SUBSTITUTE(SUBSTITUTE(J13:J17," ",""),"0",""),"-",""))+LEN(SUBSTITUTE(SUBSTITUTE(SUBSTITUTE(K13:K17," ",""),"0",""),"-",""))))*1)</f>
      </c>
      <c r="O12" s="14" t="str">
        <f>data!$B$49</f>
      </c>
    </row>
    <row r="13">
      <c r="A13" s="18">
        <v>1</v>
      </c>
      <c r="B13" s="18"/>
      <c r="C13" s="18"/>
      <c r="D13" s="18"/>
      <c r="E13" s="18"/>
      <c r="F13" s="18"/>
      <c r="G13" s="18">
        <v>1</v>
      </c>
      <c r="I13" s="18">
        <v>1</v>
      </c>
      <c r="J13" s="18"/>
      <c r="K13" s="18"/>
      <c r="L13" s="18"/>
      <c r="M13" s="18"/>
      <c r="N13" s="18"/>
      <c r="O13" s="18">
        <v>1</v>
      </c>
    </row>
    <row r="14">
      <c r="A14" s="18">
        <v>2</v>
      </c>
      <c r="B14" s="18"/>
      <c r="C14" s="18"/>
      <c r="D14" s="18"/>
      <c r="E14" s="18"/>
      <c r="F14" s="18"/>
      <c r="G14" s="18">
        <v>2</v>
      </c>
      <c r="I14" s="18">
        <v>2</v>
      </c>
      <c r="J14" s="18"/>
      <c r="K14" s="18"/>
      <c r="L14" s="18"/>
      <c r="M14" s="18"/>
      <c r="N14" s="18"/>
      <c r="O14" s="18">
        <v>2</v>
      </c>
    </row>
    <row r="15">
      <c r="A15" s="18">
        <v>3</v>
      </c>
      <c r="B15" s="18"/>
      <c r="C15" s="18"/>
      <c r="D15" s="18"/>
      <c r="E15" s="18"/>
      <c r="F15" s="18"/>
      <c r="G15" s="18">
        <v>3</v>
      </c>
      <c r="I15" s="18">
        <v>3</v>
      </c>
      <c r="J15" s="18"/>
      <c r="K15" s="18"/>
      <c r="L15" s="18"/>
      <c r="M15" s="18"/>
      <c r="N15" s="18"/>
      <c r="O15" s="18">
        <v>3</v>
      </c>
    </row>
    <row r="16">
      <c r="A16" s="18">
        <v>4</v>
      </c>
      <c r="B16" s="18"/>
      <c r="C16" s="18"/>
      <c r="D16" s="18"/>
      <c r="E16" s="18"/>
      <c r="F16" s="18"/>
      <c r="G16" s="18">
        <v>4</v>
      </c>
      <c r="I16" s="18">
        <v>4</v>
      </c>
      <c r="J16" s="18"/>
      <c r="K16" s="18"/>
      <c r="L16" s="18"/>
      <c r="M16" s="18"/>
      <c r="N16" s="18"/>
      <c r="O16" s="18">
        <v>4</v>
      </c>
    </row>
    <row r="17">
      <c r="A17" s="18">
        <v>5</v>
      </c>
      <c r="B17" s="18"/>
      <c r="C17" s="18"/>
      <c r="D17" s="18"/>
      <c r="E17" s="18"/>
      <c r="F17" s="18"/>
      <c r="G17" s="18">
        <v>5</v>
      </c>
      <c r="I17" s="18">
        <v>5</v>
      </c>
      <c r="J17" s="18"/>
      <c r="K17" s="18"/>
      <c r="L17" s="18"/>
      <c r="M17" s="18"/>
      <c r="N17" s="18"/>
      <c r="O17" s="18">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8" t="str">
        <f>SUMPRODUCT((UPPER(D21:D25)&lt;&gt;"X")*((LEN(SUBSTITUTE(SUBSTITUTE(SUBSTITUTE(B21:B25," ",""),"0",""),"-",""))+LEN(SUBSTITUTE(SUBSTITUTE(SUBSTITUTE(C21:C25," ",""),"0",""),"-","")))&gt;(LEN(SUBSTITUTE(SUBSTITUTE(SUBSTITUTE(E21:E25," ",""),"0",""),"-",""))+LEN(SUBSTITUTE(SUBSTITUTE(SUBSTITUTE(F21:F25," ",""),"0",""),"-",""))))*1)</f>
      </c>
      <c r="C20" s="18" t="str">
        <f>SUMPRODUCT(LEN(SUBSTITUTE(SUBSTITUTE(SUBSTITUTE(B21:B25," ",""),"0",""),"-",""))+LEN(SUBSTITUTE(SUBSTITUTE(SUBSTITUTE(C21:C25," ",""),"0",""),"-","")))</f>
      </c>
      <c r="D20" s="18"/>
      <c r="E20" s="18" t="str">
        <f>SUMPRODUCT(LEN(SUBSTITUTE(SUBSTITUTE(SUBSTITUTE(E21:E25," ",""),"0",""),"-",""))+LEN(SUBSTITUTE(SUBSTITUTE(SUBSTITUTE(F21:F25," ",""),"0",""),"-","")))</f>
      </c>
      <c r="F20" s="18" t="str">
        <f>SUMPRODUCT((UPPER(D21:D25)&lt;&gt;"X")*((LEN(SUBSTITUTE(SUBSTITUTE(SUBSTITUTE(E21:E25," ",""),"0",""),"-",""))+LEN(SUBSTITUTE(SUBSTITUTE(SUBSTITUTE(F21:F25," ",""),"0",""),"-","")))&gt;(LEN(SUBSTITUTE(SUBSTITUTE(SUBSTITUTE(B21:B25," ",""),"0",""),"-",""))+LEN(SUBSTITUTE(SUBSTITUTE(SUBSTITUTE(C21:C25," ",""),"0",""),"-",""))))*1)</f>
      </c>
      <c r="G20" s="14" t="str">
        <f>data!$B$5</f>
      </c>
      <c r="I20" s="14" t="str">
        <f>data!$B$51</f>
      </c>
      <c r="J20" s="18" t="str">
        <f>SUMPRODUCT((UPPER(L21:L25)&lt;&gt;"X")*((LEN(SUBSTITUTE(SUBSTITUTE(SUBSTITUTE(J21:J25," ",""),"0",""),"-",""))+LEN(SUBSTITUTE(SUBSTITUTE(SUBSTITUTE(K21:K25," ",""),"0",""),"-","")))&gt;(LEN(SUBSTITUTE(SUBSTITUTE(SUBSTITUTE(M21:M25," ",""),"0",""),"-",""))+LEN(SUBSTITUTE(SUBSTITUTE(SUBSTITUTE(N21:N25," ",""),"0",""),"-",""))))*1)</f>
      </c>
      <c r="K20" s="18" t="str">
        <f>SUMPRODUCT(LEN(SUBSTITUTE(SUBSTITUTE(SUBSTITUTE(J21:J25," ",""),"0",""),"-",""))+LEN(SUBSTITUTE(SUBSTITUTE(SUBSTITUTE(K21:K25," ",""),"0",""),"-","")))</f>
      </c>
      <c r="L20" s="18"/>
      <c r="M20" s="18" t="str">
        <f>SUMPRODUCT(LEN(SUBSTITUTE(SUBSTITUTE(SUBSTITUTE(M21:M25," ",""),"0",""),"-",""))+LEN(SUBSTITUTE(SUBSTITUTE(SUBSTITUTE(N21:N25," ",""),"0",""),"-","")))</f>
      </c>
      <c r="N20" s="18" t="str">
        <f>SUMPRODUCT((UPPER(L21:L25)&lt;&gt;"X")*((LEN(SUBSTITUTE(SUBSTITUTE(SUBSTITUTE(M21:M25," ",""),"0",""),"-",""))+LEN(SUBSTITUTE(SUBSTITUTE(SUBSTITUTE(N21:N25," ",""),"0",""),"-","")))&gt;(LEN(SUBSTITUTE(SUBSTITUTE(SUBSTITUTE(J21:J25," ",""),"0",""),"-",""))+LEN(SUBSTITUTE(SUBSTITUTE(SUBSTITUTE(K21:K25," ",""),"0",""),"-",""))))*1)</f>
      </c>
      <c r="O20" s="14" t="str">
        <f>data!$B$50</f>
      </c>
    </row>
    <row r="21">
      <c r="A21" s="18">
        <v>1</v>
      </c>
      <c r="B21" s="18"/>
      <c r="C21" s="18"/>
      <c r="D21" s="18"/>
      <c r="E21" s="18"/>
      <c r="F21" s="18"/>
      <c r="G21" s="18">
        <v>1</v>
      </c>
      <c r="I21" s="18">
        <v>1</v>
      </c>
      <c r="J21" s="18"/>
      <c r="K21" s="18"/>
      <c r="L21" s="18"/>
      <c r="M21" s="18"/>
      <c r="N21" s="18"/>
      <c r="O21" s="18">
        <v>1</v>
      </c>
    </row>
    <row r="22">
      <c r="A22" s="18">
        <v>2</v>
      </c>
      <c r="B22" s="18"/>
      <c r="C22" s="18"/>
      <c r="D22" s="18"/>
      <c r="E22" s="18"/>
      <c r="F22" s="18"/>
      <c r="G22" s="18">
        <v>2</v>
      </c>
      <c r="I22" s="18">
        <v>2</v>
      </c>
      <c r="J22" s="18"/>
      <c r="K22" s="18"/>
      <c r="L22" s="18"/>
      <c r="M22" s="18"/>
      <c r="N22" s="18"/>
      <c r="O22" s="18">
        <v>2</v>
      </c>
    </row>
    <row r="23">
      <c r="A23" s="18">
        <v>3</v>
      </c>
      <c r="B23" s="18"/>
      <c r="C23" s="18"/>
      <c r="D23" s="18"/>
      <c r="E23" s="18"/>
      <c r="F23" s="18"/>
      <c r="G23" s="18">
        <v>3</v>
      </c>
      <c r="I23" s="18">
        <v>3</v>
      </c>
      <c r="J23" s="18"/>
      <c r="K23" s="18"/>
      <c r="L23" s="18"/>
      <c r="M23" s="18"/>
      <c r="N23" s="18"/>
      <c r="O23" s="18">
        <v>3</v>
      </c>
    </row>
    <row r="24">
      <c r="A24" s="18">
        <v>4</v>
      </c>
      <c r="B24" s="18"/>
      <c r="C24" s="18"/>
      <c r="D24" s="18"/>
      <c r="E24" s="18"/>
      <c r="F24" s="18"/>
      <c r="G24" s="18">
        <v>4</v>
      </c>
      <c r="I24" s="18">
        <v>4</v>
      </c>
      <c r="J24" s="18"/>
      <c r="K24" s="18"/>
      <c r="L24" s="18"/>
      <c r="M24" s="18"/>
      <c r="N24" s="18"/>
      <c r="O24" s="18">
        <v>4</v>
      </c>
    </row>
    <row r="25">
      <c r="A25" s="18">
        <v>5</v>
      </c>
      <c r="B25" s="18"/>
      <c r="C25" s="18"/>
      <c r="D25" s="18"/>
      <c r="E25" s="18"/>
      <c r="F25" s="18"/>
      <c r="G25" s="18">
        <v>5</v>
      </c>
      <c r="I25" s="18">
        <v>5</v>
      </c>
      <c r="J25" s="18"/>
      <c r="K25" s="18"/>
      <c r="L25" s="18"/>
      <c r="M25" s="18"/>
      <c r="N25" s="18"/>
      <c r="O25" s="18">
        <v>5</v>
      </c>
    </row>
    <row r="27">
      <c r="A27" s="17" t="s">
        <v>238</v>
      </c>
      <c r="B27" s="14"/>
      <c r="C27" s="14"/>
      <c r="D27" s="14" t="s">
        <v>239</v>
      </c>
      <c r="E27" s="14"/>
      <c r="F27" s="14"/>
      <c r="G27" s="16" t="s">
        <v>240</v>
      </c>
    </row>
    <row r="28">
      <c r="A28" s="14" t="str">
        <f>data!$B$6</f>
      </c>
      <c r="B28" s="18" t="str">
        <f>SUMPRODUCT((UPPER(D29:D33)&lt;&gt;"X")*((LEN(SUBSTITUTE(SUBSTITUTE(SUBSTITUTE(B29:B33," ",""),"0",""),"-",""))+LEN(SUBSTITUTE(SUBSTITUTE(SUBSTITUTE(C29:C33," ",""),"0",""),"-","")))&gt;(LEN(SUBSTITUTE(SUBSTITUTE(SUBSTITUTE(E29:E33," ",""),"0",""),"-",""))+LEN(SUBSTITUTE(SUBSTITUTE(SUBSTITUTE(F29:F33," ",""),"0",""),"-",""))))*1)</f>
      </c>
      <c r="C28" s="18" t="str">
        <f>SUMPRODUCT(LEN(SUBSTITUTE(SUBSTITUTE(SUBSTITUTE(B29:B33," ",""),"0",""),"-",""))+LEN(SUBSTITUTE(SUBSTITUTE(SUBSTITUTE(C29:C33," ",""),"0",""),"-","")))</f>
      </c>
      <c r="D28" s="18"/>
      <c r="E28" s="18" t="str">
        <f>SUMPRODUCT(LEN(SUBSTITUTE(SUBSTITUTE(SUBSTITUTE(E29:E33," ",""),"0",""),"-",""))+LEN(SUBSTITUTE(SUBSTITUTE(SUBSTITUTE(F29:F33," ",""),"0",""),"-","")))</f>
      </c>
      <c r="F28" s="18" t="str">
        <f>SUMPRODUCT((UPPER(D29:D33)&lt;&gt;"X")*((LEN(SUBSTITUTE(SUBSTITUTE(SUBSTITUTE(E29:E33," ",""),"0",""),"-",""))+LEN(SUBSTITUTE(SUBSTITUTE(SUBSTITUTE(F29:F33," ",""),"0",""),"-","")))&gt;(LEN(SUBSTITUTE(SUBSTITUTE(SUBSTITUTE(B29:B33," ",""),"0",""),"-",""))+LEN(SUBSTITUTE(SUBSTITUTE(SUBSTITUTE(C29:C33," ",""),"0",""),"-",""))))*1)</f>
      </c>
      <c r="G28" s="14" t="str">
        <f>data!$B$3</f>
      </c>
    </row>
    <row r="29">
      <c r="A29" s="18">
        <v>1</v>
      </c>
      <c r="B29" s="18"/>
      <c r="C29" s="18"/>
      <c r="D29" s="18"/>
      <c r="E29" s="18"/>
      <c r="F29" s="18"/>
      <c r="G29" s="18">
        <v>1</v>
      </c>
    </row>
    <row r="30">
      <c r="A30" s="18">
        <v>2</v>
      </c>
      <c r="B30" s="18"/>
      <c r="C30" s="18"/>
      <c r="D30" s="18"/>
      <c r="E30" s="18"/>
      <c r="F30" s="18"/>
      <c r="G30" s="18">
        <v>2</v>
      </c>
    </row>
    <row r="31">
      <c r="A31" s="18">
        <v>3</v>
      </c>
      <c r="B31" s="18"/>
      <c r="C31" s="18"/>
      <c r="D31" s="18"/>
      <c r="E31" s="18"/>
      <c r="F31" s="18"/>
      <c r="G31" s="18">
        <v>3</v>
      </c>
    </row>
    <row r="32">
      <c r="A32" s="18">
        <v>4</v>
      </c>
      <c r="B32" s="18"/>
      <c r="C32" s="18"/>
      <c r="D32" s="18"/>
      <c r="E32" s="18"/>
      <c r="F32" s="18"/>
      <c r="G32" s="18">
        <v>4</v>
      </c>
    </row>
    <row r="33">
      <c r="A33" s="18">
        <v>5</v>
      </c>
      <c r="B33" s="18"/>
      <c r="C33" s="18"/>
      <c r="D33" s="18"/>
      <c r="E33" s="18"/>
      <c r="F33" s="18"/>
      <c r="G33" s="18">
        <v>5</v>
      </c>
    </row>
    <row r="36">
      <c r="A36" s="13"/>
      <c r="B36" s="13" t="s">
        <v>241</v>
      </c>
      <c r="C36" s="13" t="s">
        <v>242</v>
      </c>
      <c r="D36" s="13" t="s">
        <v>243</v>
      </c>
      <c r="I36" s="13"/>
      <c r="J36" s="13" t="s">
        <v>241</v>
      </c>
      <c r="K36" s="13" t="s">
        <v>242</v>
      </c>
      <c r="L36" s="13" t="s">
        <v>243</v>
      </c>
    </row>
    <row r="37">
      <c r="A37" t="str">
        <f>data!$B$3</f>
      </c>
      <c r="B37" s="14" t="str">
        <f>IF(OR(COUNTA(B5:C9,E5:F9)&gt;0,OR(D4="X",D4="x")),IF(OR(D4="X",D4="x"),0,IF(OR(F4&gt;B4,AND(F4=B4,E4&gt;C4)),1,0)),0)+IF(OR(COUNTA(B29:C33,E29:F33)&gt;0,OR(D28="X",D28="x")),IF(OR(D28="X",D28="x"),0,IF(OR(F28&gt;B28,AND(F28=B28,E28&gt;C28)),1,0)),0)</f>
      </c>
      <c r="C37" s="14" t="str">
        <f>IF(OR(COUNTA(B5:C9,E5:F9)&gt;0,OR(D4="X",D4="x")),IF(OR(D4="X",D4="x"),0,IF(OR(F4&lt;B4,AND(F4=B4,E4&lt;C4)),1,0)),0)+IF(OR(COUNTA(B29:C33,E29:F33)&gt;0,OR(D28="X",D28="x")),IF(OR(D28="X",D28="x"),0,IF(OR(F28&lt;B28,AND(F28=B28,E28&lt;C28)),1,0)),0)</f>
      </c>
      <c r="D37" s="14" t="str">
        <f>IF(OR(COUNTA(B5:C9,E5:F9)&gt;0,OR(D4="X",D4="x")),IF(OR(D4="X",D4="x"),1,0),0)+IF(OR(COUNTA(B29:C33,E29:F33)&gt;0,OR(D28="X",D28="x")),IF(OR(D28="X",D28="x"),1,0),0)</f>
      </c>
      <c r="I37" t="str">
        <f>data!$B$49</f>
      </c>
      <c r="J37" s="14" t="str">
        <f>IF(OR(COUNTA(J5:K9,M5:N9)&gt;0,OR(L4="X",L4="x")),IF(OR(L4="X",L4="x"),0,IF(OR(N4&gt;J4,AND(N4=J4,M4&gt;K4)),1,0)),0)+IF(OR(COUNTA(J13:K17,M13:N17)&gt;0,OR(L12="X",L12="x")),IF(OR(L12="X",L12="x"),0,IF(OR(N12&gt;J12,AND(N12=J12,M12&gt;K12)),1,0)),0)</f>
      </c>
      <c r="K37" s="14" t="str">
        <f>IF(OR(COUNTA(J5:K9,M5:N9)&gt;0,OR(L4="X",L4="x")),IF(OR(L4="X",L4="x"),0,IF(OR(N4&lt;J4,AND(N4=J4,M4&lt;K4)),1,0)),0)+IF(OR(COUNTA(J13:K17,M13:N17)&gt;0,OR(L12="X",L12="x")),IF(OR(L12="X",L12="x"),0,IF(OR(N12&lt;J12,AND(N12=J12,M12&lt;K12)),1,0)),0)</f>
      </c>
      <c r="L37" s="14" t="str">
        <f>IF(OR(COUNTA(J5:K9,M5:N9)&gt;0,OR(L4="X",L4="x")),IF(OR(L4="X",L4="x"),1,0),0)+IF(OR(COUNTA(J13:K17,M13:N17)&gt;0,OR(L12="X",L12="x")),IF(OR(L12="X",L12="x"),1,0),0)</f>
      </c>
    </row>
    <row r="38">
      <c r="A38" t="str">
        <f>data!$B$4</f>
      </c>
      <c r="B38" s="14" t="str">
        <f>IF(OR(COUNTA(B5:C9,E5:F9)&gt;0,OR(D4="X",D4="x")),IF(OR(D4="X",D4="x"),0,IF(OR(B4&gt;F4,AND(B4=F4,C4&gt;E4)),1,0)),0)+IF(OR(COUNTA(B13:C17,E13:F17)&gt;0,OR(D12="X",D12="x")),IF(OR(D12="X",D12="x"),0,IF(OR(B12&gt;F12,AND(B12=F12,C12&gt;E12)),1,0)),0)</f>
      </c>
      <c r="C38" s="14" t="str">
        <f>IF(OR(COUNTA(B5:C9,E5:F9)&gt;0,OR(D4="X",D4="x")),IF(OR(D4="X",D4="x"),0,IF(OR(B4&lt;F4,AND(B4=F4,C4&lt;E4)),1,0)),0)+IF(OR(COUNTA(B13:C17,E13:F17)&gt;0,OR(D12="X",D12="x")),IF(OR(D12="X",D12="x"),0,IF(OR(B12&lt;F12,AND(B12=F12,C12&lt;E12)),1,0)),0)</f>
      </c>
      <c r="D38" s="14" t="str">
        <f>IF(OR(COUNTA(B5:C9,E5:F9)&gt;0,OR(D4="X",D4="x")),IF(OR(D4="X",D4="x"),1,0),0)+IF(OR(COUNTA(B13:C17,E13:F17)&gt;0,OR(D12="X",D12="x")),IF(OR(D12="X",D12="x"),1,0),0)</f>
      </c>
      <c r="I38" t="str">
        <f>data!$B$50</f>
      </c>
      <c r="J38" s="14" t="str">
        <f>IF(OR(COUNTA(J5:K9,M5:N9)&gt;0,OR(L4="X",L4="x")),IF(OR(L4="X",L4="x"),0,IF(OR(J4&gt;N4,AND(J4=N4,K4&gt;M4)),1,0)),0)+IF(OR(COUNTA(J21:K25,M21:N25)&gt;0,OR(L20="X",L20="x")),IF(OR(L20="X",L20="x"),0,IF(OR(N20&gt;J20,AND(N20=J20,M20&gt;K20)),1,0)),0)</f>
      </c>
      <c r="K38" s="14" t="str">
        <f>IF(OR(COUNTA(J5:K9,M5:N9)&gt;0,OR(L4="X",L4="x")),IF(OR(L4="X",L4="x"),0,IF(OR(J4&lt;N4,AND(J4=N4,K4&lt;M4)),1,0)),0)+IF(OR(COUNTA(J21:K25,M21:N25)&gt;0,OR(L20="X",L20="x")),IF(OR(L20="X",L20="x"),0,IF(OR(N20&lt;J20,AND(N20=J20,M20&lt;K20)),1,0)),0)</f>
      </c>
      <c r="L38" s="14" t="str">
        <f>IF(OR(COUNTA(J5:K9,M5:N9)&gt;0,OR(L4="X",L4="x")),IF(OR(L4="X",L4="x"),1,0),0)+IF(OR(COUNTA(J21:K25,M21:N25)&gt;0,OR(L20="X",L20="x")),IF(OR(L20="X",L20="x"),1,0),0)</f>
      </c>
    </row>
    <row r="39">
      <c r="A39" t="str">
        <f>data!$B$5</f>
      </c>
      <c r="B39" s="14" t="str">
        <f>IF(OR(COUNTA(B13:C17,E13:F17)&gt;0,OR(D12="X",D12="x")),IF(OR(D12="X",D12="x"),0,IF(OR(F12&gt;B12,AND(F12=B12,E12&gt;C12)),1,0)),0)+IF(OR(COUNTA(B21:C25,E21:F25)&gt;0,OR(D20="X",D20="x")),IF(OR(D20="X",D20="x"),0,IF(OR(F20&gt;B20,AND(F20=B20,E20&gt;C20)),1,0)),0)</f>
      </c>
      <c r="C39" s="14" t="str">
        <f>IF(OR(COUNTA(B13:C17,E13:F17)&gt;0,OR(D12="X",D12="x")),IF(OR(D12="X",D12="x"),0,IF(OR(F12&lt;B12,AND(F12=B12,E12&lt;C12)),1,0)),0)+IF(OR(COUNTA(B21:C25,E21:F25)&gt;0,OR(D20="X",D20="x")),IF(OR(D20="X",D20="x"),0,IF(OR(F20&lt;B20,AND(F20=B20,E20&lt;C20)),1,0)),0)</f>
      </c>
      <c r="D39" s="14" t="str">
        <f>IF(OR(COUNTA(B13:C17,E13:F17)&gt;0,OR(D12="X",D12="x")),IF(OR(D12="X",D12="x"),1,0),0)+IF(OR(COUNTA(B21:C25,E21:F25)&gt;0,OR(D20="X",D20="x")),IF(OR(D20="X",D20="x"),1,0),0)</f>
      </c>
      <c r="I39" t="str">
        <f>data!$B$51</f>
      </c>
      <c r="J39" s="14" t="str">
        <f>IF(OR(COUNTA(J13:K17,M13:N17)&gt;0,OR(L12="X",L12="x")),IF(OR(L12="X",L12="x"),0,IF(OR(J12&gt;N12,AND(J12=N12,K12&gt;M12)),1,0)),0)+IF(OR(COUNTA(J21:K25,M21:N25)&gt;0,OR(L20="X",L20="x")),IF(OR(L20="X",L20="x"),0,IF(OR(J20&gt;N20,AND(J20=N20,K20&gt;M20)),1,0)),0)</f>
      </c>
      <c r="K39" s="14" t="str">
        <f>IF(OR(COUNTA(J13:K17,M13:N17)&gt;0,OR(L12="X",L12="x")),IF(OR(L12="X",L12="x"),0,IF(OR(J12&lt;N12,AND(J12=N12,K12&lt;M12)),1,0)),0)+IF(OR(COUNTA(J21:K25,M21:N25)&gt;0,OR(L20="X",L20="x")),IF(OR(L20="X",L20="x"),0,IF(OR(J20&lt;N20,AND(J20=N20,K20&lt;M20)),1,0)),0)</f>
      </c>
      <c r="L39" s="14" t="str">
        <f>IF(OR(COUNTA(J13:K17,M13:N17)&gt;0,OR(L12="X",L12="x")),IF(OR(L12="X",L12="x"),1,0),0)+IF(OR(COUNTA(J21:K25,M21:N25)&gt;0,OR(L20="X",L20="x")),IF(OR(L20="X",L20="x"),1,0),0)</f>
      </c>
    </row>
    <row r="40">
      <c r="A40" t="str">
        <f>data!$B$6</f>
      </c>
      <c r="B40" s="14" t="str">
        <f>IF(OR(COUNTA(B21:C25,E21:F25)&gt;0,OR(D20="X",D20="x")),IF(OR(D20="X",D20="x"),0,IF(OR(B20&gt;F20,AND(B20=F20,C20&gt;E20)),1,0)),0)+IF(OR(COUNTA(B29:C33,E29:F33)&gt;0,OR(D28="X",D28="x")),IF(OR(D28="X",D28="x"),0,IF(OR(B28&gt;F28,AND(B28=F28,C28&gt;E28)),1,0)),0)</f>
      </c>
      <c r="C40" s="14" t="str">
        <f>IF(OR(COUNTA(B21:C25,E21:F25)&gt;0,OR(D20="X",D20="x")),IF(OR(D20="X",D20="x"),0,IF(OR(B20&lt;F20,AND(B20=F20,C20&lt;E20)),1,0)),0)+IF(OR(COUNTA(B29:C33,E29:F33)&gt;0,OR(D28="X",D28="x")),IF(OR(D28="X",D28="x"),0,IF(OR(B28&lt;F28,AND(B28=F28,C28&lt;E28)),1,0)),0)</f>
      </c>
      <c r="D40" s="14" t="str">
        <f>IF(OR(COUNTA(B21:C25,E21:F25)&gt;0,OR(D20="X",D20="x")),IF(OR(D20="X",D20="x"),1,0),0)+IF(OR(COUNTA(B29:C33,E29:F33)&gt;0,OR(D28="X",D28="x")),IF(OR(D28="X",D28="x"),1,0),0)</f>
      </c>
    </row>
    <row r="41">
      <c r="I41" s="13"/>
      <c r="J41" s="13" t="s">
        <v>244</v>
      </c>
      <c r="K41" s="13" t="s">
        <v>245</v>
      </c>
      <c r="L41" s="13" t="s">
        <v>246</v>
      </c>
      <c r="M41" s="13" t="s">
        <v>247</v>
      </c>
      <c r="N41" s="13" t="s">
        <v>248</v>
      </c>
    </row>
    <row r="42">
      <c r="A42" s="13"/>
      <c r="B42" s="13" t="s">
        <v>244</v>
      </c>
      <c r="C42" s="13" t="s">
        <v>245</v>
      </c>
      <c r="D42" s="13" t="s">
        <v>246</v>
      </c>
      <c r="E42" s="13" t="s">
        <v>247</v>
      </c>
      <c r="F42" s="13" t="s">
        <v>248</v>
      </c>
      <c r="I42" t="str">
        <f>data!$B$49</f>
      </c>
      <c r="J42" s="14" t="str">
        <f>IF(OR(COUNTA(J5:K9,M5:N9)&gt;0,OR(L4="X",L4="x")),N4,0)+IF(OR(COUNTA(J13:K17,M13:N17)&gt;0,OR(L12="X",L12="x")),N12,0)</f>
      </c>
      <c r="K42" s="14" t="str">
        <f>IF(OR(COUNTA(J5:K9,M5:N9)&gt;0,OR(L4="X",L4="x")),J4,0)+IF(OR(COUNTA(J13:K17,M13:N17)&gt;0,OR(L12="X",L12="x")),J12,0)</f>
      </c>
      <c r="L42" s="14" t="str">
        <f>IF(OR(COUNTA(J5:K9,M5:N9)&gt;0,OR(L4="X",L4="x")),(IF(OR(L5="X",L5="x"),1,0)+IF(OR(L6="X",L6="x"),1,0)+IF(OR(L7="X",L7="x"),1,0)+IF(OR(L8="X",L8="x"),1,0)+IF(OR(L9="X",L9="x"),1,0)),0)+IF(OR(COUNTA(J13:K17,M13:N17)&gt;0,OR(L12="X",L12="x")),(IF(OR(L13="X",L13="x"),1,0)+IF(OR(L14="X",L14="x"),1,0)+IF(OR(L15="X",L15="x"),1,0)+IF(OR(L16="X",L16="x"),1,0)+IF(OR(L17="X",L17="x"),1,0)),0)</f>
      </c>
      <c r="M42" s="14" t="str">
        <f>M4+M12</f>
      </c>
      <c r="N42" s="14" t="str">
        <f>K4+K12</f>
      </c>
    </row>
    <row r="43">
      <c r="A43" t="str">
        <f>data!$B$3</f>
      </c>
      <c r="B43" s="14" t="str">
        <f>IF(OR(COUNTA(B5:C9,E5:F9)&gt;0,OR(D4="X",D4="x")),F4,0)+IF(OR(COUNTA(B29:C33,E29:F33)&gt;0,OR(D28="X",D28="x")),F28,0)</f>
      </c>
      <c r="C43" s="14" t="str">
        <f>IF(OR(COUNTA(B5:C9,E5:F9)&gt;0,OR(D4="X",D4="x")),B4,0)+IF(OR(COUNTA(B29:C33,E29:F33)&gt;0,OR(D28="X",D28="x")),B28,0)</f>
      </c>
      <c r="D43" s="14" t="str">
        <f>IF(OR(COUNTA(B5:C9,E5:F9)&gt;0,OR(D4="X",D4="x")),(IF(OR(D5="X",D5="x"),1,0)+IF(OR(D6="X",D6="x"),1,0)+IF(OR(D7="X",D7="x"),1,0)+IF(OR(D8="X",D8="x"),1,0)+IF(OR(D9="X",D9="x"),1,0)),0)+IF(OR(COUNTA(B29:C33,E29:F33)&gt;0,OR(D28="X",D28="x")),(IF(OR(D29="X",D29="x"),1,0)+IF(OR(D30="X",D30="x"),1,0)+IF(OR(D31="X",D31="x"),1,0)+IF(OR(D32="X",D32="x"),1,0)+IF(OR(D33="X",D33="x"),1,0)),0)</f>
      </c>
      <c r="E43" s="14" t="str">
        <f>E4+E28</f>
      </c>
      <c r="F43" s="14" t="str">
        <f>C4+C28</f>
      </c>
      <c r="I43" t="str">
        <f>data!$B$50</f>
      </c>
      <c r="J43" s="14" t="str">
        <f>IF(OR(COUNTA(J5:K9,M5:N9)&gt;0,OR(L4="X",L4="x")),J4,0)+IF(OR(COUNTA(J21:K25,M21:N25)&gt;0,OR(L20="X",L20="x")),N20,0)</f>
      </c>
      <c r="K43" s="14" t="str">
        <f>IF(OR(COUNTA(J5:K9,M5:N9)&gt;0,OR(L4="X",L4="x")),N4,0)+IF(OR(COUNTA(J21:K25,M21:N25)&gt;0,OR(L20="X",L20="x")),J20,0)</f>
      </c>
      <c r="L43" s="14" t="str">
        <f>IF(OR(COUNTA(J5:K9,M5:N9)&gt;0,OR(L4="X",L4="x")),(IF(OR(L5="X",L5="x"),1,0)+IF(OR(L6="X",L6="x"),1,0)+IF(OR(L7="X",L7="x"),1,0)+IF(OR(L8="X",L8="x"),1,0)+IF(OR(L9="X",L9="x"),1,0)),0)+IF(OR(COUNTA(J21:K25,M21:N25)&gt;0,OR(L20="X",L20="x")),(IF(OR(L21="X",L21="x"),1,0)+IF(OR(L22="X",L22="x"),1,0)+IF(OR(L23="X",L23="x"),1,0)+IF(OR(L24="X",L24="x"),1,0)+IF(OR(L25="X",L25="x"),1,0)),0)</f>
      </c>
      <c r="M43" s="14" t="str">
        <f>K4+M20</f>
      </c>
      <c r="N43" s="14" t="str">
        <f>M4+K20</f>
      </c>
    </row>
    <row r="44">
      <c r="A44" t="str">
        <f>data!$B$4</f>
      </c>
      <c r="B44" s="14" t="str">
        <f>IF(OR(COUNTA(B5:C9,E5:F9)&gt;0,OR(D4="X",D4="x")),B4,0)+IF(OR(COUNTA(B13:C17,E13:F17)&gt;0,OR(D12="X",D12="x")),B12,0)</f>
      </c>
      <c r="C44" s="14" t="str">
        <f>IF(OR(COUNTA(B5:C9,E5:F9)&gt;0,OR(D4="X",D4="x")),F4,0)+IF(OR(COUNTA(B13:C17,E13:F17)&gt;0,OR(D12="X",D12="x")),F12,0)</f>
      </c>
      <c r="D44" s="14" t="str">
        <f>IF(OR(COUNTA(B5:C9,E5:F9)&gt;0,OR(D4="X",D4="x")),(IF(OR(D5="X",D5="x"),1,0)+IF(OR(D6="X",D6="x"),1,0)+IF(OR(D7="X",D7="x"),1,0)+IF(OR(D8="X",D8="x"),1,0)+IF(OR(D9="X",D9="x"),1,0)),0)+IF(OR(COUNTA(B13:C17,E13:F17)&gt;0,OR(D12="X",D12="x")),(IF(OR(D13="X",D13="x"),1,0)+IF(OR(D14="X",D14="x"),1,0)+IF(OR(D15="X",D15="x"),1,0)+IF(OR(D16="X",D16="x"),1,0)+IF(OR(D17="X",D17="x"),1,0)),0)</f>
      </c>
      <c r="E44" s="14" t="str">
        <f>C4+C12</f>
      </c>
      <c r="F44" s="14" t="str">
        <f>E4+E12</f>
      </c>
      <c r="I44" t="str">
        <f>data!$B$51</f>
      </c>
      <c r="J44" s="14" t="str">
        <f>IF(OR(COUNTA(J13:K17,M13:N17)&gt;0,OR(L12="X",L12="x")),J12,0)+IF(OR(COUNTA(J21:K25,M21:N25)&gt;0,OR(L20="X",L20="x")),J20,0)</f>
      </c>
      <c r="K44" s="14" t="str">
        <f>IF(OR(COUNTA(J13:K17,M13:N17)&gt;0,OR(L12="X",L12="x")),N12,0)+IF(OR(COUNTA(J21:K25,M21:N25)&gt;0,OR(L20="X",L20="x")),N20,0)</f>
      </c>
      <c r="L44" s="14" t="str">
        <f>IF(OR(COUNTA(J13:K17,M13:N17)&gt;0,OR(L12="X",L12="x")),(IF(OR(L13="X",L13="x"),1,0)+IF(OR(L14="X",L14="x"),1,0)+IF(OR(L15="X",L15="x"),1,0)+IF(OR(L16="X",L16="x"),1,0)+IF(OR(L17="X",L17="x"),1,0)),0)+IF(OR(COUNTA(J21:K25,M21:N25)&gt;0,OR(L20="X",L20="x")),(IF(OR(L21="X",L21="x"),1,0)+IF(OR(L22="X",L22="x"),1,0)+IF(OR(L23="X",L23="x"),1,0)+IF(OR(L24="X",L24="x"),1,0)+IF(OR(L25="X",L25="x"),1,0)),0)</f>
      </c>
      <c r="M44" s="14" t="str">
        <f>K12+K20</f>
      </c>
      <c r="N44" s="14" t="str">
        <f>M12+M20</f>
      </c>
    </row>
    <row r="45">
      <c r="A45" t="str">
        <f>data!$B$5</f>
      </c>
      <c r="B45" s="14" t="str">
        <f>IF(OR(COUNTA(B13:C17,E13:F17)&gt;0,OR(D12="X",D12="x")),F12,0)+IF(OR(COUNTA(B21:C25,E21:F25)&gt;0,OR(D20="X",D20="x")),F20,0)</f>
      </c>
      <c r="C45" s="14" t="str">
        <f>IF(OR(COUNTA(B13:C17,E13:F17)&gt;0,OR(D12="X",D12="x")),B12,0)+IF(OR(COUNTA(B21:C25,E21:F25)&gt;0,OR(D20="X",D20="x")),B20,0)</f>
      </c>
      <c r="D45" s="14" t="str">
        <f>IF(OR(COUNTA(B13:C17,E13:F17)&gt;0,OR(D12="X",D12="x")),(IF(OR(D13="X",D13="x"),1,0)+IF(OR(D14="X",D14="x"),1,0)+IF(OR(D15="X",D15="x"),1,0)+IF(OR(D16="X",D16="x"),1,0)+IF(OR(D17="X",D17="x"),1,0)),0)+IF(OR(COUNTA(B21:C25,E21:F25)&gt;0,OR(D20="X",D20="x")),(IF(OR(D21="X",D21="x"),1,0)+IF(OR(D22="X",D22="x"),1,0)+IF(OR(D23="X",D23="x"),1,0)+IF(OR(D24="X",D24="x"),1,0)+IF(OR(D25="X",D25="x"),1,0)),0)</f>
      </c>
      <c r="E45" s="14" t="str">
        <f>E12+E20</f>
      </c>
      <c r="F45" s="14" t="str">
        <f>C12+C20</f>
      </c>
    </row>
    <row r="46">
      <c r="A46" t="str">
        <f>data!$B$6</f>
      </c>
      <c r="B46" s="14" t="str">
        <f>IF(OR(COUNTA(B21:C25,E21:F25)&gt;0,OR(D20="X",D20="x")),B20,0)+IF(OR(COUNTA(B29:C33,E29:F33)&gt;0,OR(D28="X",D28="x")),B28,0)</f>
      </c>
      <c r="C46" s="14" t="str">
        <f>IF(OR(COUNTA(B21:C25,E21:F25)&gt;0,OR(D20="X",D20="x")),F20,0)+IF(OR(COUNTA(B29:C33,E29:F33)&gt;0,OR(D28="X",D28="x")),F28,0)</f>
      </c>
      <c r="D46" s="14" t="str">
        <f>IF(OR(COUNTA(B21:C25,E21:F25)&gt;0,OR(D20="X",D20="x")),(IF(OR(D21="X",D21="x"),1,0)+IF(OR(D22="X",D22="x"),1,0)+IF(OR(D23="X",D23="x"),1,0)+IF(OR(D24="X",D24="x"),1,0)+IF(OR(D25="X",D25="x"),1,0)),0)+IF(OR(COUNTA(B29:C33,E29:F33)&gt;0,OR(D28="X",D28="x")),(IF(OR(D29="X",D29="x"),1,0)+IF(OR(D30="X",D30="x"),1,0)+IF(OR(D31="X",D31="x"),1,0)+IF(OR(D32="X",D32="x"),1,0)+IF(OR(D33="X",D33="x"),1,0)),0)</f>
      </c>
      <c r="E46" s="14" t="str">
        <f>C20+C28</f>
      </c>
      <c r="F46" s="14" t="str">
        <f>E20+E28</f>
      </c>
    </row>
    <row r="47">
      <c r="N47" s="13"/>
      <c r="O47" s="13" t="s">
        <v>249</v>
      </c>
    </row>
    <row r="48">
      <c r="N48" t="s">
        <v>250</v>
      </c>
      <c r="O48" s="19"/>
    </row>
    <row r="49">
      <c r="F49" s="13"/>
      <c r="G49" s="13" t="s">
        <v>249</v>
      </c>
      <c r="N49" t="s">
        <v>251</v>
      </c>
      <c r="O49" s="19"/>
    </row>
    <row r="50">
      <c r="F50" t="s">
        <v>250</v>
      </c>
      <c r="G50" s="19"/>
      <c r="N50" t="s">
        <v>252</v>
      </c>
      <c r="O50" s="19"/>
    </row>
    <row r="51">
      <c r="F51" t="s">
        <v>251</v>
      </c>
      <c r="G51" s="19"/>
    </row>
    <row r="52">
      <c r="F52" t="s">
        <v>252</v>
      </c>
      <c r="G52" s="19"/>
    </row>
    <row r="53">
      <c r="F53" t="s">
        <v>253</v>
      </c>
      <c r="G53" s="19"/>
    </row>
    <row r="54">
      <c r="A54" s="13" t="str">
        <f>data!$A$9</f>
      </c>
      <c r="B54" s="13"/>
      <c r="C54" s="13"/>
      <c r="D54" s="13"/>
      <c r="E54" s="13"/>
      <c r="F54" s="13"/>
      <c r="G54" s="13"/>
      <c r="I54" s="13" t="str">
        <f>data!$A$54</f>
      </c>
      <c r="J54" s="13"/>
      <c r="K54" s="13"/>
      <c r="L54" s="13"/>
      <c r="M54" s="13"/>
      <c r="N54" s="13"/>
      <c r="O54" s="13"/>
    </row>
    <row r="55">
      <c r="A55" s="17" t="s">
        <v>238</v>
      </c>
      <c r="B55" s="14"/>
      <c r="C55" s="14"/>
      <c r="D55" s="14" t="s">
        <v>239</v>
      </c>
      <c r="E55" s="14"/>
      <c r="F55" s="14"/>
      <c r="G55" s="16" t="s">
        <v>240</v>
      </c>
      <c r="I55" s="17" t="s">
        <v>238</v>
      </c>
      <c r="J55" s="14"/>
      <c r="K55" s="14"/>
      <c r="L55" s="14" t="s">
        <v>239</v>
      </c>
      <c r="M55" s="14"/>
      <c r="N55" s="14"/>
      <c r="O55" s="16" t="s">
        <v>240</v>
      </c>
    </row>
    <row r="56">
      <c r="A56" s="14" t="str">
        <f>data!$B$8</f>
      </c>
      <c r="B56" s="18" t="str">
        <f>SUMPRODUCT((UPPER(D57:D61)&lt;&gt;"X")*((LEN(SUBSTITUTE(SUBSTITUTE(SUBSTITUTE(B57:B61," ",""),"0",""),"-",""))+LEN(SUBSTITUTE(SUBSTITUTE(SUBSTITUTE(C57:C61," ",""),"0",""),"-","")))&gt;(LEN(SUBSTITUTE(SUBSTITUTE(SUBSTITUTE(E57:E61," ",""),"0",""),"-",""))+LEN(SUBSTITUTE(SUBSTITUTE(SUBSTITUTE(F57:F61," ",""),"0",""),"-",""))))*1)</f>
      </c>
      <c r="C56" s="18" t="str">
        <f>SUMPRODUCT(LEN(SUBSTITUTE(SUBSTITUTE(SUBSTITUTE(B57:B61," ",""),"0",""),"-",""))+LEN(SUBSTITUTE(SUBSTITUTE(SUBSTITUTE(C57:C61," ",""),"0",""),"-","")))</f>
      </c>
      <c r="D56" s="18"/>
      <c r="E56" s="18" t="str">
        <f>SUMPRODUCT(LEN(SUBSTITUTE(SUBSTITUTE(SUBSTITUTE(E57:E61," ",""),"0",""),"-",""))+LEN(SUBSTITUTE(SUBSTITUTE(SUBSTITUTE(F57:F61," ",""),"0",""),"-","")))</f>
      </c>
      <c r="F56" s="18" t="str">
        <f>SUMPRODUCT((UPPER(D57:D61)&lt;&gt;"X")*((LEN(SUBSTITUTE(SUBSTITUTE(SUBSTITUTE(E57:E61," ",""),"0",""),"-",""))+LEN(SUBSTITUTE(SUBSTITUTE(SUBSTITUTE(F57:F61," ",""),"0",""),"-","")))&gt;(LEN(SUBSTITUTE(SUBSTITUTE(SUBSTITUTE(B57:B61," ",""),"0",""),"-",""))+LEN(SUBSTITUTE(SUBSTITUTE(SUBSTITUTE(C57:C61," ",""),"0",""),"-",""))))*1)</f>
      </c>
      <c r="G56" s="14" t="str">
        <f>data!$B$7</f>
      </c>
      <c r="I56" s="14" t="str">
        <f>data!$B$53</f>
      </c>
      <c r="J56" s="18" t="str">
        <f>SUMPRODUCT((UPPER(L57:L61)&lt;&gt;"X")*((LEN(SUBSTITUTE(SUBSTITUTE(SUBSTITUTE(J57:J61," ",""),"0",""),"-",""))+LEN(SUBSTITUTE(SUBSTITUTE(SUBSTITUTE(K57:K61," ",""),"0",""),"-","")))&gt;(LEN(SUBSTITUTE(SUBSTITUTE(SUBSTITUTE(M57:M61," ",""),"0",""),"-",""))+LEN(SUBSTITUTE(SUBSTITUTE(SUBSTITUTE(N57:N61," ",""),"0",""),"-",""))))*1)</f>
      </c>
      <c r="K56" s="18" t="str">
        <f>SUMPRODUCT(LEN(SUBSTITUTE(SUBSTITUTE(SUBSTITUTE(J57:J61," ",""),"0",""),"-",""))+LEN(SUBSTITUTE(SUBSTITUTE(SUBSTITUTE(K57:K61," ",""),"0",""),"-","")))</f>
      </c>
      <c r="L56" s="18"/>
      <c r="M56" s="18" t="str">
        <f>SUMPRODUCT(LEN(SUBSTITUTE(SUBSTITUTE(SUBSTITUTE(M57:M61," ",""),"0",""),"-",""))+LEN(SUBSTITUTE(SUBSTITUTE(SUBSTITUTE(N57:N61," ",""),"0",""),"-","")))</f>
      </c>
      <c r="N56" s="18" t="str">
        <f>SUMPRODUCT((UPPER(L57:L61)&lt;&gt;"X")*((LEN(SUBSTITUTE(SUBSTITUTE(SUBSTITUTE(M57:M61," ",""),"0",""),"-",""))+LEN(SUBSTITUTE(SUBSTITUTE(SUBSTITUTE(N57:N61," ",""),"0",""),"-","")))&gt;(LEN(SUBSTITUTE(SUBSTITUTE(SUBSTITUTE(J57:J61," ",""),"0",""),"-",""))+LEN(SUBSTITUTE(SUBSTITUTE(SUBSTITUTE(K57:K61," ",""),"0",""),"-",""))))*1)</f>
      </c>
      <c r="O56" s="14" t="str">
        <f>data!$B$52</f>
      </c>
    </row>
    <row r="57">
      <c r="A57" s="18">
        <v>1</v>
      </c>
      <c r="B57" s="18"/>
      <c r="C57" s="18"/>
      <c r="D57" s="18"/>
      <c r="E57" s="18"/>
      <c r="F57" s="18"/>
      <c r="G57" s="18">
        <v>1</v>
      </c>
      <c r="I57" s="18">
        <v>1</v>
      </c>
      <c r="J57" s="18"/>
      <c r="K57" s="18"/>
      <c r="L57" s="18"/>
      <c r="M57" s="18"/>
      <c r="N57" s="18"/>
      <c r="O57" s="18">
        <v>1</v>
      </c>
    </row>
    <row r="58">
      <c r="A58" s="18">
        <v>2</v>
      </c>
      <c r="B58" s="18"/>
      <c r="C58" s="18"/>
      <c r="D58" s="18"/>
      <c r="E58" s="18"/>
      <c r="F58" s="18"/>
      <c r="G58" s="18">
        <v>2</v>
      </c>
      <c r="I58" s="18">
        <v>2</v>
      </c>
      <c r="J58" s="18"/>
      <c r="K58" s="18"/>
      <c r="L58" s="18"/>
      <c r="M58" s="18"/>
      <c r="N58" s="18"/>
      <c r="O58" s="18">
        <v>2</v>
      </c>
    </row>
    <row r="59">
      <c r="A59" s="18">
        <v>3</v>
      </c>
      <c r="B59" s="18"/>
      <c r="C59" s="18"/>
      <c r="D59" s="18"/>
      <c r="E59" s="18"/>
      <c r="F59" s="18"/>
      <c r="G59" s="18">
        <v>3</v>
      </c>
      <c r="I59" s="18">
        <v>3</v>
      </c>
      <c r="J59" s="18"/>
      <c r="K59" s="18"/>
      <c r="L59" s="18"/>
      <c r="M59" s="18"/>
      <c r="N59" s="18"/>
      <c r="O59" s="18">
        <v>3</v>
      </c>
    </row>
    <row r="60">
      <c r="A60" s="18">
        <v>4</v>
      </c>
      <c r="B60" s="18"/>
      <c r="C60" s="18"/>
      <c r="D60" s="18"/>
      <c r="E60" s="18"/>
      <c r="F60" s="18"/>
      <c r="G60" s="18">
        <v>4</v>
      </c>
      <c r="I60" s="18">
        <v>4</v>
      </c>
      <c r="J60" s="18"/>
      <c r="K60" s="18"/>
      <c r="L60" s="18"/>
      <c r="M60" s="18"/>
      <c r="N60" s="18"/>
      <c r="O60" s="18">
        <v>4</v>
      </c>
    </row>
    <row r="61">
      <c r="A61" s="18">
        <v>5</v>
      </c>
      <c r="B61" s="18"/>
      <c r="C61" s="18"/>
      <c r="D61" s="18"/>
      <c r="E61" s="18"/>
      <c r="F61" s="18"/>
      <c r="G61" s="18">
        <v>5</v>
      </c>
      <c r="I61" s="18">
        <v>5</v>
      </c>
      <c r="J61" s="18"/>
      <c r="K61" s="18"/>
      <c r="L61" s="18"/>
      <c r="M61" s="18"/>
      <c r="N61" s="18"/>
      <c r="O61" s="18">
        <v>5</v>
      </c>
    </row>
    <row r="63">
      <c r="A63" s="17" t="s">
        <v>238</v>
      </c>
      <c r="B63" s="14"/>
      <c r="C63" s="14"/>
      <c r="D63" s="14" t="s">
        <v>239</v>
      </c>
      <c r="E63" s="14"/>
      <c r="F63" s="14"/>
      <c r="G63" s="16" t="s">
        <v>240</v>
      </c>
      <c r="I63" s="17" t="s">
        <v>238</v>
      </c>
      <c r="J63" s="14"/>
      <c r="K63" s="14"/>
      <c r="L63" s="14" t="s">
        <v>239</v>
      </c>
      <c r="M63" s="14"/>
      <c r="N63" s="14"/>
      <c r="O63" s="16" t="s">
        <v>240</v>
      </c>
    </row>
    <row r="64">
      <c r="A64" s="14" t="str">
        <f>data!$B$9</f>
      </c>
      <c r="B64" s="18" t="str">
        <f>SUMPRODUCT((UPPER(D65:D69)&lt;&gt;"X")*((LEN(SUBSTITUTE(SUBSTITUTE(SUBSTITUTE(B65:B69," ",""),"0",""),"-",""))+LEN(SUBSTITUTE(SUBSTITUTE(SUBSTITUTE(C65:C69," ",""),"0",""),"-","")))&gt;(LEN(SUBSTITUTE(SUBSTITUTE(SUBSTITUTE(E65:E69," ",""),"0",""),"-",""))+LEN(SUBSTITUTE(SUBSTITUTE(SUBSTITUTE(F65:F69," ",""),"0",""),"-",""))))*1)</f>
      </c>
      <c r="C64" s="18" t="str">
        <f>SUMPRODUCT(LEN(SUBSTITUTE(SUBSTITUTE(SUBSTITUTE(B65:B69," ",""),"0",""),"-",""))+LEN(SUBSTITUTE(SUBSTITUTE(SUBSTITUTE(C65:C69," ",""),"0",""),"-","")))</f>
      </c>
      <c r="D64" s="18"/>
      <c r="E64" s="18" t="str">
        <f>SUMPRODUCT(LEN(SUBSTITUTE(SUBSTITUTE(SUBSTITUTE(E65:E69," ",""),"0",""),"-",""))+LEN(SUBSTITUTE(SUBSTITUTE(SUBSTITUTE(F65:F69," ",""),"0",""),"-","")))</f>
      </c>
      <c r="F64" s="18" t="str">
        <f>SUMPRODUCT((UPPER(D65:D69)&lt;&gt;"X")*((LEN(SUBSTITUTE(SUBSTITUTE(SUBSTITUTE(E65:E69," ",""),"0",""),"-",""))+LEN(SUBSTITUTE(SUBSTITUTE(SUBSTITUTE(F65:F69," ",""),"0",""),"-","")))&gt;(LEN(SUBSTITUTE(SUBSTITUTE(SUBSTITUTE(B65:B69," ",""),"0",""),"-",""))+LEN(SUBSTITUTE(SUBSTITUTE(SUBSTITUTE(C65:C69," ",""),"0",""),"-",""))))*1)</f>
      </c>
      <c r="G64" s="14" t="str">
        <f>data!$B$7</f>
      </c>
      <c r="I64" s="14" t="str">
        <f>data!$B$54</f>
      </c>
      <c r="J64" s="18" t="str">
        <f>SUMPRODUCT((UPPER(L65:L69)&lt;&gt;"X")*((LEN(SUBSTITUTE(SUBSTITUTE(SUBSTITUTE(J65:J69," ",""),"0",""),"-",""))+LEN(SUBSTITUTE(SUBSTITUTE(SUBSTITUTE(K65:K69," ",""),"0",""),"-","")))&gt;(LEN(SUBSTITUTE(SUBSTITUTE(SUBSTITUTE(M65:M69," ",""),"0",""),"-",""))+LEN(SUBSTITUTE(SUBSTITUTE(SUBSTITUTE(N65:N69," ",""),"0",""),"-",""))))*1)</f>
      </c>
      <c r="K64" s="18" t="str">
        <f>SUMPRODUCT(LEN(SUBSTITUTE(SUBSTITUTE(SUBSTITUTE(J65:J69," ",""),"0",""),"-",""))+LEN(SUBSTITUTE(SUBSTITUTE(SUBSTITUTE(K65:K69," ",""),"0",""),"-","")))</f>
      </c>
      <c r="L64" s="18"/>
      <c r="M64" s="18" t="str">
        <f>SUMPRODUCT(LEN(SUBSTITUTE(SUBSTITUTE(SUBSTITUTE(M65:M69," ",""),"0",""),"-",""))+LEN(SUBSTITUTE(SUBSTITUTE(SUBSTITUTE(N65:N69," ",""),"0",""),"-","")))</f>
      </c>
      <c r="N64" s="18" t="str">
        <f>SUMPRODUCT((UPPER(L65:L69)&lt;&gt;"X")*((LEN(SUBSTITUTE(SUBSTITUTE(SUBSTITUTE(M65:M69," ",""),"0",""),"-",""))+LEN(SUBSTITUTE(SUBSTITUTE(SUBSTITUTE(N65:N69," ",""),"0",""),"-","")))&gt;(LEN(SUBSTITUTE(SUBSTITUTE(SUBSTITUTE(J65:J69," ",""),"0",""),"-",""))+LEN(SUBSTITUTE(SUBSTITUTE(SUBSTITUTE(K65:K69," ",""),"0",""),"-",""))))*1)</f>
      </c>
      <c r="O64" s="14" t="str">
        <f>data!$B$52</f>
      </c>
    </row>
    <row r="65">
      <c r="A65" s="18">
        <v>1</v>
      </c>
      <c r="B65" s="18"/>
      <c r="C65" s="18"/>
      <c r="D65" s="18"/>
      <c r="E65" s="18"/>
      <c r="F65" s="18"/>
      <c r="G65" s="18">
        <v>1</v>
      </c>
      <c r="I65" s="18">
        <v>1</v>
      </c>
      <c r="J65" s="18"/>
      <c r="K65" s="18"/>
      <c r="L65" s="18"/>
      <c r="M65" s="18"/>
      <c r="N65" s="18"/>
      <c r="O65" s="18">
        <v>1</v>
      </c>
    </row>
    <row r="66">
      <c r="A66" s="18">
        <v>2</v>
      </c>
      <c r="B66" s="18"/>
      <c r="C66" s="18"/>
      <c r="D66" s="18"/>
      <c r="E66" s="18"/>
      <c r="F66" s="18"/>
      <c r="G66" s="18">
        <v>2</v>
      </c>
      <c r="I66" s="18">
        <v>2</v>
      </c>
      <c r="J66" s="18"/>
      <c r="K66" s="18"/>
      <c r="L66" s="18"/>
      <c r="M66" s="18"/>
      <c r="N66" s="18"/>
      <c r="O66" s="18">
        <v>2</v>
      </c>
    </row>
    <row r="67">
      <c r="A67" s="18">
        <v>3</v>
      </c>
      <c r="B67" s="18"/>
      <c r="C67" s="18"/>
      <c r="D67" s="18"/>
      <c r="E67" s="18"/>
      <c r="F67" s="18"/>
      <c r="G67" s="18">
        <v>3</v>
      </c>
      <c r="I67" s="18">
        <v>3</v>
      </c>
      <c r="J67" s="18"/>
      <c r="K67" s="18"/>
      <c r="L67" s="18"/>
      <c r="M67" s="18"/>
      <c r="N67" s="18"/>
      <c r="O67" s="18">
        <v>3</v>
      </c>
    </row>
    <row r="68">
      <c r="A68" s="18">
        <v>4</v>
      </c>
      <c r="B68" s="18"/>
      <c r="C68" s="18"/>
      <c r="D68" s="18"/>
      <c r="E68" s="18"/>
      <c r="F68" s="18"/>
      <c r="G68" s="18">
        <v>4</v>
      </c>
      <c r="I68" s="18">
        <v>4</v>
      </c>
      <c r="J68" s="18"/>
      <c r="K68" s="18"/>
      <c r="L68" s="18"/>
      <c r="M68" s="18"/>
      <c r="N68" s="18"/>
      <c r="O68" s="18">
        <v>4</v>
      </c>
    </row>
    <row r="69">
      <c r="A69" s="18">
        <v>5</v>
      </c>
      <c r="B69" s="18"/>
      <c r="C69" s="18"/>
      <c r="D69" s="18"/>
      <c r="E69" s="18"/>
      <c r="F69" s="18"/>
      <c r="G69" s="18">
        <v>5</v>
      </c>
      <c r="I69" s="18">
        <v>5</v>
      </c>
      <c r="J69" s="18"/>
      <c r="K69" s="18"/>
      <c r="L69" s="18"/>
      <c r="M69" s="18"/>
      <c r="N69" s="18"/>
      <c r="O69" s="18">
        <v>5</v>
      </c>
    </row>
    <row r="71">
      <c r="A71" s="17" t="s">
        <v>238</v>
      </c>
      <c r="B71" s="14"/>
      <c r="C71" s="14"/>
      <c r="D71" s="14" t="s">
        <v>239</v>
      </c>
      <c r="E71" s="14"/>
      <c r="F71" s="14"/>
      <c r="G71" s="16" t="s">
        <v>240</v>
      </c>
      <c r="I71" s="17" t="s">
        <v>238</v>
      </c>
      <c r="J71" s="14"/>
      <c r="K71" s="14"/>
      <c r="L71" s="14" t="s">
        <v>239</v>
      </c>
      <c r="M71" s="14"/>
      <c r="N71" s="14"/>
      <c r="O71" s="16" t="s">
        <v>240</v>
      </c>
    </row>
    <row r="72">
      <c r="A72" s="14" t="str">
        <f>data!$B$9</f>
      </c>
      <c r="B72" s="18" t="str">
        <f>SUMPRODUCT((UPPER(D73:D77)&lt;&gt;"X")*((LEN(SUBSTITUTE(SUBSTITUTE(SUBSTITUTE(B73:B77," ",""),"0",""),"-",""))+LEN(SUBSTITUTE(SUBSTITUTE(SUBSTITUTE(C73:C77," ",""),"0",""),"-","")))&gt;(LEN(SUBSTITUTE(SUBSTITUTE(SUBSTITUTE(E73:E77," ",""),"0",""),"-",""))+LEN(SUBSTITUTE(SUBSTITUTE(SUBSTITUTE(F73:F77," ",""),"0",""),"-",""))))*1)</f>
      </c>
      <c r="C72" s="18" t="str">
        <f>SUMPRODUCT(LEN(SUBSTITUTE(SUBSTITUTE(SUBSTITUTE(B73:B77," ",""),"0",""),"-",""))+LEN(SUBSTITUTE(SUBSTITUTE(SUBSTITUTE(C73:C77," ",""),"0",""),"-","")))</f>
      </c>
      <c r="D72" s="18"/>
      <c r="E72" s="18" t="str">
        <f>SUMPRODUCT(LEN(SUBSTITUTE(SUBSTITUTE(SUBSTITUTE(E73:E77," ",""),"0",""),"-",""))+LEN(SUBSTITUTE(SUBSTITUTE(SUBSTITUTE(F73:F77," ",""),"0",""),"-","")))</f>
      </c>
      <c r="F72" s="18" t="str">
        <f>SUMPRODUCT((UPPER(D73:D77)&lt;&gt;"X")*((LEN(SUBSTITUTE(SUBSTITUTE(SUBSTITUTE(E73:E77," ",""),"0",""),"-",""))+LEN(SUBSTITUTE(SUBSTITUTE(SUBSTITUTE(F73:F77," ",""),"0",""),"-","")))&gt;(LEN(SUBSTITUTE(SUBSTITUTE(SUBSTITUTE(B73:B77," ",""),"0",""),"-",""))+LEN(SUBSTITUTE(SUBSTITUTE(SUBSTITUTE(C73:C77," ",""),"0",""),"-",""))))*1)</f>
      </c>
      <c r="G72" s="14" t="str">
        <f>data!$B$8</f>
      </c>
      <c r="I72" s="14" t="str">
        <f>data!$B$54</f>
      </c>
      <c r="J72" s="18" t="str">
        <f>SUMPRODUCT((UPPER(L73:L77)&lt;&gt;"X")*((LEN(SUBSTITUTE(SUBSTITUTE(SUBSTITUTE(J73:J77," ",""),"0",""),"-",""))+LEN(SUBSTITUTE(SUBSTITUTE(SUBSTITUTE(K73:K77," ",""),"0",""),"-","")))&gt;(LEN(SUBSTITUTE(SUBSTITUTE(SUBSTITUTE(M73:M77," ",""),"0",""),"-",""))+LEN(SUBSTITUTE(SUBSTITUTE(SUBSTITUTE(N73:N77," ",""),"0",""),"-",""))))*1)</f>
      </c>
      <c r="K72" s="18" t="str">
        <f>SUMPRODUCT(LEN(SUBSTITUTE(SUBSTITUTE(SUBSTITUTE(J73:J77," ",""),"0",""),"-",""))+LEN(SUBSTITUTE(SUBSTITUTE(SUBSTITUTE(K73:K77," ",""),"0",""),"-","")))</f>
      </c>
      <c r="L72" s="18"/>
      <c r="M72" s="18" t="str">
        <f>SUMPRODUCT(LEN(SUBSTITUTE(SUBSTITUTE(SUBSTITUTE(M73:M77," ",""),"0",""),"-",""))+LEN(SUBSTITUTE(SUBSTITUTE(SUBSTITUTE(N73:N77," ",""),"0",""),"-","")))</f>
      </c>
      <c r="N72" s="18" t="str">
        <f>SUMPRODUCT((UPPER(L73:L77)&lt;&gt;"X")*((LEN(SUBSTITUTE(SUBSTITUTE(SUBSTITUTE(M73:M77," ",""),"0",""),"-",""))+LEN(SUBSTITUTE(SUBSTITUTE(SUBSTITUTE(N73:N77," ",""),"0",""),"-","")))&gt;(LEN(SUBSTITUTE(SUBSTITUTE(SUBSTITUTE(J73:J77," ",""),"0",""),"-",""))+LEN(SUBSTITUTE(SUBSTITUTE(SUBSTITUTE(K73:K77," ",""),"0",""),"-",""))))*1)</f>
      </c>
      <c r="O72" s="14" t="str">
        <f>data!$B$53</f>
      </c>
    </row>
    <row r="73">
      <c r="A73" s="18">
        <v>1</v>
      </c>
      <c r="B73" s="18"/>
      <c r="C73" s="18"/>
      <c r="D73" s="18"/>
      <c r="E73" s="18"/>
      <c r="F73" s="18"/>
      <c r="G73" s="18">
        <v>1</v>
      </c>
      <c r="I73" s="18">
        <v>1</v>
      </c>
      <c r="J73" s="18"/>
      <c r="K73" s="18"/>
      <c r="L73" s="18"/>
      <c r="M73" s="18"/>
      <c r="N73" s="18"/>
      <c r="O73" s="18">
        <v>1</v>
      </c>
    </row>
    <row r="74">
      <c r="A74" s="18">
        <v>2</v>
      </c>
      <c r="B74" s="18"/>
      <c r="C74" s="18"/>
      <c r="D74" s="18"/>
      <c r="E74" s="18"/>
      <c r="F74" s="18"/>
      <c r="G74" s="18">
        <v>2</v>
      </c>
      <c r="I74" s="18">
        <v>2</v>
      </c>
      <c r="J74" s="18"/>
      <c r="K74" s="18"/>
      <c r="L74" s="18"/>
      <c r="M74" s="18"/>
      <c r="N74" s="18"/>
      <c r="O74" s="18">
        <v>2</v>
      </c>
    </row>
    <row r="75">
      <c r="A75" s="18">
        <v>3</v>
      </c>
      <c r="B75" s="18"/>
      <c r="C75" s="18"/>
      <c r="D75" s="18"/>
      <c r="E75" s="18"/>
      <c r="F75" s="18"/>
      <c r="G75" s="18">
        <v>3</v>
      </c>
      <c r="I75" s="18">
        <v>3</v>
      </c>
      <c r="J75" s="18"/>
      <c r="K75" s="18"/>
      <c r="L75" s="18"/>
      <c r="M75" s="18"/>
      <c r="N75" s="18"/>
      <c r="O75" s="18">
        <v>3</v>
      </c>
    </row>
    <row r="76">
      <c r="A76" s="18">
        <v>4</v>
      </c>
      <c r="B76" s="18"/>
      <c r="C76" s="18"/>
      <c r="D76" s="18"/>
      <c r="E76" s="18"/>
      <c r="F76" s="18"/>
      <c r="G76" s="18">
        <v>4</v>
      </c>
      <c r="I76" s="18">
        <v>4</v>
      </c>
      <c r="J76" s="18"/>
      <c r="K76" s="18"/>
      <c r="L76" s="18"/>
      <c r="M76" s="18"/>
      <c r="N76" s="18"/>
      <c r="O76" s="18">
        <v>4</v>
      </c>
    </row>
    <row r="77">
      <c r="A77" s="18">
        <v>5</v>
      </c>
      <c r="B77" s="18"/>
      <c r="C77" s="18"/>
      <c r="D77" s="18"/>
      <c r="E77" s="18"/>
      <c r="F77" s="18"/>
      <c r="G77" s="18">
        <v>5</v>
      </c>
      <c r="I77" s="18">
        <v>5</v>
      </c>
      <c r="J77" s="18"/>
      <c r="K77" s="18"/>
      <c r="L77" s="18"/>
      <c r="M77" s="18"/>
      <c r="N77" s="18"/>
      <c r="O77" s="18">
        <v>5</v>
      </c>
    </row>
    <row r="80">
      <c r="A80" s="13"/>
      <c r="B80" s="13" t="s">
        <v>241</v>
      </c>
      <c r="C80" s="13" t="s">
        <v>242</v>
      </c>
      <c r="D80" s="13" t="s">
        <v>243</v>
      </c>
      <c r="I80" s="13"/>
      <c r="J80" s="13" t="s">
        <v>241</v>
      </c>
      <c r="K80" s="13" t="s">
        <v>242</v>
      </c>
      <c r="L80" s="13" t="s">
        <v>243</v>
      </c>
    </row>
    <row r="81">
      <c r="A81" t="str">
        <f>data!$B$7</f>
      </c>
      <c r="B81" s="14" t="str">
        <f>IF(OR(COUNTA(B57:C61,E57:F61)&gt;0,OR(D56="X",D56="x")),IF(OR(D56="X",D56="x"),0,IF(OR(F56&gt;B56,AND(F56=B56,E56&gt;C56)),1,0)),0)+IF(OR(COUNTA(B65:C69,E65:F69)&gt;0,OR(D64="X",D64="x")),IF(OR(D64="X",D64="x"),0,IF(OR(F64&gt;B64,AND(F64=B64,E64&gt;C64)),1,0)),0)</f>
      </c>
      <c r="C81" s="14" t="str">
        <f>IF(OR(COUNTA(B57:C61,E57:F61)&gt;0,OR(D56="X",D56="x")),IF(OR(D56="X",D56="x"),0,IF(OR(F56&lt;B56,AND(F56=B56,E56&lt;C56)),1,0)),0)+IF(OR(COUNTA(B65:C69,E65:F69)&gt;0,OR(D64="X",D64="x")),IF(OR(D64="X",D64="x"),0,IF(OR(F64&lt;B64,AND(F64=B64,E64&lt;C64)),1,0)),0)</f>
      </c>
      <c r="D81" s="14" t="str">
        <f>IF(OR(COUNTA(B57:C61,E57:F61)&gt;0,OR(D56="X",D56="x")),IF(OR(D56="X",D56="x"),1,0),0)+IF(OR(COUNTA(B65:C69,E65:F69)&gt;0,OR(D64="X",D64="x")),IF(OR(D64="X",D64="x"),1,0),0)</f>
      </c>
      <c r="I81" t="str">
        <f>data!$B$52</f>
      </c>
      <c r="J81" s="14" t="str">
        <f>IF(OR(COUNTA(J57:K61,M57:N61)&gt;0,OR(L56="X",L56="x")),IF(OR(L56="X",L56="x"),0,IF(OR(N56&gt;J56,AND(N56=J56,M56&gt;K56)),1,0)),0)+IF(OR(COUNTA(J65:K69,M65:N69)&gt;0,OR(L64="X",L64="x")),IF(OR(L64="X",L64="x"),0,IF(OR(N64&gt;J64,AND(N64=J64,M64&gt;K64)),1,0)),0)</f>
      </c>
      <c r="K81" s="14" t="str">
        <f>IF(OR(COUNTA(J57:K61,M57:N61)&gt;0,OR(L56="X",L56="x")),IF(OR(L56="X",L56="x"),0,IF(OR(N56&lt;J56,AND(N56=J56,M56&lt;K56)),1,0)),0)+IF(OR(COUNTA(J65:K69,M65:N69)&gt;0,OR(L64="X",L64="x")),IF(OR(L64="X",L64="x"),0,IF(OR(N64&lt;J64,AND(N64=J64,M64&lt;K64)),1,0)),0)</f>
      </c>
      <c r="L81" s="14" t="str">
        <f>IF(OR(COUNTA(J57:K61,M57:N61)&gt;0,OR(L56="X",L56="x")),IF(OR(L56="X",L56="x"),1,0),0)+IF(OR(COUNTA(J65:K69,M65:N69)&gt;0,OR(L64="X",L64="x")),IF(OR(L64="X",L64="x"),1,0),0)</f>
      </c>
    </row>
    <row r="82">
      <c r="A82" t="str">
        <f>data!$B$8</f>
      </c>
      <c r="B82" s="14" t="str">
        <f>IF(OR(COUNTA(B57:C61,E57:F61)&gt;0,OR(D56="X",D56="x")),IF(OR(D56="X",D56="x"),0,IF(OR(B56&gt;F56,AND(B56=F56,C56&gt;E56)),1,0)),0)+IF(OR(COUNTA(B73:C77,E73:F77)&gt;0,OR(D72="X",D72="x")),IF(OR(D72="X",D72="x"),0,IF(OR(F72&gt;B72,AND(F72=B72,E72&gt;C72)),1,0)),0)</f>
      </c>
      <c r="C82" s="14" t="str">
        <f>IF(OR(COUNTA(B57:C61,E57:F61)&gt;0,OR(D56="X",D56="x")),IF(OR(D56="X",D56="x"),0,IF(OR(B56&lt;F56,AND(B56=F56,C56&lt;E56)),1,0)),0)+IF(OR(COUNTA(B73:C77,E73:F77)&gt;0,OR(D72="X",D72="x")),IF(OR(D72="X",D72="x"),0,IF(OR(F72&lt;B72,AND(F72=B72,E72&lt;C72)),1,0)),0)</f>
      </c>
      <c r="D82" s="14" t="str">
        <f>IF(OR(COUNTA(B57:C61,E57:F61)&gt;0,OR(D56="X",D56="x")),IF(OR(D56="X",D56="x"),1,0),0)+IF(OR(COUNTA(B73:C77,E73:F77)&gt;0,OR(D72="X",D72="x")),IF(OR(D72="X",D72="x"),1,0),0)</f>
      </c>
      <c r="I82" t="str">
        <f>data!$B$53</f>
      </c>
      <c r="J82" s="14" t="str">
        <f>IF(OR(COUNTA(J57:K61,M57:N61)&gt;0,OR(L56="X",L56="x")),IF(OR(L56="X",L56="x"),0,IF(OR(J56&gt;N56,AND(J56=N56,K56&gt;M56)),1,0)),0)+IF(OR(COUNTA(J73:K77,M73:N77)&gt;0,OR(L72="X",L72="x")),IF(OR(L72="X",L72="x"),0,IF(OR(N72&gt;J72,AND(N72=J72,M72&gt;K72)),1,0)),0)</f>
      </c>
      <c r="K82" s="14" t="str">
        <f>IF(OR(COUNTA(J57:K61,M57:N61)&gt;0,OR(L56="X",L56="x")),IF(OR(L56="X",L56="x"),0,IF(OR(J56&lt;N56,AND(J56=N56,K56&lt;M56)),1,0)),0)+IF(OR(COUNTA(J73:K77,M73:N77)&gt;0,OR(L72="X",L72="x")),IF(OR(L72="X",L72="x"),0,IF(OR(N72&lt;J72,AND(N72=J72,M72&lt;K72)),1,0)),0)</f>
      </c>
      <c r="L82" s="14" t="str">
        <f>IF(OR(COUNTA(J57:K61,M57:N61)&gt;0,OR(L56="X",L56="x")),IF(OR(L56="X",L56="x"),1,0),0)+IF(OR(COUNTA(J73:K77,M73:N77)&gt;0,OR(L72="X",L72="x")),IF(OR(L72="X",L72="x"),1,0),0)</f>
      </c>
    </row>
    <row r="83">
      <c r="A83" t="str">
        <f>data!$B$9</f>
      </c>
      <c r="B83" s="14" t="str">
        <f>IF(OR(COUNTA(B65:C69,E65:F69)&gt;0,OR(D64="X",D64="x")),IF(OR(D64="X",D64="x"),0,IF(OR(B64&gt;F64,AND(B64=F64,C64&gt;E64)),1,0)),0)+IF(OR(COUNTA(B73:C77,E73:F77)&gt;0,OR(D72="X",D72="x")),IF(OR(D72="X",D72="x"),0,IF(OR(B72&gt;F72,AND(B72=F72,C72&gt;E72)),1,0)),0)</f>
      </c>
      <c r="C83" s="14" t="str">
        <f>IF(OR(COUNTA(B65:C69,E65:F69)&gt;0,OR(D64="X",D64="x")),IF(OR(D64="X",D64="x"),0,IF(OR(B64&lt;F64,AND(B64=F64,C64&lt;E64)),1,0)),0)+IF(OR(COUNTA(B73:C77,E73:F77)&gt;0,OR(D72="X",D72="x")),IF(OR(D72="X",D72="x"),0,IF(OR(B72&lt;F72,AND(B72=F72,C72&lt;E72)),1,0)),0)</f>
      </c>
      <c r="D83" s="14" t="str">
        <f>IF(OR(COUNTA(B65:C69,E65:F69)&gt;0,OR(D64="X",D64="x")),IF(OR(D64="X",D64="x"),1,0),0)+IF(OR(COUNTA(B73:C77,E73:F77)&gt;0,OR(D72="X",D72="x")),IF(OR(D72="X",D72="x"),1,0),0)</f>
      </c>
      <c r="I83" t="str">
        <f>data!$B$54</f>
      </c>
      <c r="J83" s="14" t="str">
        <f>IF(OR(COUNTA(J65:K69,M65:N69)&gt;0,OR(L64="X",L64="x")),IF(OR(L64="X",L64="x"),0,IF(OR(J64&gt;N64,AND(J64=N64,K64&gt;M64)),1,0)),0)+IF(OR(COUNTA(J73:K77,M73:N77)&gt;0,OR(L72="X",L72="x")),IF(OR(L72="X",L72="x"),0,IF(OR(J72&gt;N72,AND(J72=N72,K72&gt;M72)),1,0)),0)</f>
      </c>
      <c r="K83" s="14" t="str">
        <f>IF(OR(COUNTA(J65:K69,M65:N69)&gt;0,OR(L64="X",L64="x")),IF(OR(L64="X",L64="x"),0,IF(OR(J64&lt;N64,AND(J64=N64,K64&lt;M64)),1,0)),0)+IF(OR(COUNTA(J73:K77,M73:N77)&gt;0,OR(L72="X",L72="x")),IF(OR(L72="X",L72="x"),0,IF(OR(J72&lt;N72,AND(J72=N72,K72&lt;M72)),1,0)),0)</f>
      </c>
      <c r="L83" s="14" t="str">
        <f>IF(OR(COUNTA(J65:K69,M65:N69)&gt;0,OR(L64="X",L64="x")),IF(OR(L64="X",L64="x"),1,0),0)+IF(OR(COUNTA(J73:K77,M73:N77)&gt;0,OR(L72="X",L72="x")),IF(OR(L72="X",L72="x"),1,0),0)</f>
      </c>
    </row>
    <row r="85">
      <c r="A85" s="13"/>
      <c r="B85" s="13" t="s">
        <v>244</v>
      </c>
      <c r="C85" s="13" t="s">
        <v>245</v>
      </c>
      <c r="D85" s="13" t="s">
        <v>246</v>
      </c>
      <c r="E85" s="13" t="s">
        <v>247</v>
      </c>
      <c r="F85" s="13" t="s">
        <v>248</v>
      </c>
      <c r="I85" s="13"/>
      <c r="J85" s="13" t="s">
        <v>244</v>
      </c>
      <c r="K85" s="13" t="s">
        <v>245</v>
      </c>
      <c r="L85" s="13" t="s">
        <v>246</v>
      </c>
      <c r="M85" s="13" t="s">
        <v>247</v>
      </c>
      <c r="N85" s="13" t="s">
        <v>248</v>
      </c>
    </row>
    <row r="86">
      <c r="A86" t="str">
        <f>data!$B$7</f>
      </c>
      <c r="B86" s="14" t="str">
        <f>IF(OR(COUNTA(B57:C61,E57:F61)&gt;0,OR(D56="X",D56="x")),F56,0)+IF(OR(COUNTA(B65:C69,E65:F69)&gt;0,OR(D64="X",D64="x")),F64,0)</f>
      </c>
      <c r="C86" s="14" t="str">
        <f>IF(OR(COUNTA(B57:C61,E57:F61)&gt;0,OR(D56="X",D56="x")),B56,0)+IF(OR(COUNTA(B65:C69,E65:F69)&gt;0,OR(D64="X",D64="x")),B64,0)</f>
      </c>
      <c r="D86" s="14" t="str">
        <f>IF(OR(COUNTA(B57:C61,E57:F61)&gt;0,OR(D56="X",D56="x")),(IF(OR(D57="X",D57="x"),1,0)+IF(OR(D58="X",D58="x"),1,0)+IF(OR(D59="X",D59="x"),1,0)+IF(OR(D60="X",D60="x"),1,0)+IF(OR(D61="X",D61="x"),1,0)),0)+IF(OR(COUNTA(B65:C69,E65:F69)&gt;0,OR(D64="X",D64="x")),(IF(OR(D65="X",D65="x"),1,0)+IF(OR(D66="X",D66="x"),1,0)+IF(OR(D67="X",D67="x"),1,0)+IF(OR(D68="X",D68="x"),1,0)+IF(OR(D69="X",D69="x"),1,0)),0)</f>
      </c>
      <c r="E86" s="14" t="str">
        <f>E56+E64</f>
      </c>
      <c r="F86" s="14" t="str">
        <f>C56+C64</f>
      </c>
      <c r="I86" t="str">
        <f>data!$B$52</f>
      </c>
      <c r="J86" s="14" t="str">
        <f>IF(OR(COUNTA(J57:K61,M57:N61)&gt;0,OR(L56="X",L56="x")),N56,0)+IF(OR(COUNTA(J65:K69,M65:N69)&gt;0,OR(L64="X",L64="x")),N64,0)</f>
      </c>
      <c r="K86" s="14" t="str">
        <f>IF(OR(COUNTA(J57:K61,M57:N61)&gt;0,OR(L56="X",L56="x")),J56,0)+IF(OR(COUNTA(J65:K69,M65:N69)&gt;0,OR(L64="X",L64="x")),J64,0)</f>
      </c>
      <c r="L86" s="14" t="str">
        <f>IF(OR(COUNTA(J57:K61,M57:N61)&gt;0,OR(L56="X",L56="x")),(IF(OR(L57="X",L57="x"),1,0)+IF(OR(L58="X",L58="x"),1,0)+IF(OR(L59="X",L59="x"),1,0)+IF(OR(L60="X",L60="x"),1,0)+IF(OR(L61="X",L61="x"),1,0)),0)+IF(OR(COUNTA(J65:K69,M65:N69)&gt;0,OR(L64="X",L64="x")),(IF(OR(L65="X",L65="x"),1,0)+IF(OR(L66="X",L66="x"),1,0)+IF(OR(L67="X",L67="x"),1,0)+IF(OR(L68="X",L68="x"),1,0)+IF(OR(L69="X",L69="x"),1,0)),0)</f>
      </c>
      <c r="M86" s="14" t="str">
        <f>M56+M64</f>
      </c>
      <c r="N86" s="14" t="str">
        <f>K56+K64</f>
      </c>
    </row>
    <row r="87">
      <c r="A87" t="str">
        <f>data!$B$8</f>
      </c>
      <c r="B87" s="14" t="str">
        <f>IF(OR(COUNTA(B57:C61,E57:F61)&gt;0,OR(D56="X",D56="x")),B56,0)+IF(OR(COUNTA(B73:C77,E73:F77)&gt;0,OR(D72="X",D72="x")),F72,0)</f>
      </c>
      <c r="C87" s="14" t="str">
        <f>IF(OR(COUNTA(B57:C61,E57:F61)&gt;0,OR(D56="X",D56="x")),F56,0)+IF(OR(COUNTA(B73:C77,E73:F77)&gt;0,OR(D72="X",D72="x")),B72,0)</f>
      </c>
      <c r="D87" s="14" t="str">
        <f>IF(OR(COUNTA(B57:C61,E57:F61)&gt;0,OR(D56="X",D56="x")),(IF(OR(D57="X",D57="x"),1,0)+IF(OR(D58="X",D58="x"),1,0)+IF(OR(D59="X",D59="x"),1,0)+IF(OR(D60="X",D60="x"),1,0)+IF(OR(D61="X",D61="x"),1,0)),0)+IF(OR(COUNTA(B73:C77,E73:F77)&gt;0,OR(D72="X",D72="x")),(IF(OR(D73="X",D73="x"),1,0)+IF(OR(D74="X",D74="x"),1,0)+IF(OR(D75="X",D75="x"),1,0)+IF(OR(D76="X",D76="x"),1,0)+IF(OR(D77="X",D77="x"),1,0)),0)</f>
      </c>
      <c r="E87" s="14" t="str">
        <f>C56+E72</f>
      </c>
      <c r="F87" s="14" t="str">
        <f>E56+C72</f>
      </c>
      <c r="I87" t="str">
        <f>data!$B$53</f>
      </c>
      <c r="J87" s="14" t="str">
        <f>IF(OR(COUNTA(J57:K61,M57:N61)&gt;0,OR(L56="X",L56="x")),J56,0)+IF(OR(COUNTA(J73:K77,M73:N77)&gt;0,OR(L72="X",L72="x")),N72,0)</f>
      </c>
      <c r="K87" s="14" t="str">
        <f>IF(OR(COUNTA(J57:K61,M57:N61)&gt;0,OR(L56="X",L56="x")),N56,0)+IF(OR(COUNTA(J73:K77,M73:N77)&gt;0,OR(L72="X",L72="x")),J72,0)</f>
      </c>
      <c r="L87" s="14" t="str">
        <f>IF(OR(COUNTA(J57:K61,M57:N61)&gt;0,OR(L56="X",L56="x")),(IF(OR(L57="X",L57="x"),1,0)+IF(OR(L58="X",L58="x"),1,0)+IF(OR(L59="X",L59="x"),1,0)+IF(OR(L60="X",L60="x"),1,0)+IF(OR(L61="X",L61="x"),1,0)),0)+IF(OR(COUNTA(J73:K77,M73:N77)&gt;0,OR(L72="X",L72="x")),(IF(OR(L73="X",L73="x"),1,0)+IF(OR(L74="X",L74="x"),1,0)+IF(OR(L75="X",L75="x"),1,0)+IF(OR(L76="X",L76="x"),1,0)+IF(OR(L77="X",L77="x"),1,0)),0)</f>
      </c>
      <c r="M87" s="14" t="str">
        <f>K56+M72</f>
      </c>
      <c r="N87" s="14" t="str">
        <f>M56+K72</f>
      </c>
    </row>
    <row r="88">
      <c r="A88" t="str">
        <f>data!$B$9</f>
      </c>
      <c r="B88" s="14" t="str">
        <f>IF(OR(COUNTA(B65:C69,E65:F69)&gt;0,OR(D64="X",D64="x")),B64,0)+IF(OR(COUNTA(B73:C77,E73:F77)&gt;0,OR(D72="X",D72="x")),B72,0)</f>
      </c>
      <c r="C88" s="14" t="str">
        <f>IF(OR(COUNTA(B65:C69,E65:F69)&gt;0,OR(D64="X",D64="x")),F64,0)+IF(OR(COUNTA(B73:C77,E73:F77)&gt;0,OR(D72="X",D72="x")),F72,0)</f>
      </c>
      <c r="D88" s="14" t="str">
        <f>IF(OR(COUNTA(B65:C69,E65:F69)&gt;0,OR(D64="X",D64="x")),(IF(OR(D65="X",D65="x"),1,0)+IF(OR(D66="X",D66="x"),1,0)+IF(OR(D67="X",D67="x"),1,0)+IF(OR(D68="X",D68="x"),1,0)+IF(OR(D69="X",D69="x"),1,0)),0)+IF(OR(COUNTA(B73:C77,E73:F77)&gt;0,OR(D72="X",D72="x")),(IF(OR(D73="X",D73="x"),1,0)+IF(OR(D74="X",D74="x"),1,0)+IF(OR(D75="X",D75="x"),1,0)+IF(OR(D76="X",D76="x"),1,0)+IF(OR(D77="X",D77="x"),1,0)),0)</f>
      </c>
      <c r="E88" s="14" t="str">
        <f>C64+C72</f>
      </c>
      <c r="F88" s="14" t="str">
        <f>E64+E72</f>
      </c>
      <c r="I88" t="str">
        <f>data!$B$54</f>
      </c>
      <c r="J88" s="14" t="str">
        <f>IF(OR(COUNTA(J65:K69,M65:N69)&gt;0,OR(L64="X",L64="x")),J64,0)+IF(OR(COUNTA(J73:K77,M73:N77)&gt;0,OR(L72="X",L72="x")),J72,0)</f>
      </c>
      <c r="K88" s="14" t="str">
        <f>IF(OR(COUNTA(J65:K69,M65:N69)&gt;0,OR(L64="X",L64="x")),N64,0)+IF(OR(COUNTA(J73:K77,M73:N77)&gt;0,OR(L72="X",L72="x")),N72,0)</f>
      </c>
      <c r="L88" s="14" t="str">
        <f>IF(OR(COUNTA(J65:K69,M65:N69)&gt;0,OR(L64="X",L64="x")),(IF(OR(L65="X",L65="x"),1,0)+IF(OR(L66="X",L66="x"),1,0)+IF(OR(L67="X",L67="x"),1,0)+IF(OR(L68="X",L68="x"),1,0)+IF(OR(L69="X",L69="x"),1,0)),0)+IF(OR(COUNTA(J73:K77,M73:N77)&gt;0,OR(L72="X",L72="x")),(IF(OR(L73="X",L73="x"),1,0)+IF(OR(L74="X",L74="x"),1,0)+IF(OR(L75="X",L75="x"),1,0)+IF(OR(L76="X",L76="x"),1,0)+IF(OR(L77="X",L77="x"),1,0)),0)</f>
      </c>
      <c r="M88" s="14" t="str">
        <f>K64+K72</f>
      </c>
      <c r="N88" s="14" t="str">
        <f>M64+M72</f>
      </c>
    </row>
    <row r="91">
      <c r="F91" s="13"/>
      <c r="G91" s="13" t="s">
        <v>249</v>
      </c>
      <c r="N91" s="13"/>
      <c r="O91" s="13" t="s">
        <v>249</v>
      </c>
    </row>
    <row r="92">
      <c r="F92" t="s">
        <v>250</v>
      </c>
      <c r="G92" s="19"/>
      <c r="N92" t="s">
        <v>250</v>
      </c>
      <c r="O92" s="19"/>
    </row>
    <row r="93">
      <c r="F93" t="s">
        <v>251</v>
      </c>
      <c r="G93" s="19"/>
      <c r="N93" t="s">
        <v>251</v>
      </c>
      <c r="O93" s="19"/>
    </row>
    <row r="94">
      <c r="F94" t="s">
        <v>252</v>
      </c>
      <c r="G94" s="19"/>
      <c r="N94" t="s">
        <v>252</v>
      </c>
      <c r="O94" s="19"/>
    </row>
    <row r="96">
      <c r="A96" s="13" t="str">
        <f>data!$A$12</f>
      </c>
      <c r="B96" s="13"/>
      <c r="C96" s="13"/>
      <c r="D96" s="13"/>
      <c r="E96" s="13"/>
      <c r="F96" s="13"/>
      <c r="G96" s="13"/>
      <c r="I96" s="13" t="str">
        <f>data!$A$57</f>
      </c>
      <c r="J96" s="13"/>
      <c r="K96" s="13"/>
      <c r="L96" s="13"/>
      <c r="M96" s="13"/>
      <c r="N96" s="13"/>
      <c r="O96" s="13"/>
    </row>
    <row r="97">
      <c r="A97" s="17" t="s">
        <v>238</v>
      </c>
      <c r="B97" s="14"/>
      <c r="C97" s="14"/>
      <c r="D97" s="14" t="s">
        <v>239</v>
      </c>
      <c r="E97" s="14"/>
      <c r="F97" s="14"/>
      <c r="G97" s="16" t="s">
        <v>240</v>
      </c>
      <c r="I97" s="17" t="s">
        <v>238</v>
      </c>
      <c r="J97" s="14"/>
      <c r="K97" s="14"/>
      <c r="L97" s="14" t="s">
        <v>239</v>
      </c>
      <c r="M97" s="14"/>
      <c r="N97" s="14"/>
      <c r="O97" s="16" t="s">
        <v>240</v>
      </c>
    </row>
    <row r="98">
      <c r="A98" s="14" t="str">
        <f>data!$B$11</f>
      </c>
      <c r="B98" s="18" t="str">
        <f>SUMPRODUCT((UPPER(D99:D103)&lt;&gt;"X")*((LEN(SUBSTITUTE(SUBSTITUTE(SUBSTITUTE(B99:B103," ",""),"0",""),"-",""))+LEN(SUBSTITUTE(SUBSTITUTE(SUBSTITUTE(C99:C103," ",""),"0",""),"-","")))&gt;(LEN(SUBSTITUTE(SUBSTITUTE(SUBSTITUTE(E99:E103," ",""),"0",""),"-",""))+LEN(SUBSTITUTE(SUBSTITUTE(SUBSTITUTE(F99:F103," ",""),"0",""),"-",""))))*1)</f>
      </c>
      <c r="C98" s="18" t="str">
        <f>SUMPRODUCT(LEN(SUBSTITUTE(SUBSTITUTE(SUBSTITUTE(B99:B103," ",""),"0",""),"-",""))+LEN(SUBSTITUTE(SUBSTITUTE(SUBSTITUTE(C99:C103," ",""),"0",""),"-","")))</f>
      </c>
      <c r="D98" s="18"/>
      <c r="E98" s="18" t="str">
        <f>SUMPRODUCT(LEN(SUBSTITUTE(SUBSTITUTE(SUBSTITUTE(E99:E103," ",""),"0",""),"-",""))+LEN(SUBSTITUTE(SUBSTITUTE(SUBSTITUTE(F99:F103," ",""),"0",""),"-","")))</f>
      </c>
      <c r="F98" s="18" t="str">
        <f>SUMPRODUCT((UPPER(D99:D103)&lt;&gt;"X")*((LEN(SUBSTITUTE(SUBSTITUTE(SUBSTITUTE(E99:E103," ",""),"0",""),"-",""))+LEN(SUBSTITUTE(SUBSTITUTE(SUBSTITUTE(F99:F103," ",""),"0",""),"-","")))&gt;(LEN(SUBSTITUTE(SUBSTITUTE(SUBSTITUTE(B99:B103," ",""),"0",""),"-",""))+LEN(SUBSTITUTE(SUBSTITUTE(SUBSTITUTE(C99:C103," ",""),"0",""),"-",""))))*1)</f>
      </c>
      <c r="G98" s="14" t="str">
        <f>data!$B$10</f>
      </c>
      <c r="I98" s="14" t="str">
        <f>data!$B$56</f>
      </c>
      <c r="J98" s="18" t="str">
        <f>SUMPRODUCT((UPPER(L99:L103)&lt;&gt;"X")*((LEN(SUBSTITUTE(SUBSTITUTE(SUBSTITUTE(J99:J103," ",""),"0",""),"-",""))+LEN(SUBSTITUTE(SUBSTITUTE(SUBSTITUTE(K99:K103," ",""),"0",""),"-","")))&gt;(LEN(SUBSTITUTE(SUBSTITUTE(SUBSTITUTE(M99:M103," ",""),"0",""),"-",""))+LEN(SUBSTITUTE(SUBSTITUTE(SUBSTITUTE(N99:N103," ",""),"0",""),"-",""))))*1)</f>
      </c>
      <c r="K98" s="18" t="str">
        <f>SUMPRODUCT(LEN(SUBSTITUTE(SUBSTITUTE(SUBSTITUTE(J99:J103," ",""),"0",""),"-",""))+LEN(SUBSTITUTE(SUBSTITUTE(SUBSTITUTE(K99:K103," ",""),"0",""),"-","")))</f>
      </c>
      <c r="L98" s="18"/>
      <c r="M98" s="18" t="str">
        <f>SUMPRODUCT(LEN(SUBSTITUTE(SUBSTITUTE(SUBSTITUTE(M99:M103," ",""),"0",""),"-",""))+LEN(SUBSTITUTE(SUBSTITUTE(SUBSTITUTE(N99:N103," ",""),"0",""),"-","")))</f>
      </c>
      <c r="N98" s="18" t="str">
        <f>SUMPRODUCT((UPPER(L99:L103)&lt;&gt;"X")*((LEN(SUBSTITUTE(SUBSTITUTE(SUBSTITUTE(M99:M103," ",""),"0",""),"-",""))+LEN(SUBSTITUTE(SUBSTITUTE(SUBSTITUTE(N99:N103," ",""),"0",""),"-","")))&gt;(LEN(SUBSTITUTE(SUBSTITUTE(SUBSTITUTE(J99:J103," ",""),"0",""),"-",""))+LEN(SUBSTITUTE(SUBSTITUTE(SUBSTITUTE(K99:K103," ",""),"0",""),"-",""))))*1)</f>
      </c>
      <c r="O98" s="14" t="str">
        <f>data!$B$55</f>
      </c>
    </row>
    <row r="99">
      <c r="A99" s="18">
        <v>1</v>
      </c>
      <c r="B99" s="18"/>
      <c r="C99" s="18"/>
      <c r="D99" s="18"/>
      <c r="E99" s="18"/>
      <c r="F99" s="18"/>
      <c r="G99" s="18">
        <v>1</v>
      </c>
      <c r="I99" s="18">
        <v>1</v>
      </c>
      <c r="J99" s="18"/>
      <c r="K99" s="18"/>
      <c r="L99" s="18"/>
      <c r="M99" s="18"/>
      <c r="N99" s="18"/>
      <c r="O99" s="18">
        <v>1</v>
      </c>
    </row>
    <row r="100">
      <c r="A100" s="18">
        <v>2</v>
      </c>
      <c r="B100" s="18"/>
      <c r="C100" s="18"/>
      <c r="D100" s="18"/>
      <c r="E100" s="18"/>
      <c r="F100" s="18"/>
      <c r="G100" s="18">
        <v>2</v>
      </c>
      <c r="I100" s="18">
        <v>2</v>
      </c>
      <c r="J100" s="18"/>
      <c r="K100" s="18"/>
      <c r="L100" s="18"/>
      <c r="M100" s="18"/>
      <c r="N100" s="18"/>
      <c r="O100" s="18">
        <v>2</v>
      </c>
    </row>
    <row r="101">
      <c r="A101" s="18">
        <v>3</v>
      </c>
      <c r="B101" s="18"/>
      <c r="C101" s="18"/>
      <c r="D101" s="18"/>
      <c r="E101" s="18"/>
      <c r="F101" s="18"/>
      <c r="G101" s="18">
        <v>3</v>
      </c>
      <c r="I101" s="18">
        <v>3</v>
      </c>
      <c r="J101" s="18"/>
      <c r="K101" s="18"/>
      <c r="L101" s="18"/>
      <c r="M101" s="18"/>
      <c r="N101" s="18"/>
      <c r="O101" s="18">
        <v>3</v>
      </c>
    </row>
    <row r="102">
      <c r="A102" s="18">
        <v>4</v>
      </c>
      <c r="B102" s="18"/>
      <c r="C102" s="18"/>
      <c r="D102" s="18"/>
      <c r="E102" s="18"/>
      <c r="F102" s="18"/>
      <c r="G102" s="18">
        <v>4</v>
      </c>
      <c r="I102" s="18">
        <v>4</v>
      </c>
      <c r="J102" s="18"/>
      <c r="K102" s="18"/>
      <c r="L102" s="18"/>
      <c r="M102" s="18"/>
      <c r="N102" s="18"/>
      <c r="O102" s="18">
        <v>4</v>
      </c>
    </row>
    <row r="103">
      <c r="A103" s="18">
        <v>5</v>
      </c>
      <c r="B103" s="18"/>
      <c r="C103" s="18"/>
      <c r="D103" s="18"/>
      <c r="E103" s="18"/>
      <c r="F103" s="18"/>
      <c r="G103" s="18">
        <v>5</v>
      </c>
      <c r="I103" s="18">
        <v>5</v>
      </c>
      <c r="J103" s="18"/>
      <c r="K103" s="18"/>
      <c r="L103" s="18"/>
      <c r="M103" s="18"/>
      <c r="N103" s="18"/>
      <c r="O103" s="18">
        <v>5</v>
      </c>
    </row>
    <row r="105">
      <c r="A105" s="17" t="s">
        <v>238</v>
      </c>
      <c r="B105" s="14"/>
      <c r="C105" s="14"/>
      <c r="D105" s="14" t="s">
        <v>239</v>
      </c>
      <c r="E105" s="14"/>
      <c r="F105" s="14"/>
      <c r="G105" s="16" t="s">
        <v>240</v>
      </c>
      <c r="I105" s="17" t="s">
        <v>238</v>
      </c>
      <c r="J105" s="14"/>
      <c r="K105" s="14"/>
      <c r="L105" s="14" t="s">
        <v>239</v>
      </c>
      <c r="M105" s="14"/>
      <c r="N105" s="14"/>
      <c r="O105" s="16" t="s">
        <v>240</v>
      </c>
    </row>
    <row r="106">
      <c r="A106" s="14" t="str">
        <f>data!$B$12</f>
      </c>
      <c r="B106" s="18" t="str">
        <f>SUMPRODUCT((UPPER(D107:D111)&lt;&gt;"X")*((LEN(SUBSTITUTE(SUBSTITUTE(SUBSTITUTE(B107:B111," ",""),"0",""),"-",""))+LEN(SUBSTITUTE(SUBSTITUTE(SUBSTITUTE(C107:C111," ",""),"0",""),"-","")))&gt;(LEN(SUBSTITUTE(SUBSTITUTE(SUBSTITUTE(E107:E111," ",""),"0",""),"-",""))+LEN(SUBSTITUTE(SUBSTITUTE(SUBSTITUTE(F107:F111," ",""),"0",""),"-",""))))*1)</f>
      </c>
      <c r="C106" s="18" t="str">
        <f>SUMPRODUCT(LEN(SUBSTITUTE(SUBSTITUTE(SUBSTITUTE(B107:B111," ",""),"0",""),"-",""))+LEN(SUBSTITUTE(SUBSTITUTE(SUBSTITUTE(C107:C111," ",""),"0",""),"-","")))</f>
      </c>
      <c r="D106" s="18"/>
      <c r="E106" s="18" t="str">
        <f>SUMPRODUCT(LEN(SUBSTITUTE(SUBSTITUTE(SUBSTITUTE(E107:E111," ",""),"0",""),"-",""))+LEN(SUBSTITUTE(SUBSTITUTE(SUBSTITUTE(F107:F111," ",""),"0",""),"-","")))</f>
      </c>
      <c r="F106" s="18" t="str">
        <f>SUMPRODUCT((UPPER(D107:D111)&lt;&gt;"X")*((LEN(SUBSTITUTE(SUBSTITUTE(SUBSTITUTE(E107:E111," ",""),"0",""),"-",""))+LEN(SUBSTITUTE(SUBSTITUTE(SUBSTITUTE(F107:F111," ",""),"0",""),"-","")))&gt;(LEN(SUBSTITUTE(SUBSTITUTE(SUBSTITUTE(B107:B111," ",""),"0",""),"-",""))+LEN(SUBSTITUTE(SUBSTITUTE(SUBSTITUTE(C107:C111," ",""),"0",""),"-",""))))*1)</f>
      </c>
      <c r="G106" s="14" t="str">
        <f>data!$B$10</f>
      </c>
      <c r="I106" s="14" t="str">
        <f>data!$B$57</f>
      </c>
      <c r="J106" s="18" t="str">
        <f>SUMPRODUCT((UPPER(L107:L111)&lt;&gt;"X")*((LEN(SUBSTITUTE(SUBSTITUTE(SUBSTITUTE(J107:J111," ",""),"0",""),"-",""))+LEN(SUBSTITUTE(SUBSTITUTE(SUBSTITUTE(K107:K111," ",""),"0",""),"-","")))&gt;(LEN(SUBSTITUTE(SUBSTITUTE(SUBSTITUTE(M107:M111," ",""),"0",""),"-",""))+LEN(SUBSTITUTE(SUBSTITUTE(SUBSTITUTE(N107:N111," ",""),"0",""),"-",""))))*1)</f>
      </c>
      <c r="K106" s="18" t="str">
        <f>SUMPRODUCT(LEN(SUBSTITUTE(SUBSTITUTE(SUBSTITUTE(J107:J111," ",""),"0",""),"-",""))+LEN(SUBSTITUTE(SUBSTITUTE(SUBSTITUTE(K107:K111," ",""),"0",""),"-","")))</f>
      </c>
      <c r="L106" s="18"/>
      <c r="M106" s="18" t="str">
        <f>SUMPRODUCT(LEN(SUBSTITUTE(SUBSTITUTE(SUBSTITUTE(M107:M111," ",""),"0",""),"-",""))+LEN(SUBSTITUTE(SUBSTITUTE(SUBSTITUTE(N107:N111," ",""),"0",""),"-","")))</f>
      </c>
      <c r="N106" s="18" t="str">
        <f>SUMPRODUCT((UPPER(L107:L111)&lt;&gt;"X")*((LEN(SUBSTITUTE(SUBSTITUTE(SUBSTITUTE(M107:M111," ",""),"0",""),"-",""))+LEN(SUBSTITUTE(SUBSTITUTE(SUBSTITUTE(N107:N111," ",""),"0",""),"-","")))&gt;(LEN(SUBSTITUTE(SUBSTITUTE(SUBSTITUTE(J107:J111," ",""),"0",""),"-",""))+LEN(SUBSTITUTE(SUBSTITUTE(SUBSTITUTE(K107:K111," ",""),"0",""),"-",""))))*1)</f>
      </c>
      <c r="O106" s="14" t="str">
        <f>data!$B$55</f>
      </c>
    </row>
    <row r="107">
      <c r="A107" s="18">
        <v>1</v>
      </c>
      <c r="B107" s="18"/>
      <c r="C107" s="18"/>
      <c r="D107" s="18"/>
      <c r="E107" s="18"/>
      <c r="F107" s="18"/>
      <c r="G107" s="18">
        <v>1</v>
      </c>
      <c r="I107" s="18">
        <v>1</v>
      </c>
      <c r="J107" s="18"/>
      <c r="K107" s="18"/>
      <c r="L107" s="18"/>
      <c r="M107" s="18"/>
      <c r="N107" s="18"/>
      <c r="O107" s="18">
        <v>1</v>
      </c>
    </row>
    <row r="108">
      <c r="A108" s="18">
        <v>2</v>
      </c>
      <c r="B108" s="18"/>
      <c r="C108" s="18"/>
      <c r="D108" s="18"/>
      <c r="E108" s="18"/>
      <c r="F108" s="18"/>
      <c r="G108" s="18">
        <v>2</v>
      </c>
      <c r="I108" s="18">
        <v>2</v>
      </c>
      <c r="J108" s="18"/>
      <c r="K108" s="18"/>
      <c r="L108" s="18"/>
      <c r="M108" s="18"/>
      <c r="N108" s="18"/>
      <c r="O108" s="18">
        <v>2</v>
      </c>
    </row>
    <row r="109">
      <c r="A109" s="18">
        <v>3</v>
      </c>
      <c r="B109" s="18"/>
      <c r="C109" s="18"/>
      <c r="D109" s="18"/>
      <c r="E109" s="18"/>
      <c r="F109" s="18"/>
      <c r="G109" s="18">
        <v>3</v>
      </c>
      <c r="I109" s="18">
        <v>3</v>
      </c>
      <c r="J109" s="18"/>
      <c r="K109" s="18"/>
      <c r="L109" s="18"/>
      <c r="M109" s="18"/>
      <c r="N109" s="18"/>
      <c r="O109" s="18">
        <v>3</v>
      </c>
    </row>
    <row r="110">
      <c r="A110" s="18">
        <v>4</v>
      </c>
      <c r="B110" s="18"/>
      <c r="C110" s="18"/>
      <c r="D110" s="18"/>
      <c r="E110" s="18"/>
      <c r="F110" s="18"/>
      <c r="G110" s="18">
        <v>4</v>
      </c>
      <c r="I110" s="18">
        <v>4</v>
      </c>
      <c r="J110" s="18"/>
      <c r="K110" s="18"/>
      <c r="L110" s="18"/>
      <c r="M110" s="18"/>
      <c r="N110" s="18"/>
      <c r="O110" s="18">
        <v>4</v>
      </c>
    </row>
    <row r="111">
      <c r="A111" s="18">
        <v>5</v>
      </c>
      <c r="B111" s="18"/>
      <c r="C111" s="18"/>
      <c r="D111" s="18"/>
      <c r="E111" s="18"/>
      <c r="F111" s="18"/>
      <c r="G111" s="18">
        <v>5</v>
      </c>
      <c r="I111" s="18">
        <v>5</v>
      </c>
      <c r="J111" s="18"/>
      <c r="K111" s="18"/>
      <c r="L111" s="18"/>
      <c r="M111" s="18"/>
      <c r="N111" s="18"/>
      <c r="O111" s="18">
        <v>5</v>
      </c>
    </row>
    <row r="113">
      <c r="A113" s="17" t="s">
        <v>238</v>
      </c>
      <c r="B113" s="14"/>
      <c r="C113" s="14"/>
      <c r="D113" s="14" t="s">
        <v>239</v>
      </c>
      <c r="E113" s="14"/>
      <c r="F113" s="14"/>
      <c r="G113" s="16" t="s">
        <v>240</v>
      </c>
      <c r="I113" s="17" t="s">
        <v>238</v>
      </c>
      <c r="J113" s="14"/>
      <c r="K113" s="14"/>
      <c r="L113" s="14" t="s">
        <v>239</v>
      </c>
      <c r="M113" s="14"/>
      <c r="N113" s="14"/>
      <c r="O113" s="16" t="s">
        <v>240</v>
      </c>
    </row>
    <row r="114">
      <c r="A114" s="14" t="str">
        <f>data!$B$12</f>
      </c>
      <c r="B114" s="18" t="str">
        <f>SUMPRODUCT((UPPER(D115:D119)&lt;&gt;"X")*((LEN(SUBSTITUTE(SUBSTITUTE(SUBSTITUTE(B115:B119," ",""),"0",""),"-",""))+LEN(SUBSTITUTE(SUBSTITUTE(SUBSTITUTE(C115:C119," ",""),"0",""),"-","")))&gt;(LEN(SUBSTITUTE(SUBSTITUTE(SUBSTITUTE(E115:E119," ",""),"0",""),"-",""))+LEN(SUBSTITUTE(SUBSTITUTE(SUBSTITUTE(F115:F119," ",""),"0",""),"-",""))))*1)</f>
      </c>
      <c r="C114" s="18" t="str">
        <f>SUMPRODUCT(LEN(SUBSTITUTE(SUBSTITUTE(SUBSTITUTE(B115:B119," ",""),"0",""),"-",""))+LEN(SUBSTITUTE(SUBSTITUTE(SUBSTITUTE(C115:C119," ",""),"0",""),"-","")))</f>
      </c>
      <c r="D114" s="18"/>
      <c r="E114" s="18" t="str">
        <f>SUMPRODUCT(LEN(SUBSTITUTE(SUBSTITUTE(SUBSTITUTE(E115:E119," ",""),"0",""),"-",""))+LEN(SUBSTITUTE(SUBSTITUTE(SUBSTITUTE(F115:F119," ",""),"0",""),"-","")))</f>
      </c>
      <c r="F114" s="18" t="str">
        <f>SUMPRODUCT((UPPER(D115:D119)&lt;&gt;"X")*((LEN(SUBSTITUTE(SUBSTITUTE(SUBSTITUTE(E115:E119," ",""),"0",""),"-",""))+LEN(SUBSTITUTE(SUBSTITUTE(SUBSTITUTE(F115:F119," ",""),"0",""),"-","")))&gt;(LEN(SUBSTITUTE(SUBSTITUTE(SUBSTITUTE(B115:B119," ",""),"0",""),"-",""))+LEN(SUBSTITUTE(SUBSTITUTE(SUBSTITUTE(C115:C119," ",""),"0",""),"-",""))))*1)</f>
      </c>
      <c r="G114" s="14" t="str">
        <f>data!$B$11</f>
      </c>
      <c r="I114" s="14" t="str">
        <f>data!$B$57</f>
      </c>
      <c r="J114" s="18" t="str">
        <f>SUMPRODUCT((UPPER(L115:L119)&lt;&gt;"X")*((LEN(SUBSTITUTE(SUBSTITUTE(SUBSTITUTE(J115:J119," ",""),"0",""),"-",""))+LEN(SUBSTITUTE(SUBSTITUTE(SUBSTITUTE(K115:K119," ",""),"0",""),"-","")))&gt;(LEN(SUBSTITUTE(SUBSTITUTE(SUBSTITUTE(M115:M119," ",""),"0",""),"-",""))+LEN(SUBSTITUTE(SUBSTITUTE(SUBSTITUTE(N115:N119," ",""),"0",""),"-",""))))*1)</f>
      </c>
      <c r="K114" s="18" t="str">
        <f>SUMPRODUCT(LEN(SUBSTITUTE(SUBSTITUTE(SUBSTITUTE(J115:J119," ",""),"0",""),"-",""))+LEN(SUBSTITUTE(SUBSTITUTE(SUBSTITUTE(K115:K119," ",""),"0",""),"-","")))</f>
      </c>
      <c r="L114" s="18"/>
      <c r="M114" s="18" t="str">
        <f>SUMPRODUCT(LEN(SUBSTITUTE(SUBSTITUTE(SUBSTITUTE(M115:M119," ",""),"0",""),"-",""))+LEN(SUBSTITUTE(SUBSTITUTE(SUBSTITUTE(N115:N119," ",""),"0",""),"-","")))</f>
      </c>
      <c r="N114" s="18" t="str">
        <f>SUMPRODUCT((UPPER(L115:L119)&lt;&gt;"X")*((LEN(SUBSTITUTE(SUBSTITUTE(SUBSTITUTE(M115:M119," ",""),"0",""),"-",""))+LEN(SUBSTITUTE(SUBSTITUTE(SUBSTITUTE(N115:N119," ",""),"0",""),"-","")))&gt;(LEN(SUBSTITUTE(SUBSTITUTE(SUBSTITUTE(J115:J119," ",""),"0",""),"-",""))+LEN(SUBSTITUTE(SUBSTITUTE(SUBSTITUTE(K115:K119," ",""),"0",""),"-",""))))*1)</f>
      </c>
      <c r="O114" s="14" t="str">
        <f>data!$B$56</f>
      </c>
    </row>
    <row r="115">
      <c r="A115" s="18">
        <v>1</v>
      </c>
      <c r="B115" s="18"/>
      <c r="C115" s="18"/>
      <c r="D115" s="18"/>
      <c r="E115" s="18"/>
      <c r="F115" s="18"/>
      <c r="G115" s="18">
        <v>1</v>
      </c>
      <c r="I115" s="18">
        <v>1</v>
      </c>
      <c r="J115" s="18"/>
      <c r="K115" s="18"/>
      <c r="L115" s="18"/>
      <c r="M115" s="18"/>
      <c r="N115" s="18"/>
      <c r="O115" s="18">
        <v>1</v>
      </c>
    </row>
    <row r="116">
      <c r="A116" s="18">
        <v>2</v>
      </c>
      <c r="B116" s="18"/>
      <c r="C116" s="18"/>
      <c r="D116" s="18"/>
      <c r="E116" s="18"/>
      <c r="F116" s="18"/>
      <c r="G116" s="18">
        <v>2</v>
      </c>
      <c r="I116" s="18">
        <v>2</v>
      </c>
      <c r="J116" s="18"/>
      <c r="K116" s="18"/>
      <c r="L116" s="18"/>
      <c r="M116" s="18"/>
      <c r="N116" s="18"/>
      <c r="O116" s="18">
        <v>2</v>
      </c>
    </row>
    <row r="117">
      <c r="A117" s="18">
        <v>3</v>
      </c>
      <c r="B117" s="18"/>
      <c r="C117" s="18"/>
      <c r="D117" s="18"/>
      <c r="E117" s="18"/>
      <c r="F117" s="18"/>
      <c r="G117" s="18">
        <v>3</v>
      </c>
      <c r="I117" s="18">
        <v>3</v>
      </c>
      <c r="J117" s="18"/>
      <c r="K117" s="18"/>
      <c r="L117" s="18"/>
      <c r="M117" s="18"/>
      <c r="N117" s="18"/>
      <c r="O117" s="18">
        <v>3</v>
      </c>
    </row>
    <row r="118">
      <c r="A118" s="18">
        <v>4</v>
      </c>
      <c r="B118" s="18"/>
      <c r="C118" s="18"/>
      <c r="D118" s="18"/>
      <c r="E118" s="18"/>
      <c r="F118" s="18"/>
      <c r="G118" s="18">
        <v>4</v>
      </c>
      <c r="I118" s="18">
        <v>4</v>
      </c>
      <c r="J118" s="18"/>
      <c r="K118" s="18"/>
      <c r="L118" s="18"/>
      <c r="M118" s="18"/>
      <c r="N118" s="18"/>
      <c r="O118" s="18">
        <v>4</v>
      </c>
    </row>
    <row r="119">
      <c r="A119" s="18">
        <v>5</v>
      </c>
      <c r="B119" s="18"/>
      <c r="C119" s="18"/>
      <c r="D119" s="18"/>
      <c r="E119" s="18"/>
      <c r="F119" s="18"/>
      <c r="G119" s="18">
        <v>5</v>
      </c>
      <c r="I119" s="18">
        <v>5</v>
      </c>
      <c r="J119" s="18"/>
      <c r="K119" s="18"/>
      <c r="L119" s="18"/>
      <c r="M119" s="18"/>
      <c r="N119" s="18"/>
      <c r="O119" s="18">
        <v>5</v>
      </c>
    </row>
    <row r="122">
      <c r="A122" s="13"/>
      <c r="B122" s="13" t="s">
        <v>241</v>
      </c>
      <c r="C122" s="13" t="s">
        <v>242</v>
      </c>
      <c r="D122" s="13" t="s">
        <v>243</v>
      </c>
      <c r="I122" s="13"/>
      <c r="J122" s="13" t="s">
        <v>241</v>
      </c>
      <c r="K122" s="13" t="s">
        <v>242</v>
      </c>
      <c r="L122" s="13" t="s">
        <v>243</v>
      </c>
    </row>
    <row r="123">
      <c r="A123" t="str">
        <f>data!$B$10</f>
      </c>
      <c r="B123" s="14" t="str">
        <f>IF(OR(COUNTA(B99:C103,E99:F103)&gt;0,OR(D98="X",D98="x")),IF(OR(D98="X",D98="x"),0,IF(OR(F98&gt;B98,AND(F98=B98,E98&gt;C98)),1,0)),0)+IF(OR(COUNTA(B107:C111,E107:F111)&gt;0,OR(D106="X",D106="x")),IF(OR(D106="X",D106="x"),0,IF(OR(F106&gt;B106,AND(F106=B106,E106&gt;C106)),1,0)),0)</f>
      </c>
      <c r="C123" s="14" t="str">
        <f>IF(OR(COUNTA(B99:C103,E99:F103)&gt;0,OR(D98="X",D98="x")),IF(OR(D98="X",D98="x"),0,IF(OR(F98&lt;B98,AND(F98=B98,E98&lt;C98)),1,0)),0)+IF(OR(COUNTA(B107:C111,E107:F111)&gt;0,OR(D106="X",D106="x")),IF(OR(D106="X",D106="x"),0,IF(OR(F106&lt;B106,AND(F106=B106,E106&lt;C106)),1,0)),0)</f>
      </c>
      <c r="D123" s="14" t="str">
        <f>IF(OR(COUNTA(B99:C103,E99:F103)&gt;0,OR(D98="X",D98="x")),IF(OR(D98="X",D98="x"),1,0),0)+IF(OR(COUNTA(B107:C111,E107:F111)&gt;0,OR(D106="X",D106="x")),IF(OR(D106="X",D106="x"),1,0),0)</f>
      </c>
      <c r="I123" t="str">
        <f>data!$B$55</f>
      </c>
      <c r="J123" s="14" t="str">
        <f>IF(OR(COUNTA(J99:K103,M99:N103)&gt;0,OR(L98="X",L98="x")),IF(OR(L98="X",L98="x"),0,IF(OR(N98&gt;J98,AND(N98=J98,M98&gt;K98)),1,0)),0)+IF(OR(COUNTA(J107:K111,M107:N111)&gt;0,OR(L106="X",L106="x")),IF(OR(L106="X",L106="x"),0,IF(OR(N106&gt;J106,AND(N106=J106,M106&gt;K106)),1,0)),0)</f>
      </c>
      <c r="K123" s="14" t="str">
        <f>IF(OR(COUNTA(J99:K103,M99:N103)&gt;0,OR(L98="X",L98="x")),IF(OR(L98="X",L98="x"),0,IF(OR(N98&lt;J98,AND(N98=J98,M98&lt;K98)),1,0)),0)+IF(OR(COUNTA(J107:K111,M107:N111)&gt;0,OR(L106="X",L106="x")),IF(OR(L106="X",L106="x"),0,IF(OR(N106&lt;J106,AND(N106=J106,M106&lt;K106)),1,0)),0)</f>
      </c>
      <c r="L123" s="14" t="str">
        <f>IF(OR(COUNTA(J99:K103,M99:N103)&gt;0,OR(L98="X",L98="x")),IF(OR(L98="X",L98="x"),1,0),0)+IF(OR(COUNTA(J107:K111,M107:N111)&gt;0,OR(L106="X",L106="x")),IF(OR(L106="X",L106="x"),1,0),0)</f>
      </c>
    </row>
    <row r="124">
      <c r="A124" t="str">
        <f>data!$B$11</f>
      </c>
      <c r="B124" s="14" t="str">
        <f>IF(OR(COUNTA(B99:C103,E99:F103)&gt;0,OR(D98="X",D98="x")),IF(OR(D98="X",D98="x"),0,IF(OR(B98&gt;F98,AND(B98=F98,C98&gt;E98)),1,0)),0)+IF(OR(COUNTA(B115:C119,E115:F119)&gt;0,OR(D114="X",D114="x")),IF(OR(D114="X",D114="x"),0,IF(OR(F114&gt;B114,AND(F114=B114,E114&gt;C114)),1,0)),0)</f>
      </c>
      <c r="C124" s="14" t="str">
        <f>IF(OR(COUNTA(B99:C103,E99:F103)&gt;0,OR(D98="X",D98="x")),IF(OR(D98="X",D98="x"),0,IF(OR(B98&lt;F98,AND(B98=F98,C98&lt;E98)),1,0)),0)+IF(OR(COUNTA(B115:C119,E115:F119)&gt;0,OR(D114="X",D114="x")),IF(OR(D114="X",D114="x"),0,IF(OR(F114&lt;B114,AND(F114=B114,E114&lt;C114)),1,0)),0)</f>
      </c>
      <c r="D124" s="14" t="str">
        <f>IF(OR(COUNTA(B99:C103,E99:F103)&gt;0,OR(D98="X",D98="x")),IF(OR(D98="X",D98="x"),1,0),0)+IF(OR(COUNTA(B115:C119,E115:F119)&gt;0,OR(D114="X",D114="x")),IF(OR(D114="X",D114="x"),1,0),0)</f>
      </c>
      <c r="I124" t="str">
        <f>data!$B$56</f>
      </c>
      <c r="J124" s="14" t="str">
        <f>IF(OR(COUNTA(J99:K103,M99:N103)&gt;0,OR(L98="X",L98="x")),IF(OR(L98="X",L98="x"),0,IF(OR(J98&gt;N98,AND(J98=N98,K98&gt;M98)),1,0)),0)+IF(OR(COUNTA(J115:K119,M115:N119)&gt;0,OR(L114="X",L114="x")),IF(OR(L114="X",L114="x"),0,IF(OR(N114&gt;J114,AND(N114=J114,M114&gt;K114)),1,0)),0)</f>
      </c>
      <c r="K124" s="14" t="str">
        <f>IF(OR(COUNTA(J99:K103,M99:N103)&gt;0,OR(L98="X",L98="x")),IF(OR(L98="X",L98="x"),0,IF(OR(J98&lt;N98,AND(J98=N98,K98&lt;M98)),1,0)),0)+IF(OR(COUNTA(J115:K119,M115:N119)&gt;0,OR(L114="X",L114="x")),IF(OR(L114="X",L114="x"),0,IF(OR(N114&lt;J114,AND(N114=J114,M114&lt;K114)),1,0)),0)</f>
      </c>
      <c r="L124" s="14" t="str">
        <f>IF(OR(COUNTA(J99:K103,M99:N103)&gt;0,OR(L98="X",L98="x")),IF(OR(L98="X",L98="x"),1,0),0)+IF(OR(COUNTA(J115:K119,M115:N119)&gt;0,OR(L114="X",L114="x")),IF(OR(L114="X",L114="x"),1,0),0)</f>
      </c>
    </row>
    <row r="125">
      <c r="A125" t="str">
        <f>data!$B$12</f>
      </c>
      <c r="B125" s="14" t="str">
        <f>IF(OR(COUNTA(B107:C111,E107:F111)&gt;0,OR(D106="X",D106="x")),IF(OR(D106="X",D106="x"),0,IF(OR(B106&gt;F106,AND(B106=F106,C106&gt;E106)),1,0)),0)+IF(OR(COUNTA(B115:C119,E115:F119)&gt;0,OR(D114="X",D114="x")),IF(OR(D114="X",D114="x"),0,IF(OR(B114&gt;F114,AND(B114=F114,C114&gt;E114)),1,0)),0)</f>
      </c>
      <c r="C125" s="14" t="str">
        <f>IF(OR(COUNTA(B107:C111,E107:F111)&gt;0,OR(D106="X",D106="x")),IF(OR(D106="X",D106="x"),0,IF(OR(B106&lt;F106,AND(B106=F106,C106&lt;E106)),1,0)),0)+IF(OR(COUNTA(B115:C119,E115:F119)&gt;0,OR(D114="X",D114="x")),IF(OR(D114="X",D114="x"),0,IF(OR(B114&lt;F114,AND(B114=F114,C114&lt;E114)),1,0)),0)</f>
      </c>
      <c r="D125" s="14" t="str">
        <f>IF(OR(COUNTA(B107:C111,E107:F111)&gt;0,OR(D106="X",D106="x")),IF(OR(D106="X",D106="x"),1,0),0)+IF(OR(COUNTA(B115:C119,E115:F119)&gt;0,OR(D114="X",D114="x")),IF(OR(D114="X",D114="x"),1,0),0)</f>
      </c>
      <c r="I125" t="str">
        <f>data!$B$57</f>
      </c>
      <c r="J125" s="14" t="str">
        <f>IF(OR(COUNTA(J107:K111,M107:N111)&gt;0,OR(L106="X",L106="x")),IF(OR(L106="X",L106="x"),0,IF(OR(J106&gt;N106,AND(J106=N106,K106&gt;M106)),1,0)),0)+IF(OR(COUNTA(J115:K119,M115:N119)&gt;0,OR(L114="X",L114="x")),IF(OR(L114="X",L114="x"),0,IF(OR(J114&gt;N114,AND(J114=N114,K114&gt;M114)),1,0)),0)</f>
      </c>
      <c r="K125" s="14" t="str">
        <f>IF(OR(COUNTA(J107:K111,M107:N111)&gt;0,OR(L106="X",L106="x")),IF(OR(L106="X",L106="x"),0,IF(OR(J106&lt;N106,AND(J106=N106,K106&lt;M106)),1,0)),0)+IF(OR(COUNTA(J115:K119,M115:N119)&gt;0,OR(L114="X",L114="x")),IF(OR(L114="X",L114="x"),0,IF(OR(J114&lt;N114,AND(J114=N114,K114&lt;M114)),1,0)),0)</f>
      </c>
      <c r="L125" s="14" t="str">
        <f>IF(OR(COUNTA(J107:K111,M107:N111)&gt;0,OR(L106="X",L106="x")),IF(OR(L106="X",L106="x"),1,0),0)+IF(OR(COUNTA(J115:K119,M115:N119)&gt;0,OR(L114="X",L114="x")),IF(OR(L114="X",L114="x"),1,0),0)</f>
      </c>
    </row>
    <row r="127">
      <c r="A127" s="13"/>
      <c r="B127" s="13" t="s">
        <v>244</v>
      </c>
      <c r="C127" s="13" t="s">
        <v>245</v>
      </c>
      <c r="D127" s="13" t="s">
        <v>246</v>
      </c>
      <c r="E127" s="13" t="s">
        <v>247</v>
      </c>
      <c r="F127" s="13" t="s">
        <v>248</v>
      </c>
      <c r="I127" s="13"/>
      <c r="J127" s="13" t="s">
        <v>244</v>
      </c>
      <c r="K127" s="13" t="s">
        <v>245</v>
      </c>
      <c r="L127" s="13" t="s">
        <v>246</v>
      </c>
      <c r="M127" s="13" t="s">
        <v>247</v>
      </c>
      <c r="N127" s="13" t="s">
        <v>248</v>
      </c>
    </row>
    <row r="128">
      <c r="A128" t="str">
        <f>data!$B$10</f>
      </c>
      <c r="B128" s="14" t="str">
        <f>IF(OR(COUNTA(B99:C103,E99:F103)&gt;0,OR(D98="X",D98="x")),F98,0)+IF(OR(COUNTA(B107:C111,E107:F111)&gt;0,OR(D106="X",D106="x")),F106,0)</f>
      </c>
      <c r="C128" s="14" t="str">
        <f>IF(OR(COUNTA(B99:C103,E99:F103)&gt;0,OR(D98="X",D98="x")),B98,0)+IF(OR(COUNTA(B107:C111,E107:F111)&gt;0,OR(D106="X",D106="x")),B106,0)</f>
      </c>
      <c r="D128" s="14" t="str">
        <f>IF(OR(COUNTA(B99:C103,E99:F103)&gt;0,OR(D98="X",D98="x")),(IF(OR(D99="X",D99="x"),1,0)+IF(OR(D100="X",D100="x"),1,0)+IF(OR(D101="X",D101="x"),1,0)+IF(OR(D102="X",D102="x"),1,0)+IF(OR(D103="X",D103="x"),1,0)),0)+IF(OR(COUNTA(B107:C111,E107:F111)&gt;0,OR(D106="X",D106="x")),(IF(OR(D107="X",D107="x"),1,0)+IF(OR(D108="X",D108="x"),1,0)+IF(OR(D109="X",D109="x"),1,0)+IF(OR(D110="X",D110="x"),1,0)+IF(OR(D111="X",D111="x"),1,0)),0)</f>
      </c>
      <c r="E128" s="14" t="str">
        <f>E98+E106</f>
      </c>
      <c r="F128" s="14" t="str">
        <f>C98+C106</f>
      </c>
      <c r="I128" t="str">
        <f>data!$B$55</f>
      </c>
      <c r="J128" s="14" t="str">
        <f>IF(OR(COUNTA(J99:K103,M99:N103)&gt;0,OR(L98="X",L98="x")),N98,0)+IF(OR(COUNTA(J107:K111,M107:N111)&gt;0,OR(L106="X",L106="x")),N106,0)</f>
      </c>
      <c r="K128" s="14" t="str">
        <f>IF(OR(COUNTA(J99:K103,M99:N103)&gt;0,OR(L98="X",L98="x")),J98,0)+IF(OR(COUNTA(J107:K111,M107:N111)&gt;0,OR(L106="X",L106="x")),J106,0)</f>
      </c>
      <c r="L128" s="14" t="str">
        <f>IF(OR(COUNTA(J99:K103,M99:N103)&gt;0,OR(L98="X",L98="x")),(IF(OR(L99="X",L99="x"),1,0)+IF(OR(L100="X",L100="x"),1,0)+IF(OR(L101="X",L101="x"),1,0)+IF(OR(L102="X",L102="x"),1,0)+IF(OR(L103="X",L103="x"),1,0)),0)+IF(OR(COUNTA(J107:K111,M107:N111)&gt;0,OR(L106="X",L106="x")),(IF(OR(L107="X",L107="x"),1,0)+IF(OR(L108="X",L108="x"),1,0)+IF(OR(L109="X",L109="x"),1,0)+IF(OR(L110="X",L110="x"),1,0)+IF(OR(L111="X",L111="x"),1,0)),0)</f>
      </c>
      <c r="M128" s="14" t="str">
        <f>M98+M106</f>
      </c>
      <c r="N128" s="14" t="str">
        <f>K98+K106</f>
      </c>
    </row>
    <row r="129">
      <c r="A129" t="str">
        <f>data!$B$11</f>
      </c>
      <c r="B129" s="14" t="str">
        <f>IF(OR(COUNTA(B99:C103,E99:F103)&gt;0,OR(D98="X",D98="x")),B98,0)+IF(OR(COUNTA(B115:C119,E115:F119)&gt;0,OR(D114="X",D114="x")),F114,0)</f>
      </c>
      <c r="C129" s="14" t="str">
        <f>IF(OR(COUNTA(B99:C103,E99:F103)&gt;0,OR(D98="X",D98="x")),F98,0)+IF(OR(COUNTA(B115:C119,E115:F119)&gt;0,OR(D114="X",D114="x")),B114,0)</f>
      </c>
      <c r="D129" s="14" t="str">
        <f>IF(OR(COUNTA(B99:C103,E99:F103)&gt;0,OR(D98="X",D98="x")),(IF(OR(D99="X",D99="x"),1,0)+IF(OR(D100="X",D100="x"),1,0)+IF(OR(D101="X",D101="x"),1,0)+IF(OR(D102="X",D102="x"),1,0)+IF(OR(D103="X",D103="x"),1,0)),0)+IF(OR(COUNTA(B115:C119,E115:F119)&gt;0,OR(D114="X",D114="x")),(IF(OR(D115="X",D115="x"),1,0)+IF(OR(D116="X",D116="x"),1,0)+IF(OR(D117="X",D117="x"),1,0)+IF(OR(D118="X",D118="x"),1,0)+IF(OR(D119="X",D119="x"),1,0)),0)</f>
      </c>
      <c r="E129" s="14" t="str">
        <f>C98+E114</f>
      </c>
      <c r="F129" s="14" t="str">
        <f>E98+C114</f>
      </c>
      <c r="I129" t="str">
        <f>data!$B$56</f>
      </c>
      <c r="J129" s="14" t="str">
        <f>IF(OR(COUNTA(J99:K103,M99:N103)&gt;0,OR(L98="X",L98="x")),J98,0)+IF(OR(COUNTA(J115:K119,M115:N119)&gt;0,OR(L114="X",L114="x")),N114,0)</f>
      </c>
      <c r="K129" s="14" t="str">
        <f>IF(OR(COUNTA(J99:K103,M99:N103)&gt;0,OR(L98="X",L98="x")),N98,0)+IF(OR(COUNTA(J115:K119,M115:N119)&gt;0,OR(L114="X",L114="x")),J114,0)</f>
      </c>
      <c r="L129" s="14" t="str">
        <f>IF(OR(COUNTA(J99:K103,M99:N103)&gt;0,OR(L98="X",L98="x")),(IF(OR(L99="X",L99="x"),1,0)+IF(OR(L100="X",L100="x"),1,0)+IF(OR(L101="X",L101="x"),1,0)+IF(OR(L102="X",L102="x"),1,0)+IF(OR(L103="X",L103="x"),1,0)),0)+IF(OR(COUNTA(J115:K119,M115:N119)&gt;0,OR(L114="X",L114="x")),(IF(OR(L115="X",L115="x"),1,0)+IF(OR(L116="X",L116="x"),1,0)+IF(OR(L117="X",L117="x"),1,0)+IF(OR(L118="X",L118="x"),1,0)+IF(OR(L119="X",L119="x"),1,0)),0)</f>
      </c>
      <c r="M129" s="14" t="str">
        <f>K98+M114</f>
      </c>
      <c r="N129" s="14" t="str">
        <f>M98+K114</f>
      </c>
    </row>
    <row r="130">
      <c r="A130" t="str">
        <f>data!$B$12</f>
      </c>
      <c r="B130" s="14" t="str">
        <f>IF(OR(COUNTA(B107:C111,E107:F111)&gt;0,OR(D106="X",D106="x")),B106,0)+IF(OR(COUNTA(B115:C119,E115:F119)&gt;0,OR(D114="X",D114="x")),B114,0)</f>
      </c>
      <c r="C130" s="14" t="str">
        <f>IF(OR(COUNTA(B107:C111,E107:F111)&gt;0,OR(D106="X",D106="x")),F106,0)+IF(OR(COUNTA(B115:C119,E115:F119)&gt;0,OR(D114="X",D114="x")),F114,0)</f>
      </c>
      <c r="D130" s="14" t="str">
        <f>IF(OR(COUNTA(B107:C111,E107:F111)&gt;0,OR(D106="X",D106="x")),(IF(OR(D107="X",D107="x"),1,0)+IF(OR(D108="X",D108="x"),1,0)+IF(OR(D109="X",D109="x"),1,0)+IF(OR(D110="X",D110="x"),1,0)+IF(OR(D111="X",D111="x"),1,0)),0)+IF(OR(COUNTA(B115:C119,E115:F119)&gt;0,OR(D114="X",D114="x")),(IF(OR(D115="X",D115="x"),1,0)+IF(OR(D116="X",D116="x"),1,0)+IF(OR(D117="X",D117="x"),1,0)+IF(OR(D118="X",D118="x"),1,0)+IF(OR(D119="X",D119="x"),1,0)),0)</f>
      </c>
      <c r="E130" s="14" t="str">
        <f>C106+C114</f>
      </c>
      <c r="F130" s="14" t="str">
        <f>E106+E114</f>
      </c>
      <c r="I130" t="str">
        <f>data!$B$57</f>
      </c>
      <c r="J130" s="14" t="str">
        <f>IF(OR(COUNTA(J107:K111,M107:N111)&gt;0,OR(L106="X",L106="x")),J106,0)+IF(OR(COUNTA(J115:K119,M115:N119)&gt;0,OR(L114="X",L114="x")),J114,0)</f>
      </c>
      <c r="K130" s="14" t="str">
        <f>IF(OR(COUNTA(J107:K111,M107:N111)&gt;0,OR(L106="X",L106="x")),N106,0)+IF(OR(COUNTA(J115:K119,M115:N119)&gt;0,OR(L114="X",L114="x")),N114,0)</f>
      </c>
      <c r="L130" s="14" t="str">
        <f>IF(OR(COUNTA(J107:K111,M107:N111)&gt;0,OR(L106="X",L106="x")),(IF(OR(L107="X",L107="x"),1,0)+IF(OR(L108="X",L108="x"),1,0)+IF(OR(L109="X",L109="x"),1,0)+IF(OR(L110="X",L110="x"),1,0)+IF(OR(L111="X",L111="x"),1,0)),0)+IF(OR(COUNTA(J115:K119,M115:N119)&gt;0,OR(L114="X",L114="x")),(IF(OR(L115="X",L115="x"),1,0)+IF(OR(L116="X",L116="x"),1,0)+IF(OR(L117="X",L117="x"),1,0)+IF(OR(L118="X",L118="x"),1,0)+IF(OR(L119="X",L119="x"),1,0)),0)</f>
      </c>
      <c r="M130" s="14" t="str">
        <f>K106+K114</f>
      </c>
      <c r="N130" s="14" t="str">
        <f>M106+M114</f>
      </c>
    </row>
    <row r="133">
      <c r="F133" s="13"/>
      <c r="G133" s="13" t="s">
        <v>249</v>
      </c>
      <c r="N133" s="13"/>
      <c r="O133" s="13" t="s">
        <v>249</v>
      </c>
    </row>
    <row r="134">
      <c r="F134" t="s">
        <v>250</v>
      </c>
      <c r="G134" s="19"/>
      <c r="N134" t="s">
        <v>250</v>
      </c>
      <c r="O134" s="19"/>
    </row>
    <row r="135">
      <c r="F135" t="s">
        <v>251</v>
      </c>
      <c r="G135" s="19"/>
      <c r="N135" t="s">
        <v>251</v>
      </c>
      <c r="O135" s="19"/>
    </row>
    <row r="136">
      <c r="F136" t="s">
        <v>252</v>
      </c>
      <c r="G136" s="19"/>
      <c r="N136" t="s">
        <v>252</v>
      </c>
      <c r="O136" s="19"/>
    </row>
    <row r="138">
      <c r="A138" s="13" t="str">
        <f>data!$A$15</f>
      </c>
      <c r="B138" s="13"/>
      <c r="C138" s="13"/>
      <c r="D138" s="13"/>
      <c r="E138" s="13"/>
      <c r="F138" s="13"/>
      <c r="G138" s="13"/>
      <c r="I138" s="13" t="str">
        <f>data!$A$60</f>
      </c>
      <c r="J138" s="13"/>
      <c r="K138" s="13"/>
      <c r="L138" s="13"/>
      <c r="M138" s="13"/>
      <c r="N138" s="13"/>
      <c r="O138" s="13"/>
    </row>
    <row r="139">
      <c r="A139" s="17" t="s">
        <v>238</v>
      </c>
      <c r="B139" s="14"/>
      <c r="C139" s="14"/>
      <c r="D139" s="14" t="s">
        <v>239</v>
      </c>
      <c r="E139" s="14"/>
      <c r="F139" s="14"/>
      <c r="G139" s="16" t="s">
        <v>240</v>
      </c>
      <c r="I139" s="17" t="s">
        <v>238</v>
      </c>
      <c r="J139" s="14"/>
      <c r="K139" s="14"/>
      <c r="L139" s="14" t="s">
        <v>239</v>
      </c>
      <c r="M139" s="14"/>
      <c r="N139" s="14"/>
      <c r="O139" s="16" t="s">
        <v>240</v>
      </c>
    </row>
    <row r="140">
      <c r="A140" s="14" t="str">
        <f>data!$B$14</f>
      </c>
      <c r="B140" s="18" t="str">
        <f>SUMPRODUCT((UPPER(D141:D145)&lt;&gt;"X")*((LEN(SUBSTITUTE(SUBSTITUTE(SUBSTITUTE(B141:B145," ",""),"0",""),"-",""))+LEN(SUBSTITUTE(SUBSTITUTE(SUBSTITUTE(C141:C145," ",""),"0",""),"-","")))&gt;(LEN(SUBSTITUTE(SUBSTITUTE(SUBSTITUTE(E141:E145," ",""),"0",""),"-",""))+LEN(SUBSTITUTE(SUBSTITUTE(SUBSTITUTE(F141:F145," ",""),"0",""),"-",""))))*1)</f>
      </c>
      <c r="C140" s="18" t="str">
        <f>SUMPRODUCT(LEN(SUBSTITUTE(SUBSTITUTE(SUBSTITUTE(B141:B145," ",""),"0",""),"-",""))+LEN(SUBSTITUTE(SUBSTITUTE(SUBSTITUTE(C141:C145," ",""),"0",""),"-","")))</f>
      </c>
      <c r="D140" s="18"/>
      <c r="E140" s="18" t="str">
        <f>SUMPRODUCT(LEN(SUBSTITUTE(SUBSTITUTE(SUBSTITUTE(E141:E145," ",""),"0",""),"-",""))+LEN(SUBSTITUTE(SUBSTITUTE(SUBSTITUTE(F141:F145," ",""),"0",""),"-","")))</f>
      </c>
      <c r="F140" s="18" t="str">
        <f>SUMPRODUCT((UPPER(D141:D145)&lt;&gt;"X")*((LEN(SUBSTITUTE(SUBSTITUTE(SUBSTITUTE(E141:E145," ",""),"0",""),"-",""))+LEN(SUBSTITUTE(SUBSTITUTE(SUBSTITUTE(F141:F145," ",""),"0",""),"-","")))&gt;(LEN(SUBSTITUTE(SUBSTITUTE(SUBSTITUTE(B141:B145," ",""),"0",""),"-",""))+LEN(SUBSTITUTE(SUBSTITUTE(SUBSTITUTE(C141:C145," ",""),"0",""),"-",""))))*1)</f>
      </c>
      <c r="G140" s="14" t="str">
        <f>data!$B$13</f>
      </c>
      <c r="I140" s="14" t="str">
        <f>data!$B$59</f>
      </c>
      <c r="J140" s="18" t="str">
        <f>SUMPRODUCT((UPPER(L141:L145)&lt;&gt;"X")*((LEN(SUBSTITUTE(SUBSTITUTE(SUBSTITUTE(J141:J145," ",""),"0",""),"-",""))+LEN(SUBSTITUTE(SUBSTITUTE(SUBSTITUTE(K141:K145," ",""),"0",""),"-","")))&gt;(LEN(SUBSTITUTE(SUBSTITUTE(SUBSTITUTE(M141:M145," ",""),"0",""),"-",""))+LEN(SUBSTITUTE(SUBSTITUTE(SUBSTITUTE(N141:N145," ",""),"0",""),"-",""))))*1)</f>
      </c>
      <c r="K140" s="18" t="str">
        <f>SUMPRODUCT(LEN(SUBSTITUTE(SUBSTITUTE(SUBSTITUTE(J141:J145," ",""),"0",""),"-",""))+LEN(SUBSTITUTE(SUBSTITUTE(SUBSTITUTE(K141:K145," ",""),"0",""),"-","")))</f>
      </c>
      <c r="L140" s="18"/>
      <c r="M140" s="18" t="str">
        <f>SUMPRODUCT(LEN(SUBSTITUTE(SUBSTITUTE(SUBSTITUTE(M141:M145," ",""),"0",""),"-",""))+LEN(SUBSTITUTE(SUBSTITUTE(SUBSTITUTE(N141:N145," ",""),"0",""),"-","")))</f>
      </c>
      <c r="N140" s="18" t="str">
        <f>SUMPRODUCT((UPPER(L141:L145)&lt;&gt;"X")*((LEN(SUBSTITUTE(SUBSTITUTE(SUBSTITUTE(M141:M145," ",""),"0",""),"-",""))+LEN(SUBSTITUTE(SUBSTITUTE(SUBSTITUTE(N141:N145," ",""),"0",""),"-","")))&gt;(LEN(SUBSTITUTE(SUBSTITUTE(SUBSTITUTE(J141:J145," ",""),"0",""),"-",""))+LEN(SUBSTITUTE(SUBSTITUTE(SUBSTITUTE(K141:K145," ",""),"0",""),"-",""))))*1)</f>
      </c>
      <c r="O140" s="14" t="str">
        <f>data!$B$58</f>
      </c>
    </row>
    <row r="141">
      <c r="A141" s="18">
        <v>1</v>
      </c>
      <c r="B141" s="18"/>
      <c r="C141" s="18"/>
      <c r="D141" s="18"/>
      <c r="E141" s="18"/>
      <c r="F141" s="18"/>
      <c r="G141" s="18">
        <v>1</v>
      </c>
      <c r="I141" s="18">
        <v>1</v>
      </c>
      <c r="J141" s="18"/>
      <c r="K141" s="18"/>
      <c r="L141" s="18"/>
      <c r="M141" s="18"/>
      <c r="N141" s="18"/>
      <c r="O141" s="18">
        <v>1</v>
      </c>
    </row>
    <row r="142">
      <c r="A142" s="18">
        <v>2</v>
      </c>
      <c r="B142" s="18"/>
      <c r="C142" s="18"/>
      <c r="D142" s="18"/>
      <c r="E142" s="18"/>
      <c r="F142" s="18"/>
      <c r="G142" s="18">
        <v>2</v>
      </c>
      <c r="I142" s="18">
        <v>2</v>
      </c>
      <c r="J142" s="18"/>
      <c r="K142" s="18"/>
      <c r="L142" s="18"/>
      <c r="M142" s="18"/>
      <c r="N142" s="18"/>
      <c r="O142" s="18">
        <v>2</v>
      </c>
    </row>
    <row r="143">
      <c r="A143" s="18">
        <v>3</v>
      </c>
      <c r="B143" s="18"/>
      <c r="C143" s="18"/>
      <c r="D143" s="18"/>
      <c r="E143" s="18"/>
      <c r="F143" s="18"/>
      <c r="G143" s="18">
        <v>3</v>
      </c>
      <c r="I143" s="18">
        <v>3</v>
      </c>
      <c r="J143" s="18"/>
      <c r="K143" s="18"/>
      <c r="L143" s="18"/>
      <c r="M143" s="18"/>
      <c r="N143" s="18"/>
      <c r="O143" s="18">
        <v>3</v>
      </c>
    </row>
    <row r="144">
      <c r="A144" s="18">
        <v>4</v>
      </c>
      <c r="B144" s="18"/>
      <c r="C144" s="18"/>
      <c r="D144" s="18"/>
      <c r="E144" s="18"/>
      <c r="F144" s="18"/>
      <c r="G144" s="18">
        <v>4</v>
      </c>
      <c r="I144" s="18">
        <v>4</v>
      </c>
      <c r="J144" s="18"/>
      <c r="K144" s="18"/>
      <c r="L144" s="18"/>
      <c r="M144" s="18"/>
      <c r="N144" s="18"/>
      <c r="O144" s="18">
        <v>4</v>
      </c>
    </row>
    <row r="145">
      <c r="A145" s="18">
        <v>5</v>
      </c>
      <c r="B145" s="18"/>
      <c r="C145" s="18"/>
      <c r="D145" s="18"/>
      <c r="E145" s="18"/>
      <c r="F145" s="18"/>
      <c r="G145" s="18">
        <v>5</v>
      </c>
      <c r="I145" s="18">
        <v>5</v>
      </c>
      <c r="J145" s="18"/>
      <c r="K145" s="18"/>
      <c r="L145" s="18"/>
      <c r="M145" s="18"/>
      <c r="N145" s="18"/>
      <c r="O145" s="18">
        <v>5</v>
      </c>
    </row>
    <row r="147">
      <c r="A147" s="17" t="s">
        <v>238</v>
      </c>
      <c r="B147" s="14"/>
      <c r="C147" s="14"/>
      <c r="D147" s="14" t="s">
        <v>239</v>
      </c>
      <c r="E147" s="14"/>
      <c r="F147" s="14"/>
      <c r="G147" s="16" t="s">
        <v>240</v>
      </c>
      <c r="I147" s="17" t="s">
        <v>238</v>
      </c>
      <c r="J147" s="14"/>
      <c r="K147" s="14"/>
      <c r="L147" s="14" t="s">
        <v>239</v>
      </c>
      <c r="M147" s="14"/>
      <c r="N147" s="14"/>
      <c r="O147" s="16" t="s">
        <v>240</v>
      </c>
    </row>
    <row r="148">
      <c r="A148" s="14" t="str">
        <f>data!$B$15</f>
      </c>
      <c r="B148" s="18" t="str">
        <f>SUMPRODUCT((UPPER(D149:D153)&lt;&gt;"X")*((LEN(SUBSTITUTE(SUBSTITUTE(SUBSTITUTE(B149:B153," ",""),"0",""),"-",""))+LEN(SUBSTITUTE(SUBSTITUTE(SUBSTITUTE(C149:C153," ",""),"0",""),"-","")))&gt;(LEN(SUBSTITUTE(SUBSTITUTE(SUBSTITUTE(E149:E153," ",""),"0",""),"-",""))+LEN(SUBSTITUTE(SUBSTITUTE(SUBSTITUTE(F149:F153," ",""),"0",""),"-",""))))*1)</f>
      </c>
      <c r="C148" s="18" t="str">
        <f>SUMPRODUCT(LEN(SUBSTITUTE(SUBSTITUTE(SUBSTITUTE(B149:B153," ",""),"0",""),"-",""))+LEN(SUBSTITUTE(SUBSTITUTE(SUBSTITUTE(C149:C153," ",""),"0",""),"-","")))</f>
      </c>
      <c r="D148" s="18"/>
      <c r="E148" s="18" t="str">
        <f>SUMPRODUCT(LEN(SUBSTITUTE(SUBSTITUTE(SUBSTITUTE(E149:E153," ",""),"0",""),"-",""))+LEN(SUBSTITUTE(SUBSTITUTE(SUBSTITUTE(F149:F153," ",""),"0",""),"-","")))</f>
      </c>
      <c r="F148" s="18" t="str">
        <f>SUMPRODUCT((UPPER(D149:D153)&lt;&gt;"X")*((LEN(SUBSTITUTE(SUBSTITUTE(SUBSTITUTE(E149:E153," ",""),"0",""),"-",""))+LEN(SUBSTITUTE(SUBSTITUTE(SUBSTITUTE(F149:F153," ",""),"0",""),"-","")))&gt;(LEN(SUBSTITUTE(SUBSTITUTE(SUBSTITUTE(B149:B153," ",""),"0",""),"-",""))+LEN(SUBSTITUTE(SUBSTITUTE(SUBSTITUTE(C149:C153," ",""),"0",""),"-",""))))*1)</f>
      </c>
      <c r="G148" s="14" t="str">
        <f>data!$B$13</f>
      </c>
      <c r="I148" s="14" t="str">
        <f>data!$B$60</f>
      </c>
      <c r="J148" s="18" t="str">
        <f>SUMPRODUCT((UPPER(L149:L153)&lt;&gt;"X")*((LEN(SUBSTITUTE(SUBSTITUTE(SUBSTITUTE(J149:J153," ",""),"0",""),"-",""))+LEN(SUBSTITUTE(SUBSTITUTE(SUBSTITUTE(K149:K153," ",""),"0",""),"-","")))&gt;(LEN(SUBSTITUTE(SUBSTITUTE(SUBSTITUTE(M149:M153," ",""),"0",""),"-",""))+LEN(SUBSTITUTE(SUBSTITUTE(SUBSTITUTE(N149:N153," ",""),"0",""),"-",""))))*1)</f>
      </c>
      <c r="K148" s="18" t="str">
        <f>SUMPRODUCT(LEN(SUBSTITUTE(SUBSTITUTE(SUBSTITUTE(J149:J153," ",""),"0",""),"-",""))+LEN(SUBSTITUTE(SUBSTITUTE(SUBSTITUTE(K149:K153," ",""),"0",""),"-","")))</f>
      </c>
      <c r="L148" s="18"/>
      <c r="M148" s="18" t="str">
        <f>SUMPRODUCT(LEN(SUBSTITUTE(SUBSTITUTE(SUBSTITUTE(M149:M153," ",""),"0",""),"-",""))+LEN(SUBSTITUTE(SUBSTITUTE(SUBSTITUTE(N149:N153," ",""),"0",""),"-","")))</f>
      </c>
      <c r="N148" s="18" t="str">
        <f>SUMPRODUCT((UPPER(L149:L153)&lt;&gt;"X")*((LEN(SUBSTITUTE(SUBSTITUTE(SUBSTITUTE(M149:M153," ",""),"0",""),"-",""))+LEN(SUBSTITUTE(SUBSTITUTE(SUBSTITUTE(N149:N153," ",""),"0",""),"-","")))&gt;(LEN(SUBSTITUTE(SUBSTITUTE(SUBSTITUTE(J149:J153," ",""),"0",""),"-",""))+LEN(SUBSTITUTE(SUBSTITUTE(SUBSTITUTE(K149:K153," ",""),"0",""),"-",""))))*1)</f>
      </c>
      <c r="O148" s="14" t="str">
        <f>data!$B$58</f>
      </c>
    </row>
    <row r="149">
      <c r="A149" s="18">
        <v>1</v>
      </c>
      <c r="B149" s="18"/>
      <c r="C149" s="18"/>
      <c r="D149" s="18"/>
      <c r="E149" s="18"/>
      <c r="F149" s="18"/>
      <c r="G149" s="18">
        <v>1</v>
      </c>
      <c r="I149" s="18">
        <v>1</v>
      </c>
      <c r="J149" s="18"/>
      <c r="K149" s="18"/>
      <c r="L149" s="18"/>
      <c r="M149" s="18"/>
      <c r="N149" s="18"/>
      <c r="O149" s="18">
        <v>1</v>
      </c>
    </row>
    <row r="150">
      <c r="A150" s="18">
        <v>2</v>
      </c>
      <c r="B150" s="18"/>
      <c r="C150" s="18"/>
      <c r="D150" s="18"/>
      <c r="E150" s="18"/>
      <c r="F150" s="18"/>
      <c r="G150" s="18">
        <v>2</v>
      </c>
      <c r="I150" s="18">
        <v>2</v>
      </c>
      <c r="J150" s="18"/>
      <c r="K150" s="18"/>
      <c r="L150" s="18"/>
      <c r="M150" s="18"/>
      <c r="N150" s="18"/>
      <c r="O150" s="18">
        <v>2</v>
      </c>
    </row>
    <row r="151">
      <c r="A151" s="18">
        <v>3</v>
      </c>
      <c r="B151" s="18"/>
      <c r="C151" s="18"/>
      <c r="D151" s="18"/>
      <c r="E151" s="18"/>
      <c r="F151" s="18"/>
      <c r="G151" s="18">
        <v>3</v>
      </c>
      <c r="I151" s="18">
        <v>3</v>
      </c>
      <c r="J151" s="18"/>
      <c r="K151" s="18"/>
      <c r="L151" s="18"/>
      <c r="M151" s="18"/>
      <c r="N151" s="18"/>
      <c r="O151" s="18">
        <v>3</v>
      </c>
    </row>
    <row r="152">
      <c r="A152" s="18">
        <v>4</v>
      </c>
      <c r="B152" s="18"/>
      <c r="C152" s="18"/>
      <c r="D152" s="18"/>
      <c r="E152" s="18"/>
      <c r="F152" s="18"/>
      <c r="G152" s="18">
        <v>4</v>
      </c>
      <c r="I152" s="18">
        <v>4</v>
      </c>
      <c r="J152" s="18"/>
      <c r="K152" s="18"/>
      <c r="L152" s="18"/>
      <c r="M152" s="18"/>
      <c r="N152" s="18"/>
      <c r="O152" s="18">
        <v>4</v>
      </c>
    </row>
    <row r="153">
      <c r="A153" s="18">
        <v>5</v>
      </c>
      <c r="B153" s="18"/>
      <c r="C153" s="18"/>
      <c r="D153" s="18"/>
      <c r="E153" s="18"/>
      <c r="F153" s="18"/>
      <c r="G153" s="18">
        <v>5</v>
      </c>
      <c r="I153" s="18">
        <v>5</v>
      </c>
      <c r="J153" s="18"/>
      <c r="K153" s="18"/>
      <c r="L153" s="18"/>
      <c r="M153" s="18"/>
      <c r="N153" s="18"/>
      <c r="O153" s="18">
        <v>5</v>
      </c>
    </row>
    <row r="155">
      <c r="A155" s="17" t="s">
        <v>238</v>
      </c>
      <c r="B155" s="14"/>
      <c r="C155" s="14"/>
      <c r="D155" s="14" t="s">
        <v>239</v>
      </c>
      <c r="E155" s="14"/>
      <c r="F155" s="14"/>
      <c r="G155" s="16" t="s">
        <v>240</v>
      </c>
      <c r="I155" s="17" t="s">
        <v>238</v>
      </c>
      <c r="J155" s="14"/>
      <c r="K155" s="14"/>
      <c r="L155" s="14" t="s">
        <v>239</v>
      </c>
      <c r="M155" s="14"/>
      <c r="N155" s="14"/>
      <c r="O155" s="16" t="s">
        <v>240</v>
      </c>
    </row>
    <row r="156">
      <c r="A156" s="14" t="str">
        <f>data!$B$15</f>
      </c>
      <c r="B156" s="18" t="str">
        <f>SUMPRODUCT((UPPER(D157:D161)&lt;&gt;"X")*((LEN(SUBSTITUTE(SUBSTITUTE(SUBSTITUTE(B157:B161," ",""),"0",""),"-",""))+LEN(SUBSTITUTE(SUBSTITUTE(SUBSTITUTE(C157:C161," ",""),"0",""),"-","")))&gt;(LEN(SUBSTITUTE(SUBSTITUTE(SUBSTITUTE(E157:E161," ",""),"0",""),"-",""))+LEN(SUBSTITUTE(SUBSTITUTE(SUBSTITUTE(F157:F161," ",""),"0",""),"-",""))))*1)</f>
      </c>
      <c r="C156" s="18" t="str">
        <f>SUMPRODUCT(LEN(SUBSTITUTE(SUBSTITUTE(SUBSTITUTE(B157:B161," ",""),"0",""),"-",""))+LEN(SUBSTITUTE(SUBSTITUTE(SUBSTITUTE(C157:C161," ",""),"0",""),"-","")))</f>
      </c>
      <c r="D156" s="18"/>
      <c r="E156" s="18" t="str">
        <f>SUMPRODUCT(LEN(SUBSTITUTE(SUBSTITUTE(SUBSTITUTE(E157:E161," ",""),"0",""),"-",""))+LEN(SUBSTITUTE(SUBSTITUTE(SUBSTITUTE(F157:F161," ",""),"0",""),"-","")))</f>
      </c>
      <c r="F156" s="18" t="str">
        <f>SUMPRODUCT((UPPER(D157:D161)&lt;&gt;"X")*((LEN(SUBSTITUTE(SUBSTITUTE(SUBSTITUTE(E157:E161," ",""),"0",""),"-",""))+LEN(SUBSTITUTE(SUBSTITUTE(SUBSTITUTE(F157:F161," ",""),"0",""),"-","")))&gt;(LEN(SUBSTITUTE(SUBSTITUTE(SUBSTITUTE(B157:B161," ",""),"0",""),"-",""))+LEN(SUBSTITUTE(SUBSTITUTE(SUBSTITUTE(C157:C161," ",""),"0",""),"-",""))))*1)</f>
      </c>
      <c r="G156" s="14" t="str">
        <f>data!$B$14</f>
      </c>
      <c r="I156" s="14" t="str">
        <f>data!$B$60</f>
      </c>
      <c r="J156" s="18" t="str">
        <f>SUMPRODUCT((UPPER(L157:L161)&lt;&gt;"X")*((LEN(SUBSTITUTE(SUBSTITUTE(SUBSTITUTE(J157:J161," ",""),"0",""),"-",""))+LEN(SUBSTITUTE(SUBSTITUTE(SUBSTITUTE(K157:K161," ",""),"0",""),"-","")))&gt;(LEN(SUBSTITUTE(SUBSTITUTE(SUBSTITUTE(M157:M161," ",""),"0",""),"-",""))+LEN(SUBSTITUTE(SUBSTITUTE(SUBSTITUTE(N157:N161," ",""),"0",""),"-",""))))*1)</f>
      </c>
      <c r="K156" s="18" t="str">
        <f>SUMPRODUCT(LEN(SUBSTITUTE(SUBSTITUTE(SUBSTITUTE(J157:J161," ",""),"0",""),"-",""))+LEN(SUBSTITUTE(SUBSTITUTE(SUBSTITUTE(K157:K161," ",""),"0",""),"-","")))</f>
      </c>
      <c r="L156" s="18"/>
      <c r="M156" s="18" t="str">
        <f>SUMPRODUCT(LEN(SUBSTITUTE(SUBSTITUTE(SUBSTITUTE(M157:M161," ",""),"0",""),"-",""))+LEN(SUBSTITUTE(SUBSTITUTE(SUBSTITUTE(N157:N161," ",""),"0",""),"-","")))</f>
      </c>
      <c r="N156" s="18" t="str">
        <f>SUMPRODUCT((UPPER(L157:L161)&lt;&gt;"X")*((LEN(SUBSTITUTE(SUBSTITUTE(SUBSTITUTE(M157:M161," ",""),"0",""),"-",""))+LEN(SUBSTITUTE(SUBSTITUTE(SUBSTITUTE(N157:N161," ",""),"0",""),"-","")))&gt;(LEN(SUBSTITUTE(SUBSTITUTE(SUBSTITUTE(J157:J161," ",""),"0",""),"-",""))+LEN(SUBSTITUTE(SUBSTITUTE(SUBSTITUTE(K157:K161," ",""),"0",""),"-",""))))*1)</f>
      </c>
      <c r="O156" s="14" t="str">
        <f>data!$B$59</f>
      </c>
    </row>
    <row r="157">
      <c r="A157" s="18">
        <v>1</v>
      </c>
      <c r="B157" s="18"/>
      <c r="C157" s="18"/>
      <c r="D157" s="18"/>
      <c r="E157" s="18"/>
      <c r="F157" s="18"/>
      <c r="G157" s="18">
        <v>1</v>
      </c>
      <c r="I157" s="18">
        <v>1</v>
      </c>
      <c r="J157" s="18"/>
      <c r="K157" s="18"/>
      <c r="L157" s="18"/>
      <c r="M157" s="18"/>
      <c r="N157" s="18"/>
      <c r="O157" s="18">
        <v>1</v>
      </c>
    </row>
    <row r="158">
      <c r="A158" s="18">
        <v>2</v>
      </c>
      <c r="B158" s="18"/>
      <c r="C158" s="18"/>
      <c r="D158" s="18"/>
      <c r="E158" s="18"/>
      <c r="F158" s="18"/>
      <c r="G158" s="18">
        <v>2</v>
      </c>
      <c r="I158" s="18">
        <v>2</v>
      </c>
      <c r="J158" s="18"/>
      <c r="K158" s="18"/>
      <c r="L158" s="18"/>
      <c r="M158" s="18"/>
      <c r="N158" s="18"/>
      <c r="O158" s="18">
        <v>2</v>
      </c>
    </row>
    <row r="159">
      <c r="A159" s="18">
        <v>3</v>
      </c>
      <c r="B159" s="18"/>
      <c r="C159" s="18"/>
      <c r="D159" s="18"/>
      <c r="E159" s="18"/>
      <c r="F159" s="18"/>
      <c r="G159" s="18">
        <v>3</v>
      </c>
      <c r="I159" s="18">
        <v>3</v>
      </c>
      <c r="J159" s="18"/>
      <c r="K159" s="18"/>
      <c r="L159" s="18"/>
      <c r="M159" s="18"/>
      <c r="N159" s="18"/>
      <c r="O159" s="18">
        <v>3</v>
      </c>
    </row>
    <row r="160">
      <c r="A160" s="18">
        <v>4</v>
      </c>
      <c r="B160" s="18"/>
      <c r="C160" s="18"/>
      <c r="D160" s="18"/>
      <c r="E160" s="18"/>
      <c r="F160" s="18"/>
      <c r="G160" s="18">
        <v>4</v>
      </c>
      <c r="I160" s="18">
        <v>4</v>
      </c>
      <c r="J160" s="18"/>
      <c r="K160" s="18"/>
      <c r="L160" s="18"/>
      <c r="M160" s="18"/>
      <c r="N160" s="18"/>
      <c r="O160" s="18">
        <v>4</v>
      </c>
    </row>
    <row r="161">
      <c r="A161" s="18">
        <v>5</v>
      </c>
      <c r="B161" s="18"/>
      <c r="C161" s="18"/>
      <c r="D161" s="18"/>
      <c r="E161" s="18"/>
      <c r="F161" s="18"/>
      <c r="G161" s="18">
        <v>5</v>
      </c>
      <c r="I161" s="18">
        <v>5</v>
      </c>
      <c r="J161" s="18"/>
      <c r="K161" s="18"/>
      <c r="L161" s="18"/>
      <c r="M161" s="18"/>
      <c r="N161" s="18"/>
      <c r="O161" s="18">
        <v>5</v>
      </c>
    </row>
    <row r="164">
      <c r="A164" s="13"/>
      <c r="B164" s="13" t="s">
        <v>241</v>
      </c>
      <c r="C164" s="13" t="s">
        <v>242</v>
      </c>
      <c r="D164" s="13" t="s">
        <v>243</v>
      </c>
      <c r="I164" s="13"/>
      <c r="J164" s="13" t="s">
        <v>241</v>
      </c>
      <c r="K164" s="13" t="s">
        <v>242</v>
      </c>
      <c r="L164" s="13" t="s">
        <v>243</v>
      </c>
    </row>
    <row r="165">
      <c r="A165" t="str">
        <f>data!$B$13</f>
      </c>
      <c r="B165" s="14" t="str">
        <f>IF(OR(COUNTA(B141:C145,E141:F145)&gt;0,OR(D140="X",D140="x")),IF(OR(D140="X",D140="x"),0,IF(OR(F140&gt;B140,AND(F140=B140,E140&gt;C140)),1,0)),0)+IF(OR(COUNTA(B149:C153,E149:F153)&gt;0,OR(D148="X",D148="x")),IF(OR(D148="X",D148="x"),0,IF(OR(F148&gt;B148,AND(F148=B148,E148&gt;C148)),1,0)),0)</f>
      </c>
      <c r="C165" s="14" t="str">
        <f>IF(OR(COUNTA(B141:C145,E141:F145)&gt;0,OR(D140="X",D140="x")),IF(OR(D140="X",D140="x"),0,IF(OR(F140&lt;B140,AND(F140=B140,E140&lt;C140)),1,0)),0)+IF(OR(COUNTA(B149:C153,E149:F153)&gt;0,OR(D148="X",D148="x")),IF(OR(D148="X",D148="x"),0,IF(OR(F148&lt;B148,AND(F148=B148,E148&lt;C148)),1,0)),0)</f>
      </c>
      <c r="D165" s="14" t="str">
        <f>IF(OR(COUNTA(B141:C145,E141:F145)&gt;0,OR(D140="X",D140="x")),IF(OR(D140="X",D140="x"),1,0),0)+IF(OR(COUNTA(B149:C153,E149:F153)&gt;0,OR(D148="X",D148="x")),IF(OR(D148="X",D148="x"),1,0),0)</f>
      </c>
      <c r="I165" t="str">
        <f>data!$B$58</f>
      </c>
      <c r="J165" s="14" t="str">
        <f>IF(OR(COUNTA(J141:K145,M141:N145)&gt;0,OR(L140="X",L140="x")),IF(OR(L140="X",L140="x"),0,IF(OR(N140&gt;J140,AND(N140=J140,M140&gt;K140)),1,0)),0)+IF(OR(COUNTA(J149:K153,M149:N153)&gt;0,OR(L148="X",L148="x")),IF(OR(L148="X",L148="x"),0,IF(OR(N148&gt;J148,AND(N148=J148,M148&gt;K148)),1,0)),0)</f>
      </c>
      <c r="K165" s="14" t="str">
        <f>IF(OR(COUNTA(J141:K145,M141:N145)&gt;0,OR(L140="X",L140="x")),IF(OR(L140="X",L140="x"),0,IF(OR(N140&lt;J140,AND(N140=J140,M140&lt;K140)),1,0)),0)+IF(OR(COUNTA(J149:K153,M149:N153)&gt;0,OR(L148="X",L148="x")),IF(OR(L148="X",L148="x"),0,IF(OR(N148&lt;J148,AND(N148=J148,M148&lt;K148)),1,0)),0)</f>
      </c>
      <c r="L165" s="14" t="str">
        <f>IF(OR(COUNTA(J141:K145,M141:N145)&gt;0,OR(L140="X",L140="x")),IF(OR(L140="X",L140="x"),1,0),0)+IF(OR(COUNTA(J149:K153,M149:N153)&gt;0,OR(L148="X",L148="x")),IF(OR(L148="X",L148="x"),1,0),0)</f>
      </c>
    </row>
    <row r="166">
      <c r="A166" t="str">
        <f>data!$B$14</f>
      </c>
      <c r="B166" s="14" t="str">
        <f>IF(OR(COUNTA(B141:C145,E141:F145)&gt;0,OR(D140="X",D140="x")),IF(OR(D140="X",D140="x"),0,IF(OR(B140&gt;F140,AND(B140=F140,C140&gt;E140)),1,0)),0)+IF(OR(COUNTA(B157:C161,E157:F161)&gt;0,OR(D156="X",D156="x")),IF(OR(D156="X",D156="x"),0,IF(OR(F156&gt;B156,AND(F156=B156,E156&gt;C156)),1,0)),0)</f>
      </c>
      <c r="C166" s="14" t="str">
        <f>IF(OR(COUNTA(B141:C145,E141:F145)&gt;0,OR(D140="X",D140="x")),IF(OR(D140="X",D140="x"),0,IF(OR(B140&lt;F140,AND(B140=F140,C140&lt;E140)),1,0)),0)+IF(OR(COUNTA(B157:C161,E157:F161)&gt;0,OR(D156="X",D156="x")),IF(OR(D156="X",D156="x"),0,IF(OR(F156&lt;B156,AND(F156=B156,E156&lt;C156)),1,0)),0)</f>
      </c>
      <c r="D166" s="14" t="str">
        <f>IF(OR(COUNTA(B141:C145,E141:F145)&gt;0,OR(D140="X",D140="x")),IF(OR(D140="X",D140="x"),1,0),0)+IF(OR(COUNTA(B157:C161,E157:F161)&gt;0,OR(D156="X",D156="x")),IF(OR(D156="X",D156="x"),1,0),0)</f>
      </c>
      <c r="I166" t="str">
        <f>data!$B$59</f>
      </c>
      <c r="J166" s="14" t="str">
        <f>IF(OR(COUNTA(J141:K145,M141:N145)&gt;0,OR(L140="X",L140="x")),IF(OR(L140="X",L140="x"),0,IF(OR(J140&gt;N140,AND(J140=N140,K140&gt;M140)),1,0)),0)+IF(OR(COUNTA(J157:K161,M157:N161)&gt;0,OR(L156="X",L156="x")),IF(OR(L156="X",L156="x"),0,IF(OR(N156&gt;J156,AND(N156=J156,M156&gt;K156)),1,0)),0)</f>
      </c>
      <c r="K166" s="14" t="str">
        <f>IF(OR(COUNTA(J141:K145,M141:N145)&gt;0,OR(L140="X",L140="x")),IF(OR(L140="X",L140="x"),0,IF(OR(J140&lt;N140,AND(J140=N140,K140&lt;M140)),1,0)),0)+IF(OR(COUNTA(J157:K161,M157:N161)&gt;0,OR(L156="X",L156="x")),IF(OR(L156="X",L156="x"),0,IF(OR(N156&lt;J156,AND(N156=J156,M156&lt;K156)),1,0)),0)</f>
      </c>
      <c r="L166" s="14" t="str">
        <f>IF(OR(COUNTA(J141:K145,M141:N145)&gt;0,OR(L140="X",L140="x")),IF(OR(L140="X",L140="x"),1,0),0)+IF(OR(COUNTA(J157:K161,M157:N161)&gt;0,OR(L156="X",L156="x")),IF(OR(L156="X",L156="x"),1,0),0)</f>
      </c>
    </row>
    <row r="167">
      <c r="A167" t="str">
        <f>data!$B$15</f>
      </c>
      <c r="B167" s="14" t="str">
        <f>IF(OR(COUNTA(B149:C153,E149:F153)&gt;0,OR(D148="X",D148="x")),IF(OR(D148="X",D148="x"),0,IF(OR(B148&gt;F148,AND(B148=F148,C148&gt;E148)),1,0)),0)+IF(OR(COUNTA(B157:C161,E157:F161)&gt;0,OR(D156="X",D156="x")),IF(OR(D156="X",D156="x"),0,IF(OR(B156&gt;F156,AND(B156=F156,C156&gt;E156)),1,0)),0)</f>
      </c>
      <c r="C167" s="14" t="str">
        <f>IF(OR(COUNTA(B149:C153,E149:F153)&gt;0,OR(D148="X",D148="x")),IF(OR(D148="X",D148="x"),0,IF(OR(B148&lt;F148,AND(B148=F148,C148&lt;E148)),1,0)),0)+IF(OR(COUNTA(B157:C161,E157:F161)&gt;0,OR(D156="X",D156="x")),IF(OR(D156="X",D156="x"),0,IF(OR(B156&lt;F156,AND(B156=F156,C156&lt;E156)),1,0)),0)</f>
      </c>
      <c r="D167" s="14" t="str">
        <f>IF(OR(COUNTA(B149:C153,E149:F153)&gt;0,OR(D148="X",D148="x")),IF(OR(D148="X",D148="x"),1,0),0)+IF(OR(COUNTA(B157:C161,E157:F161)&gt;0,OR(D156="X",D156="x")),IF(OR(D156="X",D156="x"),1,0),0)</f>
      </c>
      <c r="I167" t="str">
        <f>data!$B$60</f>
      </c>
      <c r="J167" s="14" t="str">
        <f>IF(OR(COUNTA(J149:K153,M149:N153)&gt;0,OR(L148="X",L148="x")),IF(OR(L148="X",L148="x"),0,IF(OR(J148&gt;N148,AND(J148=N148,K148&gt;M148)),1,0)),0)+IF(OR(COUNTA(J157:K161,M157:N161)&gt;0,OR(L156="X",L156="x")),IF(OR(L156="X",L156="x"),0,IF(OR(J156&gt;N156,AND(J156=N156,K156&gt;M156)),1,0)),0)</f>
      </c>
      <c r="K167" s="14" t="str">
        <f>IF(OR(COUNTA(J149:K153,M149:N153)&gt;0,OR(L148="X",L148="x")),IF(OR(L148="X",L148="x"),0,IF(OR(J148&lt;N148,AND(J148=N148,K148&lt;M148)),1,0)),0)+IF(OR(COUNTA(J157:K161,M157:N161)&gt;0,OR(L156="X",L156="x")),IF(OR(L156="X",L156="x"),0,IF(OR(J156&lt;N156,AND(J156=N156,K156&lt;M156)),1,0)),0)</f>
      </c>
      <c r="L167" s="14" t="str">
        <f>IF(OR(COUNTA(J149:K153,M149:N153)&gt;0,OR(L148="X",L148="x")),IF(OR(L148="X",L148="x"),1,0),0)+IF(OR(COUNTA(J157:K161,M157:N161)&gt;0,OR(L156="X",L156="x")),IF(OR(L156="X",L156="x"),1,0),0)</f>
      </c>
    </row>
    <row r="169">
      <c r="A169" s="13"/>
      <c r="B169" s="13" t="s">
        <v>244</v>
      </c>
      <c r="C169" s="13" t="s">
        <v>245</v>
      </c>
      <c r="D169" s="13" t="s">
        <v>246</v>
      </c>
      <c r="E169" s="13" t="s">
        <v>247</v>
      </c>
      <c r="F169" s="13" t="s">
        <v>248</v>
      </c>
      <c r="I169" s="13"/>
      <c r="J169" s="13" t="s">
        <v>244</v>
      </c>
      <c r="K169" s="13" t="s">
        <v>245</v>
      </c>
      <c r="L169" s="13" t="s">
        <v>246</v>
      </c>
      <c r="M169" s="13" t="s">
        <v>247</v>
      </c>
      <c r="N169" s="13" t="s">
        <v>248</v>
      </c>
    </row>
    <row r="170">
      <c r="A170" t="str">
        <f>data!$B$13</f>
      </c>
      <c r="B170" s="14" t="str">
        <f>IF(OR(COUNTA(B141:C145,E141:F145)&gt;0,OR(D140="X",D140="x")),F140,0)+IF(OR(COUNTA(B149:C153,E149:F153)&gt;0,OR(D148="X",D148="x")),F148,0)</f>
      </c>
      <c r="C170" s="14" t="str">
        <f>IF(OR(COUNTA(B141:C145,E141:F145)&gt;0,OR(D140="X",D140="x")),B140,0)+IF(OR(COUNTA(B149:C153,E149:F153)&gt;0,OR(D148="X",D148="x")),B148,0)</f>
      </c>
      <c r="D170" s="14" t="str">
        <f>IF(OR(COUNTA(B141:C145,E141:F145)&gt;0,OR(D140="X",D140="x")),(IF(OR(D141="X",D141="x"),1,0)+IF(OR(D142="X",D142="x"),1,0)+IF(OR(D143="X",D143="x"),1,0)+IF(OR(D144="X",D144="x"),1,0)+IF(OR(D145="X",D145="x"),1,0)),0)+IF(OR(COUNTA(B149:C153,E149:F153)&gt;0,OR(D148="X",D148="x")),(IF(OR(D149="X",D149="x"),1,0)+IF(OR(D150="X",D150="x"),1,0)+IF(OR(D151="X",D151="x"),1,0)+IF(OR(D152="X",D152="x"),1,0)+IF(OR(D153="X",D153="x"),1,0)),0)</f>
      </c>
      <c r="E170" s="14" t="str">
        <f>E140+E148</f>
      </c>
      <c r="F170" s="14" t="str">
        <f>C140+C148</f>
      </c>
      <c r="I170" t="str">
        <f>data!$B$58</f>
      </c>
      <c r="J170" s="14" t="str">
        <f>IF(OR(COUNTA(J141:K145,M141:N145)&gt;0,OR(L140="X",L140="x")),N140,0)+IF(OR(COUNTA(J149:K153,M149:N153)&gt;0,OR(L148="X",L148="x")),N148,0)</f>
      </c>
      <c r="K170" s="14" t="str">
        <f>IF(OR(COUNTA(J141:K145,M141:N145)&gt;0,OR(L140="X",L140="x")),J140,0)+IF(OR(COUNTA(J149:K153,M149:N153)&gt;0,OR(L148="X",L148="x")),J148,0)</f>
      </c>
      <c r="L170" s="14" t="str">
        <f>IF(OR(COUNTA(J141:K145,M141:N145)&gt;0,OR(L140="X",L140="x")),(IF(OR(L141="X",L141="x"),1,0)+IF(OR(L142="X",L142="x"),1,0)+IF(OR(L143="X",L143="x"),1,0)+IF(OR(L144="X",L144="x"),1,0)+IF(OR(L145="X",L145="x"),1,0)),0)+IF(OR(COUNTA(J149:K153,M149:N153)&gt;0,OR(L148="X",L148="x")),(IF(OR(L149="X",L149="x"),1,0)+IF(OR(L150="X",L150="x"),1,0)+IF(OR(L151="X",L151="x"),1,0)+IF(OR(L152="X",L152="x"),1,0)+IF(OR(L153="X",L153="x"),1,0)),0)</f>
      </c>
      <c r="M170" s="14" t="str">
        <f>M140+M148</f>
      </c>
      <c r="N170" s="14" t="str">
        <f>K140+K148</f>
      </c>
    </row>
    <row r="171">
      <c r="A171" t="str">
        <f>data!$B$14</f>
      </c>
      <c r="B171" s="14" t="str">
        <f>IF(OR(COUNTA(B141:C145,E141:F145)&gt;0,OR(D140="X",D140="x")),B140,0)+IF(OR(COUNTA(B157:C161,E157:F161)&gt;0,OR(D156="X",D156="x")),F156,0)</f>
      </c>
      <c r="C171" s="14" t="str">
        <f>IF(OR(COUNTA(B141:C145,E141:F145)&gt;0,OR(D140="X",D140="x")),F140,0)+IF(OR(COUNTA(B157:C161,E157:F161)&gt;0,OR(D156="X",D156="x")),B156,0)</f>
      </c>
      <c r="D171" s="14" t="str">
        <f>IF(OR(COUNTA(B141:C145,E141:F145)&gt;0,OR(D140="X",D140="x")),(IF(OR(D141="X",D141="x"),1,0)+IF(OR(D142="X",D142="x"),1,0)+IF(OR(D143="X",D143="x"),1,0)+IF(OR(D144="X",D144="x"),1,0)+IF(OR(D145="X",D145="x"),1,0)),0)+IF(OR(COUNTA(B157:C161,E157:F161)&gt;0,OR(D156="X",D156="x")),(IF(OR(D157="X",D157="x"),1,0)+IF(OR(D158="X",D158="x"),1,0)+IF(OR(D159="X",D159="x"),1,0)+IF(OR(D160="X",D160="x"),1,0)+IF(OR(D161="X",D161="x"),1,0)),0)</f>
      </c>
      <c r="E171" s="14" t="str">
        <f>C140+E156</f>
      </c>
      <c r="F171" s="14" t="str">
        <f>E140+C156</f>
      </c>
      <c r="I171" t="str">
        <f>data!$B$59</f>
      </c>
      <c r="J171" s="14" t="str">
        <f>IF(OR(COUNTA(J141:K145,M141:N145)&gt;0,OR(L140="X",L140="x")),J140,0)+IF(OR(COUNTA(J157:K161,M157:N161)&gt;0,OR(L156="X",L156="x")),N156,0)</f>
      </c>
      <c r="K171" s="14" t="str">
        <f>IF(OR(COUNTA(J141:K145,M141:N145)&gt;0,OR(L140="X",L140="x")),N140,0)+IF(OR(COUNTA(J157:K161,M157:N161)&gt;0,OR(L156="X",L156="x")),J156,0)</f>
      </c>
      <c r="L171" s="14" t="str">
        <f>IF(OR(COUNTA(J141:K145,M141:N145)&gt;0,OR(L140="X",L140="x")),(IF(OR(L141="X",L141="x"),1,0)+IF(OR(L142="X",L142="x"),1,0)+IF(OR(L143="X",L143="x"),1,0)+IF(OR(L144="X",L144="x"),1,0)+IF(OR(L145="X",L145="x"),1,0)),0)+IF(OR(COUNTA(J157:K161,M157:N161)&gt;0,OR(L156="X",L156="x")),(IF(OR(L157="X",L157="x"),1,0)+IF(OR(L158="X",L158="x"),1,0)+IF(OR(L159="X",L159="x"),1,0)+IF(OR(L160="X",L160="x"),1,0)+IF(OR(L161="X",L161="x"),1,0)),0)</f>
      </c>
      <c r="M171" s="14" t="str">
        <f>K140+M156</f>
      </c>
      <c r="N171" s="14" t="str">
        <f>M140+K156</f>
      </c>
    </row>
    <row r="172">
      <c r="A172" t="str">
        <f>data!$B$15</f>
      </c>
      <c r="B172" s="14" t="str">
        <f>IF(OR(COUNTA(B149:C153,E149:F153)&gt;0,OR(D148="X",D148="x")),B148,0)+IF(OR(COUNTA(B157:C161,E157:F161)&gt;0,OR(D156="X",D156="x")),B156,0)</f>
      </c>
      <c r="C172" s="14" t="str">
        <f>IF(OR(COUNTA(B149:C153,E149:F153)&gt;0,OR(D148="X",D148="x")),F148,0)+IF(OR(COUNTA(B157:C161,E157:F161)&gt;0,OR(D156="X",D156="x")),F156,0)</f>
      </c>
      <c r="D172" s="14" t="str">
        <f>IF(OR(COUNTA(B149:C153,E149:F153)&gt;0,OR(D148="X",D148="x")),(IF(OR(D149="X",D149="x"),1,0)+IF(OR(D150="X",D150="x"),1,0)+IF(OR(D151="X",D151="x"),1,0)+IF(OR(D152="X",D152="x"),1,0)+IF(OR(D153="X",D153="x"),1,0)),0)+IF(OR(COUNTA(B157:C161,E157:F161)&gt;0,OR(D156="X",D156="x")),(IF(OR(D157="X",D157="x"),1,0)+IF(OR(D158="X",D158="x"),1,0)+IF(OR(D159="X",D159="x"),1,0)+IF(OR(D160="X",D160="x"),1,0)+IF(OR(D161="X",D161="x"),1,0)),0)</f>
      </c>
      <c r="E172" s="14" t="str">
        <f>C148+C156</f>
      </c>
      <c r="F172" s="14" t="str">
        <f>E148+E156</f>
      </c>
      <c r="I172" t="str">
        <f>data!$B$60</f>
      </c>
      <c r="J172" s="14" t="str">
        <f>IF(OR(COUNTA(J149:K153,M149:N153)&gt;0,OR(L148="X",L148="x")),J148,0)+IF(OR(COUNTA(J157:K161,M157:N161)&gt;0,OR(L156="X",L156="x")),J156,0)</f>
      </c>
      <c r="K172" s="14" t="str">
        <f>IF(OR(COUNTA(J149:K153,M149:N153)&gt;0,OR(L148="X",L148="x")),N148,0)+IF(OR(COUNTA(J157:K161,M157:N161)&gt;0,OR(L156="X",L156="x")),N156,0)</f>
      </c>
      <c r="L172" s="14" t="str">
        <f>IF(OR(COUNTA(J149:K153,M149:N153)&gt;0,OR(L148="X",L148="x")),(IF(OR(L149="X",L149="x"),1,0)+IF(OR(L150="X",L150="x"),1,0)+IF(OR(L151="X",L151="x"),1,0)+IF(OR(L152="X",L152="x"),1,0)+IF(OR(L153="X",L153="x"),1,0)),0)+IF(OR(COUNTA(J157:K161,M157:N161)&gt;0,OR(L156="X",L156="x")),(IF(OR(L157="X",L157="x"),1,0)+IF(OR(L158="X",L158="x"),1,0)+IF(OR(L159="X",L159="x"),1,0)+IF(OR(L160="X",L160="x"),1,0)+IF(OR(L161="X",L161="x"),1,0)),0)</f>
      </c>
      <c r="M172" s="14" t="str">
        <f>K148+K156</f>
      </c>
      <c r="N172" s="14" t="str">
        <f>M148+M156</f>
      </c>
    </row>
    <row r="175">
      <c r="F175" s="13"/>
      <c r="G175" s="13" t="s">
        <v>249</v>
      </c>
      <c r="N175" s="13"/>
      <c r="O175" s="13" t="s">
        <v>249</v>
      </c>
    </row>
    <row r="176">
      <c r="F176" t="s">
        <v>250</v>
      </c>
      <c r="G176" s="19"/>
      <c r="N176" t="s">
        <v>250</v>
      </c>
      <c r="O176" s="19"/>
    </row>
    <row r="177">
      <c r="F177" t="s">
        <v>251</v>
      </c>
      <c r="G177" s="19"/>
      <c r="N177" t="s">
        <v>251</v>
      </c>
      <c r="O177" s="19"/>
    </row>
    <row r="178">
      <c r="F178" t="s">
        <v>252</v>
      </c>
      <c r="G178" s="19"/>
      <c r="N178" t="s">
        <v>252</v>
      </c>
      <c r="O178" s="19"/>
    </row>
    <row r="180">
      <c r="A180" s="13" t="str">
        <f>data!$A$18</f>
      </c>
      <c r="B180" s="13"/>
      <c r="C180" s="13"/>
      <c r="D180" s="13"/>
      <c r="E180" s="13"/>
      <c r="F180" s="13"/>
      <c r="G180" s="13"/>
      <c r="I180" s="13" t="str">
        <f>data!$A$63</f>
      </c>
      <c r="J180" s="13"/>
      <c r="K180" s="13"/>
      <c r="L180" s="13"/>
      <c r="M180" s="13"/>
      <c r="N180" s="13"/>
      <c r="O180" s="13"/>
    </row>
    <row r="181">
      <c r="A181" s="17" t="s">
        <v>238</v>
      </c>
      <c r="B181" s="14"/>
      <c r="C181" s="14"/>
      <c r="D181" s="14" t="s">
        <v>239</v>
      </c>
      <c r="E181" s="14"/>
      <c r="F181" s="14"/>
      <c r="G181" s="16" t="s">
        <v>240</v>
      </c>
      <c r="I181" s="17" t="s">
        <v>238</v>
      </c>
      <c r="J181" s="14"/>
      <c r="K181" s="14"/>
      <c r="L181" s="14" t="s">
        <v>239</v>
      </c>
      <c r="M181" s="14"/>
      <c r="N181" s="14"/>
      <c r="O181" s="16" t="s">
        <v>240</v>
      </c>
    </row>
    <row r="182">
      <c r="A182" s="14" t="str">
        <f>data!$B$17</f>
      </c>
      <c r="B182" s="18" t="str">
        <f>SUMPRODUCT((UPPER(D183:D187)&lt;&gt;"X")*((LEN(SUBSTITUTE(SUBSTITUTE(SUBSTITUTE(B183:B187," ",""),"0",""),"-",""))+LEN(SUBSTITUTE(SUBSTITUTE(SUBSTITUTE(C183:C187," ",""),"0",""),"-","")))&gt;(LEN(SUBSTITUTE(SUBSTITUTE(SUBSTITUTE(E183:E187," ",""),"0",""),"-",""))+LEN(SUBSTITUTE(SUBSTITUTE(SUBSTITUTE(F183:F187," ",""),"0",""),"-",""))))*1)</f>
      </c>
      <c r="C182" s="18" t="str">
        <f>SUMPRODUCT(LEN(SUBSTITUTE(SUBSTITUTE(SUBSTITUTE(B183:B187," ",""),"0",""),"-",""))+LEN(SUBSTITUTE(SUBSTITUTE(SUBSTITUTE(C183:C187," ",""),"0",""),"-","")))</f>
      </c>
      <c r="D182" s="18"/>
      <c r="E182" s="18" t="str">
        <f>SUMPRODUCT(LEN(SUBSTITUTE(SUBSTITUTE(SUBSTITUTE(E183:E187," ",""),"0",""),"-",""))+LEN(SUBSTITUTE(SUBSTITUTE(SUBSTITUTE(F183:F187," ",""),"0",""),"-","")))</f>
      </c>
      <c r="F182" s="18" t="str">
        <f>SUMPRODUCT((UPPER(D183:D187)&lt;&gt;"X")*((LEN(SUBSTITUTE(SUBSTITUTE(SUBSTITUTE(E183:E187," ",""),"0",""),"-",""))+LEN(SUBSTITUTE(SUBSTITUTE(SUBSTITUTE(F183:F187," ",""),"0",""),"-","")))&gt;(LEN(SUBSTITUTE(SUBSTITUTE(SUBSTITUTE(B183:B187," ",""),"0",""),"-",""))+LEN(SUBSTITUTE(SUBSTITUTE(SUBSTITUTE(C183:C187," ",""),"0",""),"-",""))))*1)</f>
      </c>
      <c r="G182" s="14" t="str">
        <f>data!$B$16</f>
      </c>
      <c r="I182" s="14" t="str">
        <f>data!$B$62</f>
      </c>
      <c r="J182" s="18" t="str">
        <f>SUMPRODUCT((UPPER(L183:L187)&lt;&gt;"X")*((LEN(SUBSTITUTE(SUBSTITUTE(SUBSTITUTE(J183:J187," ",""),"0",""),"-",""))+LEN(SUBSTITUTE(SUBSTITUTE(SUBSTITUTE(K183:K187," ",""),"0",""),"-","")))&gt;(LEN(SUBSTITUTE(SUBSTITUTE(SUBSTITUTE(M183:M187," ",""),"0",""),"-",""))+LEN(SUBSTITUTE(SUBSTITUTE(SUBSTITUTE(N183:N187," ",""),"0",""),"-",""))))*1)</f>
      </c>
      <c r="K182" s="18" t="str">
        <f>SUMPRODUCT(LEN(SUBSTITUTE(SUBSTITUTE(SUBSTITUTE(J183:J187," ",""),"0",""),"-",""))+LEN(SUBSTITUTE(SUBSTITUTE(SUBSTITUTE(K183:K187," ",""),"0",""),"-","")))</f>
      </c>
      <c r="L182" s="18"/>
      <c r="M182" s="18" t="str">
        <f>SUMPRODUCT(LEN(SUBSTITUTE(SUBSTITUTE(SUBSTITUTE(M183:M187," ",""),"0",""),"-",""))+LEN(SUBSTITUTE(SUBSTITUTE(SUBSTITUTE(N183:N187," ",""),"0",""),"-","")))</f>
      </c>
      <c r="N182" s="18" t="str">
        <f>SUMPRODUCT((UPPER(L183:L187)&lt;&gt;"X")*((LEN(SUBSTITUTE(SUBSTITUTE(SUBSTITUTE(M183:M187," ",""),"0",""),"-",""))+LEN(SUBSTITUTE(SUBSTITUTE(SUBSTITUTE(N183:N187," ",""),"0",""),"-","")))&gt;(LEN(SUBSTITUTE(SUBSTITUTE(SUBSTITUTE(J183:J187," ",""),"0",""),"-",""))+LEN(SUBSTITUTE(SUBSTITUTE(SUBSTITUTE(K183:K187," ",""),"0",""),"-",""))))*1)</f>
      </c>
      <c r="O182" s="14" t="str">
        <f>data!$B$61</f>
      </c>
    </row>
    <row r="183">
      <c r="A183" s="18">
        <v>1</v>
      </c>
      <c r="B183" s="18"/>
      <c r="C183" s="18"/>
      <c r="D183" s="18"/>
      <c r="E183" s="18"/>
      <c r="F183" s="18"/>
      <c r="G183" s="18">
        <v>1</v>
      </c>
      <c r="I183" s="18">
        <v>1</v>
      </c>
      <c r="J183" s="18"/>
      <c r="K183" s="18"/>
      <c r="L183" s="18"/>
      <c r="M183" s="18"/>
      <c r="N183" s="18"/>
      <c r="O183" s="18">
        <v>1</v>
      </c>
    </row>
    <row r="184">
      <c r="A184" s="18">
        <v>2</v>
      </c>
      <c r="B184" s="18"/>
      <c r="C184" s="18"/>
      <c r="D184" s="18"/>
      <c r="E184" s="18"/>
      <c r="F184" s="18"/>
      <c r="G184" s="18">
        <v>2</v>
      </c>
      <c r="I184" s="18">
        <v>2</v>
      </c>
      <c r="J184" s="18"/>
      <c r="K184" s="18"/>
      <c r="L184" s="18"/>
      <c r="M184" s="18"/>
      <c r="N184" s="18"/>
      <c r="O184" s="18">
        <v>2</v>
      </c>
    </row>
    <row r="185">
      <c r="A185" s="18">
        <v>3</v>
      </c>
      <c r="B185" s="18"/>
      <c r="C185" s="18"/>
      <c r="D185" s="18"/>
      <c r="E185" s="18"/>
      <c r="F185" s="18"/>
      <c r="G185" s="18">
        <v>3</v>
      </c>
      <c r="I185" s="18">
        <v>3</v>
      </c>
      <c r="J185" s="18"/>
      <c r="K185" s="18"/>
      <c r="L185" s="18"/>
      <c r="M185" s="18"/>
      <c r="N185" s="18"/>
      <c r="O185" s="18">
        <v>3</v>
      </c>
    </row>
    <row r="186">
      <c r="A186" s="18">
        <v>4</v>
      </c>
      <c r="B186" s="18"/>
      <c r="C186" s="18"/>
      <c r="D186" s="18"/>
      <c r="E186" s="18"/>
      <c r="F186" s="18"/>
      <c r="G186" s="18">
        <v>4</v>
      </c>
      <c r="I186" s="18">
        <v>4</v>
      </c>
      <c r="J186" s="18"/>
      <c r="K186" s="18"/>
      <c r="L186" s="18"/>
      <c r="M186" s="18"/>
      <c r="N186" s="18"/>
      <c r="O186" s="18">
        <v>4</v>
      </c>
    </row>
    <row r="187">
      <c r="A187" s="18">
        <v>5</v>
      </c>
      <c r="B187" s="18"/>
      <c r="C187" s="18"/>
      <c r="D187" s="18"/>
      <c r="E187" s="18"/>
      <c r="F187" s="18"/>
      <c r="G187" s="18">
        <v>5</v>
      </c>
      <c r="I187" s="18">
        <v>5</v>
      </c>
      <c r="J187" s="18"/>
      <c r="K187" s="18"/>
      <c r="L187" s="18"/>
      <c r="M187" s="18"/>
      <c r="N187" s="18"/>
      <c r="O187" s="18">
        <v>5</v>
      </c>
    </row>
    <row r="189">
      <c r="A189" s="17" t="s">
        <v>238</v>
      </c>
      <c r="B189" s="14"/>
      <c r="C189" s="14"/>
      <c r="D189" s="14" t="s">
        <v>239</v>
      </c>
      <c r="E189" s="14"/>
      <c r="F189" s="14"/>
      <c r="G189" s="16" t="s">
        <v>240</v>
      </c>
      <c r="I189" s="17" t="s">
        <v>238</v>
      </c>
      <c r="J189" s="14"/>
      <c r="K189" s="14"/>
      <c r="L189" s="14" t="s">
        <v>239</v>
      </c>
      <c r="M189" s="14"/>
      <c r="N189" s="14"/>
      <c r="O189" s="16" t="s">
        <v>240</v>
      </c>
    </row>
    <row r="190">
      <c r="A190" s="14" t="str">
        <f>data!$B$18</f>
      </c>
      <c r="B190" s="18" t="str">
        <f>SUMPRODUCT((UPPER(D191:D195)&lt;&gt;"X")*((LEN(SUBSTITUTE(SUBSTITUTE(SUBSTITUTE(B191:B195," ",""),"0",""),"-",""))+LEN(SUBSTITUTE(SUBSTITUTE(SUBSTITUTE(C191:C195," ",""),"0",""),"-","")))&gt;(LEN(SUBSTITUTE(SUBSTITUTE(SUBSTITUTE(E191:E195," ",""),"0",""),"-",""))+LEN(SUBSTITUTE(SUBSTITUTE(SUBSTITUTE(F191:F195," ",""),"0",""),"-",""))))*1)</f>
      </c>
      <c r="C190" s="18" t="str">
        <f>SUMPRODUCT(LEN(SUBSTITUTE(SUBSTITUTE(SUBSTITUTE(B191:B195," ",""),"0",""),"-",""))+LEN(SUBSTITUTE(SUBSTITUTE(SUBSTITUTE(C191:C195," ",""),"0",""),"-","")))</f>
      </c>
      <c r="D190" s="18"/>
      <c r="E190" s="18" t="str">
        <f>SUMPRODUCT(LEN(SUBSTITUTE(SUBSTITUTE(SUBSTITUTE(E191:E195," ",""),"0",""),"-",""))+LEN(SUBSTITUTE(SUBSTITUTE(SUBSTITUTE(F191:F195," ",""),"0",""),"-","")))</f>
      </c>
      <c r="F190" s="18" t="str">
        <f>SUMPRODUCT((UPPER(D191:D195)&lt;&gt;"X")*((LEN(SUBSTITUTE(SUBSTITUTE(SUBSTITUTE(E191:E195," ",""),"0",""),"-",""))+LEN(SUBSTITUTE(SUBSTITUTE(SUBSTITUTE(F191:F195," ",""),"0",""),"-","")))&gt;(LEN(SUBSTITUTE(SUBSTITUTE(SUBSTITUTE(B191:B195," ",""),"0",""),"-",""))+LEN(SUBSTITUTE(SUBSTITUTE(SUBSTITUTE(C191:C195," ",""),"0",""),"-",""))))*1)</f>
      </c>
      <c r="G190" s="14" t="str">
        <f>data!$B$16</f>
      </c>
      <c r="I190" s="14" t="str">
        <f>data!$B$63</f>
      </c>
      <c r="J190" s="18" t="str">
        <f>SUMPRODUCT((UPPER(L191:L195)&lt;&gt;"X")*((LEN(SUBSTITUTE(SUBSTITUTE(SUBSTITUTE(J191:J195," ",""),"0",""),"-",""))+LEN(SUBSTITUTE(SUBSTITUTE(SUBSTITUTE(K191:K195," ",""),"0",""),"-","")))&gt;(LEN(SUBSTITUTE(SUBSTITUTE(SUBSTITUTE(M191:M195," ",""),"0",""),"-",""))+LEN(SUBSTITUTE(SUBSTITUTE(SUBSTITUTE(N191:N195," ",""),"0",""),"-",""))))*1)</f>
      </c>
      <c r="K190" s="18" t="str">
        <f>SUMPRODUCT(LEN(SUBSTITUTE(SUBSTITUTE(SUBSTITUTE(J191:J195," ",""),"0",""),"-",""))+LEN(SUBSTITUTE(SUBSTITUTE(SUBSTITUTE(K191:K195," ",""),"0",""),"-","")))</f>
      </c>
      <c r="L190" s="18"/>
      <c r="M190" s="18" t="str">
        <f>SUMPRODUCT(LEN(SUBSTITUTE(SUBSTITUTE(SUBSTITUTE(M191:M195," ",""),"0",""),"-",""))+LEN(SUBSTITUTE(SUBSTITUTE(SUBSTITUTE(N191:N195," ",""),"0",""),"-","")))</f>
      </c>
      <c r="N190" s="18" t="str">
        <f>SUMPRODUCT((UPPER(L191:L195)&lt;&gt;"X")*((LEN(SUBSTITUTE(SUBSTITUTE(SUBSTITUTE(M191:M195," ",""),"0",""),"-",""))+LEN(SUBSTITUTE(SUBSTITUTE(SUBSTITUTE(N191:N195," ",""),"0",""),"-","")))&gt;(LEN(SUBSTITUTE(SUBSTITUTE(SUBSTITUTE(J191:J195," ",""),"0",""),"-",""))+LEN(SUBSTITUTE(SUBSTITUTE(SUBSTITUTE(K191:K195," ",""),"0",""),"-",""))))*1)</f>
      </c>
      <c r="O190" s="14" t="str">
        <f>data!$B$61</f>
      </c>
    </row>
    <row r="191">
      <c r="A191" s="18">
        <v>1</v>
      </c>
      <c r="B191" s="18"/>
      <c r="C191" s="18"/>
      <c r="D191" s="18"/>
      <c r="E191" s="18"/>
      <c r="F191" s="18"/>
      <c r="G191" s="18">
        <v>1</v>
      </c>
      <c r="I191" s="18">
        <v>1</v>
      </c>
      <c r="J191" s="18"/>
      <c r="K191" s="18"/>
      <c r="L191" s="18"/>
      <c r="M191" s="18"/>
      <c r="N191" s="18"/>
      <c r="O191" s="18">
        <v>1</v>
      </c>
    </row>
    <row r="192">
      <c r="A192" s="18">
        <v>2</v>
      </c>
      <c r="B192" s="18"/>
      <c r="C192" s="18"/>
      <c r="D192" s="18"/>
      <c r="E192" s="18"/>
      <c r="F192" s="18"/>
      <c r="G192" s="18">
        <v>2</v>
      </c>
      <c r="I192" s="18">
        <v>2</v>
      </c>
      <c r="J192" s="18"/>
      <c r="K192" s="18"/>
      <c r="L192" s="18"/>
      <c r="M192" s="18"/>
      <c r="N192" s="18"/>
      <c r="O192" s="18">
        <v>2</v>
      </c>
    </row>
    <row r="193">
      <c r="A193" s="18">
        <v>3</v>
      </c>
      <c r="B193" s="18"/>
      <c r="C193" s="18"/>
      <c r="D193" s="18"/>
      <c r="E193" s="18"/>
      <c r="F193" s="18"/>
      <c r="G193" s="18">
        <v>3</v>
      </c>
      <c r="I193" s="18">
        <v>3</v>
      </c>
      <c r="J193" s="18"/>
      <c r="K193" s="18"/>
      <c r="L193" s="18"/>
      <c r="M193" s="18"/>
      <c r="N193" s="18"/>
      <c r="O193" s="18">
        <v>3</v>
      </c>
    </row>
    <row r="194">
      <c r="A194" s="18">
        <v>4</v>
      </c>
      <c r="B194" s="18"/>
      <c r="C194" s="18"/>
      <c r="D194" s="18"/>
      <c r="E194" s="18"/>
      <c r="F194" s="18"/>
      <c r="G194" s="18">
        <v>4</v>
      </c>
      <c r="I194" s="18">
        <v>4</v>
      </c>
      <c r="J194" s="18"/>
      <c r="K194" s="18"/>
      <c r="L194" s="18"/>
      <c r="M194" s="18"/>
      <c r="N194" s="18"/>
      <c r="O194" s="18">
        <v>4</v>
      </c>
    </row>
    <row r="195">
      <c r="A195" s="18">
        <v>5</v>
      </c>
      <c r="B195" s="18"/>
      <c r="C195" s="18"/>
      <c r="D195" s="18"/>
      <c r="E195" s="18"/>
      <c r="F195" s="18"/>
      <c r="G195" s="18">
        <v>5</v>
      </c>
      <c r="I195" s="18">
        <v>5</v>
      </c>
      <c r="J195" s="18"/>
      <c r="K195" s="18"/>
      <c r="L195" s="18"/>
      <c r="M195" s="18"/>
      <c r="N195" s="18"/>
      <c r="O195" s="18">
        <v>5</v>
      </c>
    </row>
    <row r="197">
      <c r="A197" s="17" t="s">
        <v>238</v>
      </c>
      <c r="B197" s="14"/>
      <c r="C197" s="14"/>
      <c r="D197" s="14" t="s">
        <v>239</v>
      </c>
      <c r="E197" s="14"/>
      <c r="F197" s="14"/>
      <c r="G197" s="16" t="s">
        <v>240</v>
      </c>
      <c r="I197" s="17" t="s">
        <v>238</v>
      </c>
      <c r="J197" s="14"/>
      <c r="K197" s="14"/>
      <c r="L197" s="14" t="s">
        <v>239</v>
      </c>
      <c r="M197" s="14"/>
      <c r="N197" s="14"/>
      <c r="O197" s="16" t="s">
        <v>240</v>
      </c>
    </row>
    <row r="198">
      <c r="A198" s="14" t="str">
        <f>data!$B$18</f>
      </c>
      <c r="B198" s="18" t="str">
        <f>SUMPRODUCT((UPPER(D199:D203)&lt;&gt;"X")*((LEN(SUBSTITUTE(SUBSTITUTE(SUBSTITUTE(B199:B203," ",""),"0",""),"-",""))+LEN(SUBSTITUTE(SUBSTITUTE(SUBSTITUTE(C199:C203," ",""),"0",""),"-","")))&gt;(LEN(SUBSTITUTE(SUBSTITUTE(SUBSTITUTE(E199:E203," ",""),"0",""),"-",""))+LEN(SUBSTITUTE(SUBSTITUTE(SUBSTITUTE(F199:F203," ",""),"0",""),"-",""))))*1)</f>
      </c>
      <c r="C198" s="18" t="str">
        <f>SUMPRODUCT(LEN(SUBSTITUTE(SUBSTITUTE(SUBSTITUTE(B199:B203," ",""),"0",""),"-",""))+LEN(SUBSTITUTE(SUBSTITUTE(SUBSTITUTE(C199:C203," ",""),"0",""),"-","")))</f>
      </c>
      <c r="D198" s="18"/>
      <c r="E198" s="18" t="str">
        <f>SUMPRODUCT(LEN(SUBSTITUTE(SUBSTITUTE(SUBSTITUTE(E199:E203," ",""),"0",""),"-",""))+LEN(SUBSTITUTE(SUBSTITUTE(SUBSTITUTE(F199:F203," ",""),"0",""),"-","")))</f>
      </c>
      <c r="F198" s="18" t="str">
        <f>SUMPRODUCT((UPPER(D199:D203)&lt;&gt;"X")*((LEN(SUBSTITUTE(SUBSTITUTE(SUBSTITUTE(E199:E203," ",""),"0",""),"-",""))+LEN(SUBSTITUTE(SUBSTITUTE(SUBSTITUTE(F199:F203," ",""),"0",""),"-","")))&gt;(LEN(SUBSTITUTE(SUBSTITUTE(SUBSTITUTE(B199:B203," ",""),"0",""),"-",""))+LEN(SUBSTITUTE(SUBSTITUTE(SUBSTITUTE(C199:C203," ",""),"0",""),"-",""))))*1)</f>
      </c>
      <c r="G198" s="14" t="str">
        <f>data!$B$17</f>
      </c>
      <c r="I198" s="14" t="str">
        <f>data!$B$63</f>
      </c>
      <c r="J198" s="18" t="str">
        <f>SUMPRODUCT((UPPER(L199:L203)&lt;&gt;"X")*((LEN(SUBSTITUTE(SUBSTITUTE(SUBSTITUTE(J199:J203," ",""),"0",""),"-",""))+LEN(SUBSTITUTE(SUBSTITUTE(SUBSTITUTE(K199:K203," ",""),"0",""),"-","")))&gt;(LEN(SUBSTITUTE(SUBSTITUTE(SUBSTITUTE(M199:M203," ",""),"0",""),"-",""))+LEN(SUBSTITUTE(SUBSTITUTE(SUBSTITUTE(N199:N203," ",""),"0",""),"-",""))))*1)</f>
      </c>
      <c r="K198" s="18" t="str">
        <f>SUMPRODUCT(LEN(SUBSTITUTE(SUBSTITUTE(SUBSTITUTE(J199:J203," ",""),"0",""),"-",""))+LEN(SUBSTITUTE(SUBSTITUTE(SUBSTITUTE(K199:K203," ",""),"0",""),"-","")))</f>
      </c>
      <c r="L198" s="18"/>
      <c r="M198" s="18" t="str">
        <f>SUMPRODUCT(LEN(SUBSTITUTE(SUBSTITUTE(SUBSTITUTE(M199:M203," ",""),"0",""),"-",""))+LEN(SUBSTITUTE(SUBSTITUTE(SUBSTITUTE(N199:N203," ",""),"0",""),"-","")))</f>
      </c>
      <c r="N198" s="18" t="str">
        <f>SUMPRODUCT((UPPER(L199:L203)&lt;&gt;"X")*((LEN(SUBSTITUTE(SUBSTITUTE(SUBSTITUTE(M199:M203," ",""),"0",""),"-",""))+LEN(SUBSTITUTE(SUBSTITUTE(SUBSTITUTE(N199:N203," ",""),"0",""),"-","")))&gt;(LEN(SUBSTITUTE(SUBSTITUTE(SUBSTITUTE(J199:J203," ",""),"0",""),"-",""))+LEN(SUBSTITUTE(SUBSTITUTE(SUBSTITUTE(K199:K203," ",""),"0",""),"-",""))))*1)</f>
      </c>
      <c r="O198" s="14" t="str">
        <f>data!$B$62</f>
      </c>
    </row>
    <row r="199">
      <c r="A199" s="18">
        <v>1</v>
      </c>
      <c r="B199" s="18"/>
      <c r="C199" s="18"/>
      <c r="D199" s="18"/>
      <c r="E199" s="18"/>
      <c r="F199" s="18"/>
      <c r="G199" s="18">
        <v>1</v>
      </c>
      <c r="I199" s="18">
        <v>1</v>
      </c>
      <c r="J199" s="18"/>
      <c r="K199" s="18"/>
      <c r="L199" s="18"/>
      <c r="M199" s="18"/>
      <c r="N199" s="18"/>
      <c r="O199" s="18">
        <v>1</v>
      </c>
    </row>
    <row r="200">
      <c r="A200" s="18">
        <v>2</v>
      </c>
      <c r="B200" s="18"/>
      <c r="C200" s="18"/>
      <c r="D200" s="18"/>
      <c r="E200" s="18"/>
      <c r="F200" s="18"/>
      <c r="G200" s="18">
        <v>2</v>
      </c>
      <c r="I200" s="18">
        <v>2</v>
      </c>
      <c r="J200" s="18"/>
      <c r="K200" s="18"/>
      <c r="L200" s="18"/>
      <c r="M200" s="18"/>
      <c r="N200" s="18"/>
      <c r="O200" s="18">
        <v>2</v>
      </c>
    </row>
    <row r="201">
      <c r="A201" s="18">
        <v>3</v>
      </c>
      <c r="B201" s="18"/>
      <c r="C201" s="18"/>
      <c r="D201" s="18"/>
      <c r="E201" s="18"/>
      <c r="F201" s="18"/>
      <c r="G201" s="18">
        <v>3</v>
      </c>
      <c r="I201" s="18">
        <v>3</v>
      </c>
      <c r="J201" s="18"/>
      <c r="K201" s="18"/>
      <c r="L201" s="18"/>
      <c r="M201" s="18"/>
      <c r="N201" s="18"/>
      <c r="O201" s="18">
        <v>3</v>
      </c>
    </row>
    <row r="202">
      <c r="A202" s="18">
        <v>4</v>
      </c>
      <c r="B202" s="18"/>
      <c r="C202" s="18"/>
      <c r="D202" s="18"/>
      <c r="E202" s="18"/>
      <c r="F202" s="18"/>
      <c r="G202" s="18">
        <v>4</v>
      </c>
      <c r="I202" s="18">
        <v>4</v>
      </c>
      <c r="J202" s="18"/>
      <c r="K202" s="18"/>
      <c r="L202" s="18"/>
      <c r="M202" s="18"/>
      <c r="N202" s="18"/>
      <c r="O202" s="18">
        <v>4</v>
      </c>
    </row>
    <row r="203">
      <c r="A203" s="18">
        <v>5</v>
      </c>
      <c r="B203" s="18"/>
      <c r="C203" s="18"/>
      <c r="D203" s="18"/>
      <c r="E203" s="18"/>
      <c r="F203" s="18"/>
      <c r="G203" s="18">
        <v>5</v>
      </c>
      <c r="I203" s="18">
        <v>5</v>
      </c>
      <c r="J203" s="18"/>
      <c r="K203" s="18"/>
      <c r="L203" s="18"/>
      <c r="M203" s="18"/>
      <c r="N203" s="18"/>
      <c r="O203" s="18">
        <v>5</v>
      </c>
    </row>
    <row r="206">
      <c r="A206" s="13"/>
      <c r="B206" s="13" t="s">
        <v>241</v>
      </c>
      <c r="C206" s="13" t="s">
        <v>242</v>
      </c>
      <c r="D206" s="13" t="s">
        <v>243</v>
      </c>
      <c r="I206" s="13"/>
      <c r="J206" s="13" t="s">
        <v>241</v>
      </c>
      <c r="K206" s="13" t="s">
        <v>242</v>
      </c>
      <c r="L206" s="13" t="s">
        <v>243</v>
      </c>
    </row>
    <row r="207">
      <c r="A207" t="str">
        <f>data!$B$16</f>
      </c>
      <c r="B207" s="14" t="str">
        <f>IF(OR(COUNTA(B183:C187,E183:F187)&gt;0,OR(D182="X",D182="x")),IF(OR(D182="X",D182="x"),0,IF(OR(F182&gt;B182,AND(F182=B182,E182&gt;C182)),1,0)),0)+IF(OR(COUNTA(B191:C195,E191:F195)&gt;0,OR(D190="X",D190="x")),IF(OR(D190="X",D190="x"),0,IF(OR(F190&gt;B190,AND(F190=B190,E190&gt;C190)),1,0)),0)</f>
      </c>
      <c r="C207" s="14" t="str">
        <f>IF(OR(COUNTA(B183:C187,E183:F187)&gt;0,OR(D182="X",D182="x")),IF(OR(D182="X",D182="x"),0,IF(OR(F182&lt;B182,AND(F182=B182,E182&lt;C182)),1,0)),0)+IF(OR(COUNTA(B191:C195,E191:F195)&gt;0,OR(D190="X",D190="x")),IF(OR(D190="X",D190="x"),0,IF(OR(F190&lt;B190,AND(F190=B190,E190&lt;C190)),1,0)),0)</f>
      </c>
      <c r="D207" s="14" t="str">
        <f>IF(OR(COUNTA(B183:C187,E183:F187)&gt;0,OR(D182="X",D182="x")),IF(OR(D182="X",D182="x"),1,0),0)+IF(OR(COUNTA(B191:C195,E191:F195)&gt;0,OR(D190="X",D190="x")),IF(OR(D190="X",D190="x"),1,0),0)</f>
      </c>
      <c r="I207" t="str">
        <f>data!$B$61</f>
      </c>
      <c r="J207" s="14" t="str">
        <f>IF(OR(COUNTA(J183:K187,M183:N187)&gt;0,OR(L182="X",L182="x")),IF(OR(L182="X",L182="x"),0,IF(OR(N182&gt;J182,AND(N182=J182,M182&gt;K182)),1,0)),0)+IF(OR(COUNTA(J191:K195,M191:N195)&gt;0,OR(L190="X",L190="x")),IF(OR(L190="X",L190="x"),0,IF(OR(N190&gt;J190,AND(N190=J190,M190&gt;K190)),1,0)),0)</f>
      </c>
      <c r="K207" s="14" t="str">
        <f>IF(OR(COUNTA(J183:K187,M183:N187)&gt;0,OR(L182="X",L182="x")),IF(OR(L182="X",L182="x"),0,IF(OR(N182&lt;J182,AND(N182=J182,M182&lt;K182)),1,0)),0)+IF(OR(COUNTA(J191:K195,M191:N195)&gt;0,OR(L190="X",L190="x")),IF(OR(L190="X",L190="x"),0,IF(OR(N190&lt;J190,AND(N190=J190,M190&lt;K190)),1,0)),0)</f>
      </c>
      <c r="L207" s="14" t="str">
        <f>IF(OR(COUNTA(J183:K187,M183:N187)&gt;0,OR(L182="X",L182="x")),IF(OR(L182="X",L182="x"),1,0),0)+IF(OR(COUNTA(J191:K195,M191:N195)&gt;0,OR(L190="X",L190="x")),IF(OR(L190="X",L190="x"),1,0),0)</f>
      </c>
    </row>
    <row r="208">
      <c r="A208" t="str">
        <f>data!$B$17</f>
      </c>
      <c r="B208" s="14" t="str">
        <f>IF(OR(COUNTA(B183:C187,E183:F187)&gt;0,OR(D182="X",D182="x")),IF(OR(D182="X",D182="x"),0,IF(OR(B182&gt;F182,AND(B182=F182,C182&gt;E182)),1,0)),0)+IF(OR(COUNTA(B199:C203,E199:F203)&gt;0,OR(D198="X",D198="x")),IF(OR(D198="X",D198="x"),0,IF(OR(F198&gt;B198,AND(F198=B198,E198&gt;C198)),1,0)),0)</f>
      </c>
      <c r="C208" s="14" t="str">
        <f>IF(OR(COUNTA(B183:C187,E183:F187)&gt;0,OR(D182="X",D182="x")),IF(OR(D182="X",D182="x"),0,IF(OR(B182&lt;F182,AND(B182=F182,C182&lt;E182)),1,0)),0)+IF(OR(COUNTA(B199:C203,E199:F203)&gt;0,OR(D198="X",D198="x")),IF(OR(D198="X",D198="x"),0,IF(OR(F198&lt;B198,AND(F198=B198,E198&lt;C198)),1,0)),0)</f>
      </c>
      <c r="D208" s="14" t="str">
        <f>IF(OR(COUNTA(B183:C187,E183:F187)&gt;0,OR(D182="X",D182="x")),IF(OR(D182="X",D182="x"),1,0),0)+IF(OR(COUNTA(B199:C203,E199:F203)&gt;0,OR(D198="X",D198="x")),IF(OR(D198="X",D198="x"),1,0),0)</f>
      </c>
      <c r="I208" t="str">
        <f>data!$B$62</f>
      </c>
      <c r="J208" s="14" t="str">
        <f>IF(OR(COUNTA(J183:K187,M183:N187)&gt;0,OR(L182="X",L182="x")),IF(OR(L182="X",L182="x"),0,IF(OR(J182&gt;N182,AND(J182=N182,K182&gt;M182)),1,0)),0)+IF(OR(COUNTA(J199:K203,M199:N203)&gt;0,OR(L198="X",L198="x")),IF(OR(L198="X",L198="x"),0,IF(OR(N198&gt;J198,AND(N198=J198,M198&gt;K198)),1,0)),0)</f>
      </c>
      <c r="K208" s="14" t="str">
        <f>IF(OR(COUNTA(J183:K187,M183:N187)&gt;0,OR(L182="X",L182="x")),IF(OR(L182="X",L182="x"),0,IF(OR(J182&lt;N182,AND(J182=N182,K182&lt;M182)),1,0)),0)+IF(OR(COUNTA(J199:K203,M199:N203)&gt;0,OR(L198="X",L198="x")),IF(OR(L198="X",L198="x"),0,IF(OR(N198&lt;J198,AND(N198=J198,M198&lt;K198)),1,0)),0)</f>
      </c>
      <c r="L208" s="14" t="str">
        <f>IF(OR(COUNTA(J183:K187,M183:N187)&gt;0,OR(L182="X",L182="x")),IF(OR(L182="X",L182="x"),1,0),0)+IF(OR(COUNTA(J199:K203,M199:N203)&gt;0,OR(L198="X",L198="x")),IF(OR(L198="X",L198="x"),1,0),0)</f>
      </c>
    </row>
    <row r="209">
      <c r="A209" t="str">
        <f>data!$B$18</f>
      </c>
      <c r="B209" s="14" t="str">
        <f>IF(OR(COUNTA(B191:C195,E191:F195)&gt;0,OR(D190="X",D190="x")),IF(OR(D190="X",D190="x"),0,IF(OR(B190&gt;F190,AND(B190=F190,C190&gt;E190)),1,0)),0)+IF(OR(COUNTA(B199:C203,E199:F203)&gt;0,OR(D198="X",D198="x")),IF(OR(D198="X",D198="x"),0,IF(OR(B198&gt;F198,AND(B198=F198,C198&gt;E198)),1,0)),0)</f>
      </c>
      <c r="C209" s="14" t="str">
        <f>IF(OR(COUNTA(B191:C195,E191:F195)&gt;0,OR(D190="X",D190="x")),IF(OR(D190="X",D190="x"),0,IF(OR(B190&lt;F190,AND(B190=F190,C190&lt;E190)),1,0)),0)+IF(OR(COUNTA(B199:C203,E199:F203)&gt;0,OR(D198="X",D198="x")),IF(OR(D198="X",D198="x"),0,IF(OR(B198&lt;F198,AND(B198=F198,C198&lt;E198)),1,0)),0)</f>
      </c>
      <c r="D209" s="14" t="str">
        <f>IF(OR(COUNTA(B191:C195,E191:F195)&gt;0,OR(D190="X",D190="x")),IF(OR(D190="X",D190="x"),1,0),0)+IF(OR(COUNTA(B199:C203,E199:F203)&gt;0,OR(D198="X",D198="x")),IF(OR(D198="X",D198="x"),1,0),0)</f>
      </c>
      <c r="I209" t="str">
        <f>data!$B$63</f>
      </c>
      <c r="J209" s="14" t="str">
        <f>IF(OR(COUNTA(J191:K195,M191:N195)&gt;0,OR(L190="X",L190="x")),IF(OR(L190="X",L190="x"),0,IF(OR(J190&gt;N190,AND(J190=N190,K190&gt;M190)),1,0)),0)+IF(OR(COUNTA(J199:K203,M199:N203)&gt;0,OR(L198="X",L198="x")),IF(OR(L198="X",L198="x"),0,IF(OR(J198&gt;N198,AND(J198=N198,K198&gt;M198)),1,0)),0)</f>
      </c>
      <c r="K209" s="14" t="str">
        <f>IF(OR(COUNTA(J191:K195,M191:N195)&gt;0,OR(L190="X",L190="x")),IF(OR(L190="X",L190="x"),0,IF(OR(J190&lt;N190,AND(J190=N190,K190&lt;M190)),1,0)),0)+IF(OR(COUNTA(J199:K203,M199:N203)&gt;0,OR(L198="X",L198="x")),IF(OR(L198="X",L198="x"),0,IF(OR(J198&lt;N198,AND(J198=N198,K198&lt;M198)),1,0)),0)</f>
      </c>
      <c r="L209" s="14" t="str">
        <f>IF(OR(COUNTA(J191:K195,M191:N195)&gt;0,OR(L190="X",L190="x")),IF(OR(L190="X",L190="x"),1,0),0)+IF(OR(COUNTA(J199:K203,M199:N203)&gt;0,OR(L198="X",L198="x")),IF(OR(L198="X",L198="x"),1,0),0)</f>
      </c>
    </row>
    <row r="211">
      <c r="A211" s="13"/>
      <c r="B211" s="13" t="s">
        <v>244</v>
      </c>
      <c r="C211" s="13" t="s">
        <v>245</v>
      </c>
      <c r="D211" s="13" t="s">
        <v>246</v>
      </c>
      <c r="E211" s="13" t="s">
        <v>247</v>
      </c>
      <c r="F211" s="13" t="s">
        <v>248</v>
      </c>
      <c r="I211" s="13"/>
      <c r="J211" s="13" t="s">
        <v>244</v>
      </c>
      <c r="K211" s="13" t="s">
        <v>245</v>
      </c>
      <c r="L211" s="13" t="s">
        <v>246</v>
      </c>
      <c r="M211" s="13" t="s">
        <v>247</v>
      </c>
      <c r="N211" s="13" t="s">
        <v>248</v>
      </c>
    </row>
    <row r="212">
      <c r="A212" t="str">
        <f>data!$B$16</f>
      </c>
      <c r="B212" s="14" t="str">
        <f>IF(OR(COUNTA(B183:C187,E183:F187)&gt;0,OR(D182="X",D182="x")),F182,0)+IF(OR(COUNTA(B191:C195,E191:F195)&gt;0,OR(D190="X",D190="x")),F190,0)</f>
      </c>
      <c r="C212" s="14" t="str">
        <f>IF(OR(COUNTA(B183:C187,E183:F187)&gt;0,OR(D182="X",D182="x")),B182,0)+IF(OR(COUNTA(B191:C195,E191:F195)&gt;0,OR(D190="X",D190="x")),B190,0)</f>
      </c>
      <c r="D212" s="14" t="str">
        <f>IF(OR(COUNTA(B183:C187,E183:F187)&gt;0,OR(D182="X",D182="x")),(IF(OR(D183="X",D183="x"),1,0)+IF(OR(D184="X",D184="x"),1,0)+IF(OR(D185="X",D185="x"),1,0)+IF(OR(D186="X",D186="x"),1,0)+IF(OR(D187="X",D187="x"),1,0)),0)+IF(OR(COUNTA(B191:C195,E191:F195)&gt;0,OR(D190="X",D190="x")),(IF(OR(D191="X",D191="x"),1,0)+IF(OR(D192="X",D192="x"),1,0)+IF(OR(D193="X",D193="x"),1,0)+IF(OR(D194="X",D194="x"),1,0)+IF(OR(D195="X",D195="x"),1,0)),0)</f>
      </c>
      <c r="E212" s="14" t="str">
        <f>E182+E190</f>
      </c>
      <c r="F212" s="14" t="str">
        <f>C182+C190</f>
      </c>
      <c r="I212" t="str">
        <f>data!$B$61</f>
      </c>
      <c r="J212" s="14" t="str">
        <f>IF(OR(COUNTA(J183:K187,M183:N187)&gt;0,OR(L182="X",L182="x")),N182,0)+IF(OR(COUNTA(J191:K195,M191:N195)&gt;0,OR(L190="X",L190="x")),N190,0)</f>
      </c>
      <c r="K212" s="14" t="str">
        <f>IF(OR(COUNTA(J183:K187,M183:N187)&gt;0,OR(L182="X",L182="x")),J182,0)+IF(OR(COUNTA(J191:K195,M191:N195)&gt;0,OR(L190="X",L190="x")),J190,0)</f>
      </c>
      <c r="L212" s="14" t="str">
        <f>IF(OR(COUNTA(J183:K187,M183:N187)&gt;0,OR(L182="X",L182="x")),(IF(OR(L183="X",L183="x"),1,0)+IF(OR(L184="X",L184="x"),1,0)+IF(OR(L185="X",L185="x"),1,0)+IF(OR(L186="X",L186="x"),1,0)+IF(OR(L187="X",L187="x"),1,0)),0)+IF(OR(COUNTA(J191:K195,M191:N195)&gt;0,OR(L190="X",L190="x")),(IF(OR(L191="X",L191="x"),1,0)+IF(OR(L192="X",L192="x"),1,0)+IF(OR(L193="X",L193="x"),1,0)+IF(OR(L194="X",L194="x"),1,0)+IF(OR(L195="X",L195="x"),1,0)),0)</f>
      </c>
      <c r="M212" s="14" t="str">
        <f>M182+M190</f>
      </c>
      <c r="N212" s="14" t="str">
        <f>K182+K190</f>
      </c>
    </row>
    <row r="213">
      <c r="A213" t="str">
        <f>data!$B$17</f>
      </c>
      <c r="B213" s="14" t="str">
        <f>IF(OR(COUNTA(B183:C187,E183:F187)&gt;0,OR(D182="X",D182="x")),B182,0)+IF(OR(COUNTA(B199:C203,E199:F203)&gt;0,OR(D198="X",D198="x")),F198,0)</f>
      </c>
      <c r="C213" s="14" t="str">
        <f>IF(OR(COUNTA(B183:C187,E183:F187)&gt;0,OR(D182="X",D182="x")),F182,0)+IF(OR(COUNTA(B199:C203,E199:F203)&gt;0,OR(D198="X",D198="x")),B198,0)</f>
      </c>
      <c r="D213" s="14" t="str">
        <f>IF(OR(COUNTA(B183:C187,E183:F187)&gt;0,OR(D182="X",D182="x")),(IF(OR(D183="X",D183="x"),1,0)+IF(OR(D184="X",D184="x"),1,0)+IF(OR(D185="X",D185="x"),1,0)+IF(OR(D186="X",D186="x"),1,0)+IF(OR(D187="X",D187="x"),1,0)),0)+IF(OR(COUNTA(B199:C203,E199:F203)&gt;0,OR(D198="X",D198="x")),(IF(OR(D199="X",D199="x"),1,0)+IF(OR(D200="X",D200="x"),1,0)+IF(OR(D201="X",D201="x"),1,0)+IF(OR(D202="X",D202="x"),1,0)+IF(OR(D203="X",D203="x"),1,0)),0)</f>
      </c>
      <c r="E213" s="14" t="str">
        <f>C182+E198</f>
      </c>
      <c r="F213" s="14" t="str">
        <f>E182+C198</f>
      </c>
      <c r="I213" t="str">
        <f>data!$B$62</f>
      </c>
      <c r="J213" s="14" t="str">
        <f>IF(OR(COUNTA(J183:K187,M183:N187)&gt;0,OR(L182="X",L182="x")),J182,0)+IF(OR(COUNTA(J199:K203,M199:N203)&gt;0,OR(L198="X",L198="x")),N198,0)</f>
      </c>
      <c r="K213" s="14" t="str">
        <f>IF(OR(COUNTA(J183:K187,M183:N187)&gt;0,OR(L182="X",L182="x")),N182,0)+IF(OR(COUNTA(J199:K203,M199:N203)&gt;0,OR(L198="X",L198="x")),J198,0)</f>
      </c>
      <c r="L213" s="14" t="str">
        <f>IF(OR(COUNTA(J183:K187,M183:N187)&gt;0,OR(L182="X",L182="x")),(IF(OR(L183="X",L183="x"),1,0)+IF(OR(L184="X",L184="x"),1,0)+IF(OR(L185="X",L185="x"),1,0)+IF(OR(L186="X",L186="x"),1,0)+IF(OR(L187="X",L187="x"),1,0)),0)+IF(OR(COUNTA(J199:K203,M199:N203)&gt;0,OR(L198="X",L198="x")),(IF(OR(L199="X",L199="x"),1,0)+IF(OR(L200="X",L200="x"),1,0)+IF(OR(L201="X",L201="x"),1,0)+IF(OR(L202="X",L202="x"),1,0)+IF(OR(L203="X",L203="x"),1,0)),0)</f>
      </c>
      <c r="M213" s="14" t="str">
        <f>K182+M198</f>
      </c>
      <c r="N213" s="14" t="str">
        <f>M182+K198</f>
      </c>
    </row>
    <row r="214">
      <c r="A214" t="str">
        <f>data!$B$18</f>
      </c>
      <c r="B214" s="14" t="str">
        <f>IF(OR(COUNTA(B191:C195,E191:F195)&gt;0,OR(D190="X",D190="x")),B190,0)+IF(OR(COUNTA(B199:C203,E199:F203)&gt;0,OR(D198="X",D198="x")),B198,0)</f>
      </c>
      <c r="C214" s="14" t="str">
        <f>IF(OR(COUNTA(B191:C195,E191:F195)&gt;0,OR(D190="X",D190="x")),F190,0)+IF(OR(COUNTA(B199:C203,E199:F203)&gt;0,OR(D198="X",D198="x")),F198,0)</f>
      </c>
      <c r="D214" s="14" t="str">
        <f>IF(OR(COUNTA(B191:C195,E191:F195)&gt;0,OR(D190="X",D190="x")),(IF(OR(D191="X",D191="x"),1,0)+IF(OR(D192="X",D192="x"),1,0)+IF(OR(D193="X",D193="x"),1,0)+IF(OR(D194="X",D194="x"),1,0)+IF(OR(D195="X",D195="x"),1,0)),0)+IF(OR(COUNTA(B199:C203,E199:F203)&gt;0,OR(D198="X",D198="x")),(IF(OR(D199="X",D199="x"),1,0)+IF(OR(D200="X",D200="x"),1,0)+IF(OR(D201="X",D201="x"),1,0)+IF(OR(D202="X",D202="x"),1,0)+IF(OR(D203="X",D203="x"),1,0)),0)</f>
      </c>
      <c r="E214" s="14" t="str">
        <f>C190+C198</f>
      </c>
      <c r="F214" s="14" t="str">
        <f>E190+E198</f>
      </c>
      <c r="I214" t="str">
        <f>data!$B$63</f>
      </c>
      <c r="J214" s="14" t="str">
        <f>IF(OR(COUNTA(J191:K195,M191:N195)&gt;0,OR(L190="X",L190="x")),J190,0)+IF(OR(COUNTA(J199:K203,M199:N203)&gt;0,OR(L198="X",L198="x")),J198,0)</f>
      </c>
      <c r="K214" s="14" t="str">
        <f>IF(OR(COUNTA(J191:K195,M191:N195)&gt;0,OR(L190="X",L190="x")),N190,0)+IF(OR(COUNTA(J199:K203,M199:N203)&gt;0,OR(L198="X",L198="x")),N198,0)</f>
      </c>
      <c r="L214" s="14" t="str">
        <f>IF(OR(COUNTA(J191:K195,M191:N195)&gt;0,OR(L190="X",L190="x")),(IF(OR(L191="X",L191="x"),1,0)+IF(OR(L192="X",L192="x"),1,0)+IF(OR(L193="X",L193="x"),1,0)+IF(OR(L194="X",L194="x"),1,0)+IF(OR(L195="X",L195="x"),1,0)),0)+IF(OR(COUNTA(J199:K203,M199:N203)&gt;0,OR(L198="X",L198="x")),(IF(OR(L199="X",L199="x"),1,0)+IF(OR(L200="X",L200="x"),1,0)+IF(OR(L201="X",L201="x"),1,0)+IF(OR(L202="X",L202="x"),1,0)+IF(OR(L203="X",L203="x"),1,0)),0)</f>
      </c>
      <c r="M214" s="14" t="str">
        <f>K190+K198</f>
      </c>
      <c r="N214" s="14" t="str">
        <f>M190+M198</f>
      </c>
    </row>
    <row r="217">
      <c r="F217" s="13"/>
      <c r="G217" s="13" t="s">
        <v>249</v>
      </c>
      <c r="N217" s="13"/>
      <c r="O217" s="13" t="s">
        <v>249</v>
      </c>
    </row>
    <row r="218">
      <c r="F218" t="s">
        <v>250</v>
      </c>
      <c r="G218" s="19"/>
      <c r="N218" t="s">
        <v>250</v>
      </c>
      <c r="O218" s="19"/>
    </row>
    <row r="219">
      <c r="F219" t="s">
        <v>251</v>
      </c>
      <c r="G219" s="19"/>
      <c r="N219" t="s">
        <v>251</v>
      </c>
      <c r="O219" s="19"/>
    </row>
    <row r="220">
      <c r="F220" t="s">
        <v>252</v>
      </c>
      <c r="G220" s="19"/>
      <c r="N220" t="s">
        <v>252</v>
      </c>
      <c r="O220" s="19"/>
    </row>
    <row r="222">
      <c r="A222" s="13" t="str">
        <f>data!$A$21</f>
      </c>
      <c r="B222" s="13"/>
      <c r="C222" s="13"/>
      <c r="D222" s="13"/>
      <c r="E222" s="13"/>
      <c r="F222" s="13"/>
      <c r="G222" s="13"/>
      <c r="I222" s="13" t="str">
        <f>data!$A$66</f>
      </c>
      <c r="J222" s="13"/>
      <c r="K222" s="13"/>
      <c r="L222" s="13"/>
      <c r="M222" s="13"/>
      <c r="N222" s="13"/>
      <c r="O222" s="13"/>
    </row>
    <row r="223">
      <c r="A223" s="17" t="s">
        <v>238</v>
      </c>
      <c r="B223" s="14"/>
      <c r="C223" s="14"/>
      <c r="D223" s="14" t="s">
        <v>239</v>
      </c>
      <c r="E223" s="14"/>
      <c r="F223" s="14"/>
      <c r="G223" s="16" t="s">
        <v>240</v>
      </c>
      <c r="I223" s="17" t="s">
        <v>238</v>
      </c>
      <c r="J223" s="14"/>
      <c r="K223" s="14"/>
      <c r="L223" s="14" t="s">
        <v>239</v>
      </c>
      <c r="M223" s="14"/>
      <c r="N223" s="14"/>
      <c r="O223" s="16" t="s">
        <v>240</v>
      </c>
    </row>
    <row r="224">
      <c r="A224" s="14" t="str">
        <f>data!$B$20</f>
      </c>
      <c r="B224" s="18" t="str">
        <f>SUMPRODUCT((UPPER(D225:D229)&lt;&gt;"X")*((LEN(SUBSTITUTE(SUBSTITUTE(SUBSTITUTE(B225:B229," ",""),"0",""),"-",""))+LEN(SUBSTITUTE(SUBSTITUTE(SUBSTITUTE(C225:C229," ",""),"0",""),"-","")))&gt;(LEN(SUBSTITUTE(SUBSTITUTE(SUBSTITUTE(E225:E229," ",""),"0",""),"-",""))+LEN(SUBSTITUTE(SUBSTITUTE(SUBSTITUTE(F225:F229," ",""),"0",""),"-",""))))*1)</f>
      </c>
      <c r="C224" s="18" t="str">
        <f>SUMPRODUCT(LEN(SUBSTITUTE(SUBSTITUTE(SUBSTITUTE(B225:B229," ",""),"0",""),"-",""))+LEN(SUBSTITUTE(SUBSTITUTE(SUBSTITUTE(C225:C229," ",""),"0",""),"-","")))</f>
      </c>
      <c r="D224" s="18"/>
      <c r="E224" s="18" t="str">
        <f>SUMPRODUCT(LEN(SUBSTITUTE(SUBSTITUTE(SUBSTITUTE(E225:E229," ",""),"0",""),"-",""))+LEN(SUBSTITUTE(SUBSTITUTE(SUBSTITUTE(F225:F229," ",""),"0",""),"-","")))</f>
      </c>
      <c r="F224" s="18" t="str">
        <f>SUMPRODUCT((UPPER(D225:D229)&lt;&gt;"X")*((LEN(SUBSTITUTE(SUBSTITUTE(SUBSTITUTE(E225:E229," ",""),"0",""),"-",""))+LEN(SUBSTITUTE(SUBSTITUTE(SUBSTITUTE(F225:F229," ",""),"0",""),"-","")))&gt;(LEN(SUBSTITUTE(SUBSTITUTE(SUBSTITUTE(B225:B229," ",""),"0",""),"-",""))+LEN(SUBSTITUTE(SUBSTITUTE(SUBSTITUTE(C225:C229," ",""),"0",""),"-",""))))*1)</f>
      </c>
      <c r="G224" s="14" t="str">
        <f>data!$B$19</f>
      </c>
      <c r="I224" s="14" t="str">
        <f>data!$B$65</f>
      </c>
      <c r="J224" s="18" t="str">
        <f>SUMPRODUCT((UPPER(L225:L229)&lt;&gt;"X")*((LEN(SUBSTITUTE(SUBSTITUTE(SUBSTITUTE(J225:J229," ",""),"0",""),"-",""))+LEN(SUBSTITUTE(SUBSTITUTE(SUBSTITUTE(K225:K229," ",""),"0",""),"-","")))&gt;(LEN(SUBSTITUTE(SUBSTITUTE(SUBSTITUTE(M225:M229," ",""),"0",""),"-",""))+LEN(SUBSTITUTE(SUBSTITUTE(SUBSTITUTE(N225:N229," ",""),"0",""),"-",""))))*1)</f>
      </c>
      <c r="K224" s="18" t="str">
        <f>SUMPRODUCT(LEN(SUBSTITUTE(SUBSTITUTE(SUBSTITUTE(J225:J229," ",""),"0",""),"-",""))+LEN(SUBSTITUTE(SUBSTITUTE(SUBSTITUTE(K225:K229," ",""),"0",""),"-","")))</f>
      </c>
      <c r="L224" s="18"/>
      <c r="M224" s="18" t="str">
        <f>SUMPRODUCT(LEN(SUBSTITUTE(SUBSTITUTE(SUBSTITUTE(M225:M229," ",""),"0",""),"-",""))+LEN(SUBSTITUTE(SUBSTITUTE(SUBSTITUTE(N225:N229," ",""),"0",""),"-","")))</f>
      </c>
      <c r="N224" s="18" t="str">
        <f>SUMPRODUCT((UPPER(L225:L229)&lt;&gt;"X")*((LEN(SUBSTITUTE(SUBSTITUTE(SUBSTITUTE(M225:M229," ",""),"0",""),"-",""))+LEN(SUBSTITUTE(SUBSTITUTE(SUBSTITUTE(N225:N229," ",""),"0",""),"-","")))&gt;(LEN(SUBSTITUTE(SUBSTITUTE(SUBSTITUTE(J225:J229," ",""),"0",""),"-",""))+LEN(SUBSTITUTE(SUBSTITUTE(SUBSTITUTE(K225:K229," ",""),"0",""),"-",""))))*1)</f>
      </c>
      <c r="O224" s="14" t="str">
        <f>data!$B$64</f>
      </c>
    </row>
    <row r="225">
      <c r="A225" s="18">
        <v>1</v>
      </c>
      <c r="B225" s="18"/>
      <c r="C225" s="18"/>
      <c r="D225" s="18"/>
      <c r="E225" s="18"/>
      <c r="F225" s="18"/>
      <c r="G225" s="18">
        <v>1</v>
      </c>
      <c r="I225" s="18">
        <v>1</v>
      </c>
      <c r="J225" s="18"/>
      <c r="K225" s="18"/>
      <c r="L225" s="18"/>
      <c r="M225" s="18"/>
      <c r="N225" s="18"/>
      <c r="O225" s="18">
        <v>1</v>
      </c>
    </row>
    <row r="226">
      <c r="A226" s="18">
        <v>2</v>
      </c>
      <c r="B226" s="18"/>
      <c r="C226" s="18"/>
      <c r="D226" s="18"/>
      <c r="E226" s="18"/>
      <c r="F226" s="18"/>
      <c r="G226" s="18">
        <v>2</v>
      </c>
      <c r="I226" s="18">
        <v>2</v>
      </c>
      <c r="J226" s="18"/>
      <c r="K226" s="18"/>
      <c r="L226" s="18"/>
      <c r="M226" s="18"/>
      <c r="N226" s="18"/>
      <c r="O226" s="18">
        <v>2</v>
      </c>
    </row>
    <row r="227">
      <c r="A227" s="18">
        <v>3</v>
      </c>
      <c r="B227" s="18"/>
      <c r="C227" s="18"/>
      <c r="D227" s="18"/>
      <c r="E227" s="18"/>
      <c r="F227" s="18"/>
      <c r="G227" s="18">
        <v>3</v>
      </c>
      <c r="I227" s="18">
        <v>3</v>
      </c>
      <c r="J227" s="18"/>
      <c r="K227" s="18"/>
      <c r="L227" s="18"/>
      <c r="M227" s="18"/>
      <c r="N227" s="18"/>
      <c r="O227" s="18">
        <v>3</v>
      </c>
    </row>
    <row r="228">
      <c r="A228" s="18">
        <v>4</v>
      </c>
      <c r="B228" s="18"/>
      <c r="C228" s="18"/>
      <c r="D228" s="18"/>
      <c r="E228" s="18"/>
      <c r="F228" s="18"/>
      <c r="G228" s="18">
        <v>4</v>
      </c>
      <c r="I228" s="18">
        <v>4</v>
      </c>
      <c r="J228" s="18"/>
      <c r="K228" s="18"/>
      <c r="L228" s="18"/>
      <c r="M228" s="18"/>
      <c r="N228" s="18"/>
      <c r="O228" s="18">
        <v>4</v>
      </c>
    </row>
    <row r="229">
      <c r="A229" s="18">
        <v>5</v>
      </c>
      <c r="B229" s="18"/>
      <c r="C229" s="18"/>
      <c r="D229" s="18"/>
      <c r="E229" s="18"/>
      <c r="F229" s="18"/>
      <c r="G229" s="18">
        <v>5</v>
      </c>
      <c r="I229" s="18">
        <v>5</v>
      </c>
      <c r="J229" s="18"/>
      <c r="K229" s="18"/>
      <c r="L229" s="18"/>
      <c r="M229" s="18"/>
      <c r="N229" s="18"/>
      <c r="O229" s="18">
        <v>5</v>
      </c>
    </row>
    <row r="231">
      <c r="A231" s="17" t="s">
        <v>238</v>
      </c>
      <c r="B231" s="14"/>
      <c r="C231" s="14"/>
      <c r="D231" s="14" t="s">
        <v>239</v>
      </c>
      <c r="E231" s="14"/>
      <c r="F231" s="14"/>
      <c r="G231" s="16" t="s">
        <v>240</v>
      </c>
      <c r="I231" s="17" t="s">
        <v>238</v>
      </c>
      <c r="J231" s="14"/>
      <c r="K231" s="14"/>
      <c r="L231" s="14" t="s">
        <v>239</v>
      </c>
      <c r="M231" s="14"/>
      <c r="N231" s="14"/>
      <c r="O231" s="16" t="s">
        <v>240</v>
      </c>
    </row>
    <row r="232">
      <c r="A232" s="14" t="str">
        <f>data!$B$21</f>
      </c>
      <c r="B232" s="18" t="str">
        <f>SUMPRODUCT((UPPER(D233:D237)&lt;&gt;"X")*((LEN(SUBSTITUTE(SUBSTITUTE(SUBSTITUTE(B233:B237," ",""),"0",""),"-",""))+LEN(SUBSTITUTE(SUBSTITUTE(SUBSTITUTE(C233:C237," ",""),"0",""),"-","")))&gt;(LEN(SUBSTITUTE(SUBSTITUTE(SUBSTITUTE(E233:E237," ",""),"0",""),"-",""))+LEN(SUBSTITUTE(SUBSTITUTE(SUBSTITUTE(F233:F237," ",""),"0",""),"-",""))))*1)</f>
      </c>
      <c r="C232" s="18" t="str">
        <f>SUMPRODUCT(LEN(SUBSTITUTE(SUBSTITUTE(SUBSTITUTE(B233:B237," ",""),"0",""),"-",""))+LEN(SUBSTITUTE(SUBSTITUTE(SUBSTITUTE(C233:C237," ",""),"0",""),"-","")))</f>
      </c>
      <c r="D232" s="18"/>
      <c r="E232" s="18" t="str">
        <f>SUMPRODUCT(LEN(SUBSTITUTE(SUBSTITUTE(SUBSTITUTE(E233:E237," ",""),"0",""),"-",""))+LEN(SUBSTITUTE(SUBSTITUTE(SUBSTITUTE(F233:F237," ",""),"0",""),"-","")))</f>
      </c>
      <c r="F232" s="18" t="str">
        <f>SUMPRODUCT((UPPER(D233:D237)&lt;&gt;"X")*((LEN(SUBSTITUTE(SUBSTITUTE(SUBSTITUTE(E233:E237," ",""),"0",""),"-",""))+LEN(SUBSTITUTE(SUBSTITUTE(SUBSTITUTE(F233:F237," ",""),"0",""),"-","")))&gt;(LEN(SUBSTITUTE(SUBSTITUTE(SUBSTITUTE(B233:B237," ",""),"0",""),"-",""))+LEN(SUBSTITUTE(SUBSTITUTE(SUBSTITUTE(C233:C237," ",""),"0",""),"-",""))))*1)</f>
      </c>
      <c r="G232" s="14" t="str">
        <f>data!$B$19</f>
      </c>
      <c r="I232" s="14" t="str">
        <f>data!$B$66</f>
      </c>
      <c r="J232" s="18" t="str">
        <f>SUMPRODUCT((UPPER(L233:L237)&lt;&gt;"X")*((LEN(SUBSTITUTE(SUBSTITUTE(SUBSTITUTE(J233:J237," ",""),"0",""),"-",""))+LEN(SUBSTITUTE(SUBSTITUTE(SUBSTITUTE(K233:K237," ",""),"0",""),"-","")))&gt;(LEN(SUBSTITUTE(SUBSTITUTE(SUBSTITUTE(M233:M237," ",""),"0",""),"-",""))+LEN(SUBSTITUTE(SUBSTITUTE(SUBSTITUTE(N233:N237," ",""),"0",""),"-",""))))*1)</f>
      </c>
      <c r="K232" s="18" t="str">
        <f>SUMPRODUCT(LEN(SUBSTITUTE(SUBSTITUTE(SUBSTITUTE(J233:J237," ",""),"0",""),"-",""))+LEN(SUBSTITUTE(SUBSTITUTE(SUBSTITUTE(K233:K237," ",""),"0",""),"-","")))</f>
      </c>
      <c r="L232" s="18"/>
      <c r="M232" s="18" t="str">
        <f>SUMPRODUCT(LEN(SUBSTITUTE(SUBSTITUTE(SUBSTITUTE(M233:M237," ",""),"0",""),"-",""))+LEN(SUBSTITUTE(SUBSTITUTE(SUBSTITUTE(N233:N237," ",""),"0",""),"-","")))</f>
      </c>
      <c r="N232" s="18" t="str">
        <f>SUMPRODUCT((UPPER(L233:L237)&lt;&gt;"X")*((LEN(SUBSTITUTE(SUBSTITUTE(SUBSTITUTE(M233:M237," ",""),"0",""),"-",""))+LEN(SUBSTITUTE(SUBSTITUTE(SUBSTITUTE(N233:N237," ",""),"0",""),"-","")))&gt;(LEN(SUBSTITUTE(SUBSTITUTE(SUBSTITUTE(J233:J237," ",""),"0",""),"-",""))+LEN(SUBSTITUTE(SUBSTITUTE(SUBSTITUTE(K233:K237," ",""),"0",""),"-",""))))*1)</f>
      </c>
      <c r="O232" s="14" t="str">
        <f>data!$B$64</f>
      </c>
    </row>
    <row r="233">
      <c r="A233" s="18">
        <v>1</v>
      </c>
      <c r="B233" s="18"/>
      <c r="C233" s="18"/>
      <c r="D233" s="18"/>
      <c r="E233" s="18"/>
      <c r="F233" s="18"/>
      <c r="G233" s="18">
        <v>1</v>
      </c>
      <c r="I233" s="18">
        <v>1</v>
      </c>
      <c r="J233" s="18"/>
      <c r="K233" s="18"/>
      <c r="L233" s="18"/>
      <c r="M233" s="18"/>
      <c r="N233" s="18"/>
      <c r="O233" s="18">
        <v>1</v>
      </c>
    </row>
    <row r="234">
      <c r="A234" s="18">
        <v>2</v>
      </c>
      <c r="B234" s="18"/>
      <c r="C234" s="18"/>
      <c r="D234" s="18"/>
      <c r="E234" s="18"/>
      <c r="F234" s="18"/>
      <c r="G234" s="18">
        <v>2</v>
      </c>
      <c r="I234" s="18">
        <v>2</v>
      </c>
      <c r="J234" s="18"/>
      <c r="K234" s="18"/>
      <c r="L234" s="18"/>
      <c r="M234" s="18"/>
      <c r="N234" s="18"/>
      <c r="O234" s="18">
        <v>2</v>
      </c>
    </row>
    <row r="235">
      <c r="A235" s="18">
        <v>3</v>
      </c>
      <c r="B235" s="18"/>
      <c r="C235" s="18"/>
      <c r="D235" s="18"/>
      <c r="E235" s="18"/>
      <c r="F235" s="18"/>
      <c r="G235" s="18">
        <v>3</v>
      </c>
      <c r="I235" s="18">
        <v>3</v>
      </c>
      <c r="J235" s="18"/>
      <c r="K235" s="18"/>
      <c r="L235" s="18"/>
      <c r="M235" s="18"/>
      <c r="N235" s="18"/>
      <c r="O235" s="18">
        <v>3</v>
      </c>
    </row>
    <row r="236">
      <c r="A236" s="18">
        <v>4</v>
      </c>
      <c r="B236" s="18"/>
      <c r="C236" s="18"/>
      <c r="D236" s="18"/>
      <c r="E236" s="18"/>
      <c r="F236" s="18"/>
      <c r="G236" s="18">
        <v>4</v>
      </c>
      <c r="I236" s="18">
        <v>4</v>
      </c>
      <c r="J236" s="18"/>
      <c r="K236" s="18"/>
      <c r="L236" s="18"/>
      <c r="M236" s="18"/>
      <c r="N236" s="18"/>
      <c r="O236" s="18">
        <v>4</v>
      </c>
    </row>
    <row r="237">
      <c r="A237" s="18">
        <v>5</v>
      </c>
      <c r="B237" s="18"/>
      <c r="C237" s="18"/>
      <c r="D237" s="18"/>
      <c r="E237" s="18"/>
      <c r="F237" s="18"/>
      <c r="G237" s="18">
        <v>5</v>
      </c>
      <c r="I237" s="18">
        <v>5</v>
      </c>
      <c r="J237" s="18"/>
      <c r="K237" s="18"/>
      <c r="L237" s="18"/>
      <c r="M237" s="18"/>
      <c r="N237" s="18"/>
      <c r="O237" s="18">
        <v>5</v>
      </c>
    </row>
    <row r="239">
      <c r="A239" s="17" t="s">
        <v>238</v>
      </c>
      <c r="B239" s="14"/>
      <c r="C239" s="14"/>
      <c r="D239" s="14" t="s">
        <v>239</v>
      </c>
      <c r="E239" s="14"/>
      <c r="F239" s="14"/>
      <c r="G239" s="16" t="s">
        <v>240</v>
      </c>
      <c r="I239" s="17" t="s">
        <v>238</v>
      </c>
      <c r="J239" s="14"/>
      <c r="K239" s="14"/>
      <c r="L239" s="14" t="s">
        <v>239</v>
      </c>
      <c r="M239" s="14"/>
      <c r="N239" s="14"/>
      <c r="O239" s="16" t="s">
        <v>240</v>
      </c>
    </row>
    <row r="240">
      <c r="A240" s="14" t="str">
        <f>data!$B$21</f>
      </c>
      <c r="B240" s="18" t="str">
        <f>SUMPRODUCT((UPPER(D241:D245)&lt;&gt;"X")*((LEN(SUBSTITUTE(SUBSTITUTE(SUBSTITUTE(B241:B245," ",""),"0",""),"-",""))+LEN(SUBSTITUTE(SUBSTITUTE(SUBSTITUTE(C241:C245," ",""),"0",""),"-","")))&gt;(LEN(SUBSTITUTE(SUBSTITUTE(SUBSTITUTE(E241:E245," ",""),"0",""),"-",""))+LEN(SUBSTITUTE(SUBSTITUTE(SUBSTITUTE(F241:F245," ",""),"0",""),"-",""))))*1)</f>
      </c>
      <c r="C240" s="18" t="str">
        <f>SUMPRODUCT(LEN(SUBSTITUTE(SUBSTITUTE(SUBSTITUTE(B241:B245," ",""),"0",""),"-",""))+LEN(SUBSTITUTE(SUBSTITUTE(SUBSTITUTE(C241:C245," ",""),"0",""),"-","")))</f>
      </c>
      <c r="D240" s="18"/>
      <c r="E240" s="18" t="str">
        <f>SUMPRODUCT(LEN(SUBSTITUTE(SUBSTITUTE(SUBSTITUTE(E241:E245," ",""),"0",""),"-",""))+LEN(SUBSTITUTE(SUBSTITUTE(SUBSTITUTE(F241:F245," ",""),"0",""),"-","")))</f>
      </c>
      <c r="F240" s="18" t="str">
        <f>SUMPRODUCT((UPPER(D241:D245)&lt;&gt;"X")*((LEN(SUBSTITUTE(SUBSTITUTE(SUBSTITUTE(E241:E245," ",""),"0",""),"-",""))+LEN(SUBSTITUTE(SUBSTITUTE(SUBSTITUTE(F241:F245," ",""),"0",""),"-","")))&gt;(LEN(SUBSTITUTE(SUBSTITUTE(SUBSTITUTE(B241:B245," ",""),"0",""),"-",""))+LEN(SUBSTITUTE(SUBSTITUTE(SUBSTITUTE(C241:C245," ",""),"0",""),"-",""))))*1)</f>
      </c>
      <c r="G240" s="14" t="str">
        <f>data!$B$20</f>
      </c>
      <c r="I240" s="14" t="str">
        <f>data!$B$66</f>
      </c>
      <c r="J240" s="18" t="str">
        <f>SUMPRODUCT((UPPER(L241:L245)&lt;&gt;"X")*((LEN(SUBSTITUTE(SUBSTITUTE(SUBSTITUTE(J241:J245," ",""),"0",""),"-",""))+LEN(SUBSTITUTE(SUBSTITUTE(SUBSTITUTE(K241:K245," ",""),"0",""),"-","")))&gt;(LEN(SUBSTITUTE(SUBSTITUTE(SUBSTITUTE(M241:M245," ",""),"0",""),"-",""))+LEN(SUBSTITUTE(SUBSTITUTE(SUBSTITUTE(N241:N245," ",""),"0",""),"-",""))))*1)</f>
      </c>
      <c r="K240" s="18" t="str">
        <f>SUMPRODUCT(LEN(SUBSTITUTE(SUBSTITUTE(SUBSTITUTE(J241:J245," ",""),"0",""),"-",""))+LEN(SUBSTITUTE(SUBSTITUTE(SUBSTITUTE(K241:K245," ",""),"0",""),"-","")))</f>
      </c>
      <c r="L240" s="18"/>
      <c r="M240" s="18" t="str">
        <f>SUMPRODUCT(LEN(SUBSTITUTE(SUBSTITUTE(SUBSTITUTE(M241:M245," ",""),"0",""),"-",""))+LEN(SUBSTITUTE(SUBSTITUTE(SUBSTITUTE(N241:N245," ",""),"0",""),"-","")))</f>
      </c>
      <c r="N240" s="18" t="str">
        <f>SUMPRODUCT((UPPER(L241:L245)&lt;&gt;"X")*((LEN(SUBSTITUTE(SUBSTITUTE(SUBSTITUTE(M241:M245," ",""),"0",""),"-",""))+LEN(SUBSTITUTE(SUBSTITUTE(SUBSTITUTE(N241:N245," ",""),"0",""),"-","")))&gt;(LEN(SUBSTITUTE(SUBSTITUTE(SUBSTITUTE(J241:J245," ",""),"0",""),"-",""))+LEN(SUBSTITUTE(SUBSTITUTE(SUBSTITUTE(K241:K245," ",""),"0",""),"-",""))))*1)</f>
      </c>
      <c r="O240" s="14" t="str">
        <f>data!$B$65</f>
      </c>
    </row>
    <row r="241">
      <c r="A241" s="18">
        <v>1</v>
      </c>
      <c r="B241" s="18"/>
      <c r="C241" s="18"/>
      <c r="D241" s="18"/>
      <c r="E241" s="18"/>
      <c r="F241" s="18"/>
      <c r="G241" s="18">
        <v>1</v>
      </c>
      <c r="I241" s="18">
        <v>1</v>
      </c>
      <c r="J241" s="18"/>
      <c r="K241" s="18"/>
      <c r="L241" s="18"/>
      <c r="M241" s="18"/>
      <c r="N241" s="18"/>
      <c r="O241" s="18">
        <v>1</v>
      </c>
    </row>
    <row r="242">
      <c r="A242" s="18">
        <v>2</v>
      </c>
      <c r="B242" s="18"/>
      <c r="C242" s="18"/>
      <c r="D242" s="18"/>
      <c r="E242" s="18"/>
      <c r="F242" s="18"/>
      <c r="G242" s="18">
        <v>2</v>
      </c>
      <c r="I242" s="18">
        <v>2</v>
      </c>
      <c r="J242" s="18"/>
      <c r="K242" s="18"/>
      <c r="L242" s="18"/>
      <c r="M242" s="18"/>
      <c r="N242" s="18"/>
      <c r="O242" s="18">
        <v>2</v>
      </c>
    </row>
    <row r="243">
      <c r="A243" s="18">
        <v>3</v>
      </c>
      <c r="B243" s="18"/>
      <c r="C243" s="18"/>
      <c r="D243" s="18"/>
      <c r="E243" s="18"/>
      <c r="F243" s="18"/>
      <c r="G243" s="18">
        <v>3</v>
      </c>
      <c r="I243" s="18">
        <v>3</v>
      </c>
      <c r="J243" s="18"/>
      <c r="K243" s="18"/>
      <c r="L243" s="18"/>
      <c r="M243" s="18"/>
      <c r="N243" s="18"/>
      <c r="O243" s="18">
        <v>3</v>
      </c>
    </row>
    <row r="244">
      <c r="A244" s="18">
        <v>4</v>
      </c>
      <c r="B244" s="18"/>
      <c r="C244" s="18"/>
      <c r="D244" s="18"/>
      <c r="E244" s="18"/>
      <c r="F244" s="18"/>
      <c r="G244" s="18">
        <v>4</v>
      </c>
      <c r="I244" s="18">
        <v>4</v>
      </c>
      <c r="J244" s="18"/>
      <c r="K244" s="18"/>
      <c r="L244" s="18"/>
      <c r="M244" s="18"/>
      <c r="N244" s="18"/>
      <c r="O244" s="18">
        <v>4</v>
      </c>
    </row>
    <row r="245">
      <c r="A245" s="18">
        <v>5</v>
      </c>
      <c r="B245" s="18"/>
      <c r="C245" s="18"/>
      <c r="D245" s="18"/>
      <c r="E245" s="18"/>
      <c r="F245" s="18"/>
      <c r="G245" s="18">
        <v>5</v>
      </c>
      <c r="I245" s="18">
        <v>5</v>
      </c>
      <c r="J245" s="18"/>
      <c r="K245" s="18"/>
      <c r="L245" s="18"/>
      <c r="M245" s="18"/>
      <c r="N245" s="18"/>
      <c r="O245" s="18">
        <v>5</v>
      </c>
    </row>
    <row r="248">
      <c r="A248" s="13"/>
      <c r="B248" s="13" t="s">
        <v>241</v>
      </c>
      <c r="C248" s="13" t="s">
        <v>242</v>
      </c>
      <c r="D248" s="13" t="s">
        <v>243</v>
      </c>
      <c r="I248" s="13"/>
      <c r="J248" s="13" t="s">
        <v>241</v>
      </c>
      <c r="K248" s="13" t="s">
        <v>242</v>
      </c>
      <c r="L248" s="13" t="s">
        <v>243</v>
      </c>
    </row>
    <row r="249">
      <c r="A249" t="str">
        <f>data!$B$19</f>
      </c>
      <c r="B249" s="14" t="str">
        <f>IF(OR(COUNTA(B225:C229,E225:F229)&gt;0,OR(D224="X",D224="x")),IF(OR(D224="X",D224="x"),0,IF(OR(F224&gt;B224,AND(F224=B224,E224&gt;C224)),1,0)),0)+IF(OR(COUNTA(B233:C237,E233:F237)&gt;0,OR(D232="X",D232="x")),IF(OR(D232="X",D232="x"),0,IF(OR(F232&gt;B232,AND(F232=B232,E232&gt;C232)),1,0)),0)</f>
      </c>
      <c r="C249" s="14" t="str">
        <f>IF(OR(COUNTA(B225:C229,E225:F229)&gt;0,OR(D224="X",D224="x")),IF(OR(D224="X",D224="x"),0,IF(OR(F224&lt;B224,AND(F224=B224,E224&lt;C224)),1,0)),0)+IF(OR(COUNTA(B233:C237,E233:F237)&gt;0,OR(D232="X",D232="x")),IF(OR(D232="X",D232="x"),0,IF(OR(F232&lt;B232,AND(F232=B232,E232&lt;C232)),1,0)),0)</f>
      </c>
      <c r="D249" s="14" t="str">
        <f>IF(OR(COUNTA(B225:C229,E225:F229)&gt;0,OR(D224="X",D224="x")),IF(OR(D224="X",D224="x"),1,0),0)+IF(OR(COUNTA(B233:C237,E233:F237)&gt;0,OR(D232="X",D232="x")),IF(OR(D232="X",D232="x"),1,0),0)</f>
      </c>
      <c r="I249" t="str">
        <f>data!$B$64</f>
      </c>
      <c r="J249" s="14" t="str">
        <f>IF(OR(COUNTA(J225:K229,M225:N229)&gt;0,OR(L224="X",L224="x")),IF(OR(L224="X",L224="x"),0,IF(OR(N224&gt;J224,AND(N224=J224,M224&gt;K224)),1,0)),0)+IF(OR(COUNTA(J233:K237,M233:N237)&gt;0,OR(L232="X",L232="x")),IF(OR(L232="X",L232="x"),0,IF(OR(N232&gt;J232,AND(N232=J232,M232&gt;K232)),1,0)),0)</f>
      </c>
      <c r="K249" s="14" t="str">
        <f>IF(OR(COUNTA(J225:K229,M225:N229)&gt;0,OR(L224="X",L224="x")),IF(OR(L224="X",L224="x"),0,IF(OR(N224&lt;J224,AND(N224=J224,M224&lt;K224)),1,0)),0)+IF(OR(COUNTA(J233:K237,M233:N237)&gt;0,OR(L232="X",L232="x")),IF(OR(L232="X",L232="x"),0,IF(OR(N232&lt;J232,AND(N232=J232,M232&lt;K232)),1,0)),0)</f>
      </c>
      <c r="L249" s="14" t="str">
        <f>IF(OR(COUNTA(J225:K229,M225:N229)&gt;0,OR(L224="X",L224="x")),IF(OR(L224="X",L224="x"),1,0),0)+IF(OR(COUNTA(J233:K237,M233:N237)&gt;0,OR(L232="X",L232="x")),IF(OR(L232="X",L232="x"),1,0),0)</f>
      </c>
    </row>
    <row r="250">
      <c r="A250" t="str">
        <f>data!$B$20</f>
      </c>
      <c r="B250" s="14" t="str">
        <f>IF(OR(COUNTA(B225:C229,E225:F229)&gt;0,OR(D224="X",D224="x")),IF(OR(D224="X",D224="x"),0,IF(OR(B224&gt;F224,AND(B224=F224,C224&gt;E224)),1,0)),0)+IF(OR(COUNTA(B241:C245,E241:F245)&gt;0,OR(D240="X",D240="x")),IF(OR(D240="X",D240="x"),0,IF(OR(F240&gt;B240,AND(F240=B240,E240&gt;C240)),1,0)),0)</f>
      </c>
      <c r="C250" s="14" t="str">
        <f>IF(OR(COUNTA(B225:C229,E225:F229)&gt;0,OR(D224="X",D224="x")),IF(OR(D224="X",D224="x"),0,IF(OR(B224&lt;F224,AND(B224=F224,C224&lt;E224)),1,0)),0)+IF(OR(COUNTA(B241:C245,E241:F245)&gt;0,OR(D240="X",D240="x")),IF(OR(D240="X",D240="x"),0,IF(OR(F240&lt;B240,AND(F240=B240,E240&lt;C240)),1,0)),0)</f>
      </c>
      <c r="D250" s="14" t="str">
        <f>IF(OR(COUNTA(B225:C229,E225:F229)&gt;0,OR(D224="X",D224="x")),IF(OR(D224="X",D224="x"),1,0),0)+IF(OR(COUNTA(B241:C245,E241:F245)&gt;0,OR(D240="X",D240="x")),IF(OR(D240="X",D240="x"),1,0),0)</f>
      </c>
      <c r="I250" t="str">
        <f>data!$B$65</f>
      </c>
      <c r="J250" s="14" t="str">
        <f>IF(OR(COUNTA(J225:K229,M225:N229)&gt;0,OR(L224="X",L224="x")),IF(OR(L224="X",L224="x"),0,IF(OR(J224&gt;N224,AND(J224=N224,K224&gt;M224)),1,0)),0)+IF(OR(COUNTA(J241:K245,M241:N245)&gt;0,OR(L240="X",L240="x")),IF(OR(L240="X",L240="x"),0,IF(OR(N240&gt;J240,AND(N240=J240,M240&gt;K240)),1,0)),0)</f>
      </c>
      <c r="K250" s="14" t="str">
        <f>IF(OR(COUNTA(J225:K229,M225:N229)&gt;0,OR(L224="X",L224="x")),IF(OR(L224="X",L224="x"),0,IF(OR(J224&lt;N224,AND(J224=N224,K224&lt;M224)),1,0)),0)+IF(OR(COUNTA(J241:K245,M241:N245)&gt;0,OR(L240="X",L240="x")),IF(OR(L240="X",L240="x"),0,IF(OR(N240&lt;J240,AND(N240=J240,M240&lt;K240)),1,0)),0)</f>
      </c>
      <c r="L250" s="14" t="str">
        <f>IF(OR(COUNTA(J225:K229,M225:N229)&gt;0,OR(L224="X",L224="x")),IF(OR(L224="X",L224="x"),1,0),0)+IF(OR(COUNTA(J241:K245,M241:N245)&gt;0,OR(L240="X",L240="x")),IF(OR(L240="X",L240="x"),1,0),0)</f>
      </c>
    </row>
    <row r="251">
      <c r="A251" t="str">
        <f>data!$B$21</f>
      </c>
      <c r="B251" s="14" t="str">
        <f>IF(OR(COUNTA(B233:C237,E233:F237)&gt;0,OR(D232="X",D232="x")),IF(OR(D232="X",D232="x"),0,IF(OR(B232&gt;F232,AND(B232=F232,C232&gt;E232)),1,0)),0)+IF(OR(COUNTA(B241:C245,E241:F245)&gt;0,OR(D240="X",D240="x")),IF(OR(D240="X",D240="x"),0,IF(OR(B240&gt;F240,AND(B240=F240,C240&gt;E240)),1,0)),0)</f>
      </c>
      <c r="C251" s="14" t="str">
        <f>IF(OR(COUNTA(B233:C237,E233:F237)&gt;0,OR(D232="X",D232="x")),IF(OR(D232="X",D232="x"),0,IF(OR(B232&lt;F232,AND(B232=F232,C232&lt;E232)),1,0)),0)+IF(OR(COUNTA(B241:C245,E241:F245)&gt;0,OR(D240="X",D240="x")),IF(OR(D240="X",D240="x"),0,IF(OR(B240&lt;F240,AND(B240=F240,C240&lt;E240)),1,0)),0)</f>
      </c>
      <c r="D251" s="14" t="str">
        <f>IF(OR(COUNTA(B233:C237,E233:F237)&gt;0,OR(D232="X",D232="x")),IF(OR(D232="X",D232="x"),1,0),0)+IF(OR(COUNTA(B241:C245,E241:F245)&gt;0,OR(D240="X",D240="x")),IF(OR(D240="X",D240="x"),1,0),0)</f>
      </c>
      <c r="I251" t="str">
        <f>data!$B$66</f>
      </c>
      <c r="J251" s="14" t="str">
        <f>IF(OR(COUNTA(J233:K237,M233:N237)&gt;0,OR(L232="X",L232="x")),IF(OR(L232="X",L232="x"),0,IF(OR(J232&gt;N232,AND(J232=N232,K232&gt;M232)),1,0)),0)+IF(OR(COUNTA(J241:K245,M241:N245)&gt;0,OR(L240="X",L240="x")),IF(OR(L240="X",L240="x"),0,IF(OR(J240&gt;N240,AND(J240=N240,K240&gt;M240)),1,0)),0)</f>
      </c>
      <c r="K251" s="14" t="str">
        <f>IF(OR(COUNTA(J233:K237,M233:N237)&gt;0,OR(L232="X",L232="x")),IF(OR(L232="X",L232="x"),0,IF(OR(J232&lt;N232,AND(J232=N232,K232&lt;M232)),1,0)),0)+IF(OR(COUNTA(J241:K245,M241:N245)&gt;0,OR(L240="X",L240="x")),IF(OR(L240="X",L240="x"),0,IF(OR(J240&lt;N240,AND(J240=N240,K240&lt;M240)),1,0)),0)</f>
      </c>
      <c r="L251" s="14" t="str">
        <f>IF(OR(COUNTA(J233:K237,M233:N237)&gt;0,OR(L232="X",L232="x")),IF(OR(L232="X",L232="x"),1,0),0)+IF(OR(COUNTA(J241:K245,M241:N245)&gt;0,OR(L240="X",L240="x")),IF(OR(L240="X",L240="x"),1,0),0)</f>
      </c>
    </row>
    <row r="253">
      <c r="A253" s="13"/>
      <c r="B253" s="13" t="s">
        <v>244</v>
      </c>
      <c r="C253" s="13" t="s">
        <v>245</v>
      </c>
      <c r="D253" s="13" t="s">
        <v>246</v>
      </c>
      <c r="E253" s="13" t="s">
        <v>247</v>
      </c>
      <c r="F253" s="13" t="s">
        <v>248</v>
      </c>
      <c r="I253" s="13"/>
      <c r="J253" s="13" t="s">
        <v>244</v>
      </c>
      <c r="K253" s="13" t="s">
        <v>245</v>
      </c>
      <c r="L253" s="13" t="s">
        <v>246</v>
      </c>
      <c r="M253" s="13" t="s">
        <v>247</v>
      </c>
      <c r="N253" s="13" t="s">
        <v>248</v>
      </c>
    </row>
    <row r="254">
      <c r="A254" t="str">
        <f>data!$B$19</f>
      </c>
      <c r="B254" s="14" t="str">
        <f>IF(OR(COUNTA(B225:C229,E225:F229)&gt;0,OR(D224="X",D224="x")),F224,0)+IF(OR(COUNTA(B233:C237,E233:F237)&gt;0,OR(D232="X",D232="x")),F232,0)</f>
      </c>
      <c r="C254" s="14" t="str">
        <f>IF(OR(COUNTA(B225:C229,E225:F229)&gt;0,OR(D224="X",D224="x")),B224,0)+IF(OR(COUNTA(B233:C237,E233:F237)&gt;0,OR(D232="X",D232="x")),B232,0)</f>
      </c>
      <c r="D254" s="14" t="str">
        <f>IF(OR(COUNTA(B225:C229,E225:F229)&gt;0,OR(D224="X",D224="x")),(IF(OR(D225="X",D225="x"),1,0)+IF(OR(D226="X",D226="x"),1,0)+IF(OR(D227="X",D227="x"),1,0)+IF(OR(D228="X",D228="x"),1,0)+IF(OR(D229="X",D229="x"),1,0)),0)+IF(OR(COUNTA(B233:C237,E233:F237)&gt;0,OR(D232="X",D232="x")),(IF(OR(D233="X",D233="x"),1,0)+IF(OR(D234="X",D234="x"),1,0)+IF(OR(D235="X",D235="x"),1,0)+IF(OR(D236="X",D236="x"),1,0)+IF(OR(D237="X",D237="x"),1,0)),0)</f>
      </c>
      <c r="E254" s="14" t="str">
        <f>E224+E232</f>
      </c>
      <c r="F254" s="14" t="str">
        <f>C224+C232</f>
      </c>
      <c r="I254" t="str">
        <f>data!$B$64</f>
      </c>
      <c r="J254" s="14" t="str">
        <f>IF(OR(COUNTA(J225:K229,M225:N229)&gt;0,OR(L224="X",L224="x")),N224,0)+IF(OR(COUNTA(J233:K237,M233:N237)&gt;0,OR(L232="X",L232="x")),N232,0)</f>
      </c>
      <c r="K254" s="14" t="str">
        <f>IF(OR(COUNTA(J225:K229,M225:N229)&gt;0,OR(L224="X",L224="x")),J224,0)+IF(OR(COUNTA(J233:K237,M233:N237)&gt;0,OR(L232="X",L232="x")),J232,0)</f>
      </c>
      <c r="L254" s="14" t="str">
        <f>IF(OR(COUNTA(J225:K229,M225:N229)&gt;0,OR(L224="X",L224="x")),(IF(OR(L225="X",L225="x"),1,0)+IF(OR(L226="X",L226="x"),1,0)+IF(OR(L227="X",L227="x"),1,0)+IF(OR(L228="X",L228="x"),1,0)+IF(OR(L229="X",L229="x"),1,0)),0)+IF(OR(COUNTA(J233:K237,M233:N237)&gt;0,OR(L232="X",L232="x")),(IF(OR(L233="X",L233="x"),1,0)+IF(OR(L234="X",L234="x"),1,0)+IF(OR(L235="X",L235="x"),1,0)+IF(OR(L236="X",L236="x"),1,0)+IF(OR(L237="X",L237="x"),1,0)),0)</f>
      </c>
      <c r="M254" s="14" t="str">
        <f>M224+M232</f>
      </c>
      <c r="N254" s="14" t="str">
        <f>K224+K232</f>
      </c>
    </row>
    <row r="255">
      <c r="A255" t="str">
        <f>data!$B$20</f>
      </c>
      <c r="B255" s="14" t="str">
        <f>IF(OR(COUNTA(B225:C229,E225:F229)&gt;0,OR(D224="X",D224="x")),B224,0)+IF(OR(COUNTA(B241:C245,E241:F245)&gt;0,OR(D240="X",D240="x")),F240,0)</f>
      </c>
      <c r="C255" s="14" t="str">
        <f>IF(OR(COUNTA(B225:C229,E225:F229)&gt;0,OR(D224="X",D224="x")),F224,0)+IF(OR(COUNTA(B241:C245,E241:F245)&gt;0,OR(D240="X",D240="x")),B240,0)</f>
      </c>
      <c r="D255" s="14" t="str">
        <f>IF(OR(COUNTA(B225:C229,E225:F229)&gt;0,OR(D224="X",D224="x")),(IF(OR(D225="X",D225="x"),1,0)+IF(OR(D226="X",D226="x"),1,0)+IF(OR(D227="X",D227="x"),1,0)+IF(OR(D228="X",D228="x"),1,0)+IF(OR(D229="X",D229="x"),1,0)),0)+IF(OR(COUNTA(B241:C245,E241:F245)&gt;0,OR(D240="X",D240="x")),(IF(OR(D241="X",D241="x"),1,0)+IF(OR(D242="X",D242="x"),1,0)+IF(OR(D243="X",D243="x"),1,0)+IF(OR(D244="X",D244="x"),1,0)+IF(OR(D245="X",D245="x"),1,0)),0)</f>
      </c>
      <c r="E255" s="14" t="str">
        <f>C224+E240</f>
      </c>
      <c r="F255" s="14" t="str">
        <f>E224+C240</f>
      </c>
      <c r="I255" t="str">
        <f>data!$B$65</f>
      </c>
      <c r="J255" s="14" t="str">
        <f>IF(OR(COUNTA(J225:K229,M225:N229)&gt;0,OR(L224="X",L224="x")),J224,0)+IF(OR(COUNTA(J241:K245,M241:N245)&gt;0,OR(L240="X",L240="x")),N240,0)</f>
      </c>
      <c r="K255" s="14" t="str">
        <f>IF(OR(COUNTA(J225:K229,M225:N229)&gt;0,OR(L224="X",L224="x")),N224,0)+IF(OR(COUNTA(J241:K245,M241:N245)&gt;0,OR(L240="X",L240="x")),J240,0)</f>
      </c>
      <c r="L255" s="14" t="str">
        <f>IF(OR(COUNTA(J225:K229,M225:N229)&gt;0,OR(L224="X",L224="x")),(IF(OR(L225="X",L225="x"),1,0)+IF(OR(L226="X",L226="x"),1,0)+IF(OR(L227="X",L227="x"),1,0)+IF(OR(L228="X",L228="x"),1,0)+IF(OR(L229="X",L229="x"),1,0)),0)+IF(OR(COUNTA(J241:K245,M241:N245)&gt;0,OR(L240="X",L240="x")),(IF(OR(L241="X",L241="x"),1,0)+IF(OR(L242="X",L242="x"),1,0)+IF(OR(L243="X",L243="x"),1,0)+IF(OR(L244="X",L244="x"),1,0)+IF(OR(L245="X",L245="x"),1,0)),0)</f>
      </c>
      <c r="M255" s="14" t="str">
        <f>K224+M240</f>
      </c>
      <c r="N255" s="14" t="str">
        <f>M224+K240</f>
      </c>
    </row>
    <row r="256">
      <c r="A256" t="str">
        <f>data!$B$21</f>
      </c>
      <c r="B256" s="14" t="str">
        <f>IF(OR(COUNTA(B233:C237,E233:F237)&gt;0,OR(D232="X",D232="x")),B232,0)+IF(OR(COUNTA(B241:C245,E241:F245)&gt;0,OR(D240="X",D240="x")),B240,0)</f>
      </c>
      <c r="C256" s="14" t="str">
        <f>IF(OR(COUNTA(B233:C237,E233:F237)&gt;0,OR(D232="X",D232="x")),F232,0)+IF(OR(COUNTA(B241:C245,E241:F245)&gt;0,OR(D240="X",D240="x")),F240,0)</f>
      </c>
      <c r="D256" s="14" t="str">
        <f>IF(OR(COUNTA(B233:C237,E233:F237)&gt;0,OR(D232="X",D232="x")),(IF(OR(D233="X",D233="x"),1,0)+IF(OR(D234="X",D234="x"),1,0)+IF(OR(D235="X",D235="x"),1,0)+IF(OR(D236="X",D236="x"),1,0)+IF(OR(D237="X",D237="x"),1,0)),0)+IF(OR(COUNTA(B241:C245,E241:F245)&gt;0,OR(D240="X",D240="x")),(IF(OR(D241="X",D241="x"),1,0)+IF(OR(D242="X",D242="x"),1,0)+IF(OR(D243="X",D243="x"),1,0)+IF(OR(D244="X",D244="x"),1,0)+IF(OR(D245="X",D245="x"),1,0)),0)</f>
      </c>
      <c r="E256" s="14" t="str">
        <f>C232+C240</f>
      </c>
      <c r="F256" s="14" t="str">
        <f>E232+E240</f>
      </c>
      <c r="I256" t="str">
        <f>data!$B$66</f>
      </c>
      <c r="J256" s="14" t="str">
        <f>IF(OR(COUNTA(J233:K237,M233:N237)&gt;0,OR(L232="X",L232="x")),J232,0)+IF(OR(COUNTA(J241:K245,M241:N245)&gt;0,OR(L240="X",L240="x")),J240,0)</f>
      </c>
      <c r="K256" s="14" t="str">
        <f>IF(OR(COUNTA(J233:K237,M233:N237)&gt;0,OR(L232="X",L232="x")),N232,0)+IF(OR(COUNTA(J241:K245,M241:N245)&gt;0,OR(L240="X",L240="x")),N240,0)</f>
      </c>
      <c r="L256" s="14" t="str">
        <f>IF(OR(COUNTA(J233:K237,M233:N237)&gt;0,OR(L232="X",L232="x")),(IF(OR(L233="X",L233="x"),1,0)+IF(OR(L234="X",L234="x"),1,0)+IF(OR(L235="X",L235="x"),1,0)+IF(OR(L236="X",L236="x"),1,0)+IF(OR(L237="X",L237="x"),1,0)),0)+IF(OR(COUNTA(J241:K245,M241:N245)&gt;0,OR(L240="X",L240="x")),(IF(OR(L241="X",L241="x"),1,0)+IF(OR(L242="X",L242="x"),1,0)+IF(OR(L243="X",L243="x"),1,0)+IF(OR(L244="X",L244="x"),1,0)+IF(OR(L245="X",L245="x"),1,0)),0)</f>
      </c>
      <c r="M256" s="14" t="str">
        <f>K232+K240</f>
      </c>
      <c r="N256" s="14" t="str">
        <f>M232+M240</f>
      </c>
    </row>
    <row r="259">
      <c r="F259" s="13"/>
      <c r="G259" s="13" t="s">
        <v>249</v>
      </c>
      <c r="N259" s="13"/>
      <c r="O259" s="13" t="s">
        <v>249</v>
      </c>
    </row>
    <row r="260">
      <c r="F260" t="s">
        <v>250</v>
      </c>
      <c r="G260" s="19"/>
      <c r="N260" t="s">
        <v>250</v>
      </c>
      <c r="O260" s="19"/>
    </row>
    <row r="261">
      <c r="F261" t="s">
        <v>251</v>
      </c>
      <c r="G261" s="19"/>
      <c r="N261" t="s">
        <v>251</v>
      </c>
      <c r="O261" s="19"/>
    </row>
    <row r="262">
      <c r="F262" t="s">
        <v>252</v>
      </c>
      <c r="G262" s="19"/>
      <c r="N262" t="s">
        <v>252</v>
      </c>
      <c r="O262" s="19"/>
    </row>
    <row r="264">
      <c r="A264" s="13" t="str">
        <f>data!$A$24</f>
      </c>
      <c r="B264" s="13"/>
      <c r="C264" s="13"/>
      <c r="D264" s="13"/>
      <c r="E264" s="13"/>
      <c r="F264" s="13"/>
      <c r="G264" s="13"/>
      <c r="I264" s="13" t="str">
        <f>data!$A$69</f>
      </c>
      <c r="J264" s="13"/>
      <c r="K264" s="13"/>
      <c r="L264" s="13"/>
      <c r="M264" s="13"/>
      <c r="N264" s="13"/>
      <c r="O264" s="13"/>
    </row>
    <row r="265">
      <c r="A265" s="17" t="s">
        <v>238</v>
      </c>
      <c r="B265" s="14"/>
      <c r="C265" s="14"/>
      <c r="D265" s="14" t="s">
        <v>239</v>
      </c>
      <c r="E265" s="14"/>
      <c r="F265" s="14"/>
      <c r="G265" s="16" t="s">
        <v>240</v>
      </c>
      <c r="I265" s="17" t="s">
        <v>238</v>
      </c>
      <c r="J265" s="14"/>
      <c r="K265" s="14"/>
      <c r="L265" s="14" t="s">
        <v>239</v>
      </c>
      <c r="M265" s="14"/>
      <c r="N265" s="14"/>
      <c r="O265" s="16" t="s">
        <v>240</v>
      </c>
    </row>
    <row r="266">
      <c r="A266" s="14" t="str">
        <f>data!$B$23</f>
      </c>
      <c r="B266" s="18" t="str">
        <f>SUMPRODUCT((UPPER(D267:D271)&lt;&gt;"X")*((LEN(SUBSTITUTE(SUBSTITUTE(SUBSTITUTE(B267:B271," ",""),"0",""),"-",""))+LEN(SUBSTITUTE(SUBSTITUTE(SUBSTITUTE(C267:C271," ",""),"0",""),"-","")))&gt;(LEN(SUBSTITUTE(SUBSTITUTE(SUBSTITUTE(E267:E271," ",""),"0",""),"-",""))+LEN(SUBSTITUTE(SUBSTITUTE(SUBSTITUTE(F267:F271," ",""),"0",""),"-",""))))*1)</f>
      </c>
      <c r="C266" s="18" t="str">
        <f>SUMPRODUCT(LEN(SUBSTITUTE(SUBSTITUTE(SUBSTITUTE(B267:B271," ",""),"0",""),"-",""))+LEN(SUBSTITUTE(SUBSTITUTE(SUBSTITUTE(C267:C271," ",""),"0",""),"-","")))</f>
      </c>
      <c r="D266" s="18"/>
      <c r="E266" s="18" t="str">
        <f>SUMPRODUCT(LEN(SUBSTITUTE(SUBSTITUTE(SUBSTITUTE(E267:E271," ",""),"0",""),"-",""))+LEN(SUBSTITUTE(SUBSTITUTE(SUBSTITUTE(F267:F271," ",""),"0",""),"-","")))</f>
      </c>
      <c r="F266" s="18" t="str">
        <f>SUMPRODUCT((UPPER(D267:D271)&lt;&gt;"X")*((LEN(SUBSTITUTE(SUBSTITUTE(SUBSTITUTE(E267:E271," ",""),"0",""),"-",""))+LEN(SUBSTITUTE(SUBSTITUTE(SUBSTITUTE(F267:F271," ",""),"0",""),"-","")))&gt;(LEN(SUBSTITUTE(SUBSTITUTE(SUBSTITUTE(B267:B271," ",""),"0",""),"-",""))+LEN(SUBSTITUTE(SUBSTITUTE(SUBSTITUTE(C267:C271," ",""),"0",""),"-",""))))*1)</f>
      </c>
      <c r="G266" s="14" t="str">
        <f>data!$B$22</f>
      </c>
      <c r="I266" s="14" t="str">
        <f>data!$B$68</f>
      </c>
      <c r="J266" s="18" t="str">
        <f>SUMPRODUCT((UPPER(L267:L271)&lt;&gt;"X")*((LEN(SUBSTITUTE(SUBSTITUTE(SUBSTITUTE(J267:J271," ",""),"0",""),"-",""))+LEN(SUBSTITUTE(SUBSTITUTE(SUBSTITUTE(K267:K271," ",""),"0",""),"-","")))&gt;(LEN(SUBSTITUTE(SUBSTITUTE(SUBSTITUTE(M267:M271," ",""),"0",""),"-",""))+LEN(SUBSTITUTE(SUBSTITUTE(SUBSTITUTE(N267:N271," ",""),"0",""),"-",""))))*1)</f>
      </c>
      <c r="K266" s="18" t="str">
        <f>SUMPRODUCT(LEN(SUBSTITUTE(SUBSTITUTE(SUBSTITUTE(J267:J271," ",""),"0",""),"-",""))+LEN(SUBSTITUTE(SUBSTITUTE(SUBSTITUTE(K267:K271," ",""),"0",""),"-","")))</f>
      </c>
      <c r="L266" s="18"/>
      <c r="M266" s="18" t="str">
        <f>SUMPRODUCT(LEN(SUBSTITUTE(SUBSTITUTE(SUBSTITUTE(M267:M271," ",""),"0",""),"-",""))+LEN(SUBSTITUTE(SUBSTITUTE(SUBSTITUTE(N267:N271," ",""),"0",""),"-","")))</f>
      </c>
      <c r="N266" s="18" t="str">
        <f>SUMPRODUCT((UPPER(L267:L271)&lt;&gt;"X")*((LEN(SUBSTITUTE(SUBSTITUTE(SUBSTITUTE(M267:M271," ",""),"0",""),"-",""))+LEN(SUBSTITUTE(SUBSTITUTE(SUBSTITUTE(N267:N271," ",""),"0",""),"-","")))&gt;(LEN(SUBSTITUTE(SUBSTITUTE(SUBSTITUTE(J267:J271," ",""),"0",""),"-",""))+LEN(SUBSTITUTE(SUBSTITUTE(SUBSTITUTE(K267:K271," ",""),"0",""),"-",""))))*1)</f>
      </c>
      <c r="O266" s="14" t="str">
        <f>data!$B$67</f>
      </c>
    </row>
    <row r="267">
      <c r="A267" s="18">
        <v>1</v>
      </c>
      <c r="B267" s="18"/>
      <c r="C267" s="18"/>
      <c r="D267" s="18"/>
      <c r="E267" s="18"/>
      <c r="F267" s="18"/>
      <c r="G267" s="18">
        <v>1</v>
      </c>
      <c r="I267" s="18">
        <v>1</v>
      </c>
      <c r="J267" s="18"/>
      <c r="K267" s="18"/>
      <c r="L267" s="18"/>
      <c r="M267" s="18"/>
      <c r="N267" s="18"/>
      <c r="O267" s="18">
        <v>1</v>
      </c>
    </row>
    <row r="268">
      <c r="A268" s="18">
        <v>2</v>
      </c>
      <c r="B268" s="18"/>
      <c r="C268" s="18"/>
      <c r="D268" s="18"/>
      <c r="E268" s="18"/>
      <c r="F268" s="18"/>
      <c r="G268" s="18">
        <v>2</v>
      </c>
      <c r="I268" s="18">
        <v>2</v>
      </c>
      <c r="J268" s="18"/>
      <c r="K268" s="18"/>
      <c r="L268" s="18"/>
      <c r="M268" s="18"/>
      <c r="N268" s="18"/>
      <c r="O268" s="18">
        <v>2</v>
      </c>
    </row>
    <row r="269">
      <c r="A269" s="18">
        <v>3</v>
      </c>
      <c r="B269" s="18"/>
      <c r="C269" s="18"/>
      <c r="D269" s="18"/>
      <c r="E269" s="18"/>
      <c r="F269" s="18"/>
      <c r="G269" s="18">
        <v>3</v>
      </c>
      <c r="I269" s="18">
        <v>3</v>
      </c>
      <c r="J269" s="18"/>
      <c r="K269" s="18"/>
      <c r="L269" s="18"/>
      <c r="M269" s="18"/>
      <c r="N269" s="18"/>
      <c r="O269" s="18">
        <v>3</v>
      </c>
    </row>
    <row r="270">
      <c r="A270" s="18">
        <v>4</v>
      </c>
      <c r="B270" s="18"/>
      <c r="C270" s="18"/>
      <c r="D270" s="18"/>
      <c r="E270" s="18"/>
      <c r="F270" s="18"/>
      <c r="G270" s="18">
        <v>4</v>
      </c>
      <c r="I270" s="18">
        <v>4</v>
      </c>
      <c r="J270" s="18"/>
      <c r="K270" s="18"/>
      <c r="L270" s="18"/>
      <c r="M270" s="18"/>
      <c r="N270" s="18"/>
      <c r="O270" s="18">
        <v>4</v>
      </c>
    </row>
    <row r="271">
      <c r="A271" s="18">
        <v>5</v>
      </c>
      <c r="B271" s="18"/>
      <c r="C271" s="18"/>
      <c r="D271" s="18"/>
      <c r="E271" s="18"/>
      <c r="F271" s="18"/>
      <c r="G271" s="18">
        <v>5</v>
      </c>
      <c r="I271" s="18">
        <v>5</v>
      </c>
      <c r="J271" s="18"/>
      <c r="K271" s="18"/>
      <c r="L271" s="18"/>
      <c r="M271" s="18"/>
      <c r="N271" s="18"/>
      <c r="O271" s="18">
        <v>5</v>
      </c>
    </row>
    <row r="273">
      <c r="A273" s="17" t="s">
        <v>238</v>
      </c>
      <c r="B273" s="14"/>
      <c r="C273" s="14"/>
      <c r="D273" s="14" t="s">
        <v>239</v>
      </c>
      <c r="E273" s="14"/>
      <c r="F273" s="14"/>
      <c r="G273" s="16" t="s">
        <v>240</v>
      </c>
      <c r="I273" s="17" t="s">
        <v>238</v>
      </c>
      <c r="J273" s="14"/>
      <c r="K273" s="14"/>
      <c r="L273" s="14" t="s">
        <v>239</v>
      </c>
      <c r="M273" s="14"/>
      <c r="N273" s="14"/>
      <c r="O273" s="16" t="s">
        <v>240</v>
      </c>
    </row>
    <row r="274">
      <c r="A274" s="14" t="str">
        <f>data!$B$24</f>
      </c>
      <c r="B274" s="18" t="str">
        <f>SUMPRODUCT((UPPER(D275:D279)&lt;&gt;"X")*((LEN(SUBSTITUTE(SUBSTITUTE(SUBSTITUTE(B275:B279," ",""),"0",""),"-",""))+LEN(SUBSTITUTE(SUBSTITUTE(SUBSTITUTE(C275:C279," ",""),"0",""),"-","")))&gt;(LEN(SUBSTITUTE(SUBSTITUTE(SUBSTITUTE(E275:E279," ",""),"0",""),"-",""))+LEN(SUBSTITUTE(SUBSTITUTE(SUBSTITUTE(F275:F279," ",""),"0",""),"-",""))))*1)</f>
      </c>
      <c r="C274" s="18" t="str">
        <f>SUMPRODUCT(LEN(SUBSTITUTE(SUBSTITUTE(SUBSTITUTE(B275:B279," ",""),"0",""),"-",""))+LEN(SUBSTITUTE(SUBSTITUTE(SUBSTITUTE(C275:C279," ",""),"0",""),"-","")))</f>
      </c>
      <c r="D274" s="18"/>
      <c r="E274" s="18" t="str">
        <f>SUMPRODUCT(LEN(SUBSTITUTE(SUBSTITUTE(SUBSTITUTE(E275:E279," ",""),"0",""),"-",""))+LEN(SUBSTITUTE(SUBSTITUTE(SUBSTITUTE(F275:F279," ",""),"0",""),"-","")))</f>
      </c>
      <c r="F274" s="18" t="str">
        <f>SUMPRODUCT((UPPER(D275:D279)&lt;&gt;"X")*((LEN(SUBSTITUTE(SUBSTITUTE(SUBSTITUTE(E275:E279," ",""),"0",""),"-",""))+LEN(SUBSTITUTE(SUBSTITUTE(SUBSTITUTE(F275:F279," ",""),"0",""),"-","")))&gt;(LEN(SUBSTITUTE(SUBSTITUTE(SUBSTITUTE(B275:B279," ",""),"0",""),"-",""))+LEN(SUBSTITUTE(SUBSTITUTE(SUBSTITUTE(C275:C279," ",""),"0",""),"-",""))))*1)</f>
      </c>
      <c r="G274" s="14" t="str">
        <f>data!$B$22</f>
      </c>
      <c r="I274" s="14" t="str">
        <f>data!$B$69</f>
      </c>
      <c r="J274" s="18" t="str">
        <f>SUMPRODUCT((UPPER(L275:L279)&lt;&gt;"X")*((LEN(SUBSTITUTE(SUBSTITUTE(SUBSTITUTE(J275:J279," ",""),"0",""),"-",""))+LEN(SUBSTITUTE(SUBSTITUTE(SUBSTITUTE(K275:K279," ",""),"0",""),"-","")))&gt;(LEN(SUBSTITUTE(SUBSTITUTE(SUBSTITUTE(M275:M279," ",""),"0",""),"-",""))+LEN(SUBSTITUTE(SUBSTITUTE(SUBSTITUTE(N275:N279," ",""),"0",""),"-",""))))*1)</f>
      </c>
      <c r="K274" s="18" t="str">
        <f>SUMPRODUCT(LEN(SUBSTITUTE(SUBSTITUTE(SUBSTITUTE(J275:J279," ",""),"0",""),"-",""))+LEN(SUBSTITUTE(SUBSTITUTE(SUBSTITUTE(K275:K279," ",""),"0",""),"-","")))</f>
      </c>
      <c r="L274" s="18"/>
      <c r="M274" s="18" t="str">
        <f>SUMPRODUCT(LEN(SUBSTITUTE(SUBSTITUTE(SUBSTITUTE(M275:M279," ",""),"0",""),"-",""))+LEN(SUBSTITUTE(SUBSTITUTE(SUBSTITUTE(N275:N279," ",""),"0",""),"-","")))</f>
      </c>
      <c r="N274" s="18" t="str">
        <f>SUMPRODUCT((UPPER(L275:L279)&lt;&gt;"X")*((LEN(SUBSTITUTE(SUBSTITUTE(SUBSTITUTE(M275:M279," ",""),"0",""),"-",""))+LEN(SUBSTITUTE(SUBSTITUTE(SUBSTITUTE(N275:N279," ",""),"0",""),"-","")))&gt;(LEN(SUBSTITUTE(SUBSTITUTE(SUBSTITUTE(J275:J279," ",""),"0",""),"-",""))+LEN(SUBSTITUTE(SUBSTITUTE(SUBSTITUTE(K275:K279," ",""),"0",""),"-",""))))*1)</f>
      </c>
      <c r="O274" s="14" t="str">
        <f>data!$B$67</f>
      </c>
    </row>
    <row r="275">
      <c r="A275" s="18">
        <v>1</v>
      </c>
      <c r="B275" s="18"/>
      <c r="C275" s="18"/>
      <c r="D275" s="18"/>
      <c r="E275" s="18"/>
      <c r="F275" s="18"/>
      <c r="G275" s="18">
        <v>1</v>
      </c>
      <c r="I275" s="18">
        <v>1</v>
      </c>
      <c r="J275" s="18"/>
      <c r="K275" s="18"/>
      <c r="L275" s="18"/>
      <c r="M275" s="18"/>
      <c r="N275" s="18"/>
      <c r="O275" s="18">
        <v>1</v>
      </c>
    </row>
    <row r="276">
      <c r="A276" s="18">
        <v>2</v>
      </c>
      <c r="B276" s="18"/>
      <c r="C276" s="18"/>
      <c r="D276" s="18"/>
      <c r="E276" s="18"/>
      <c r="F276" s="18"/>
      <c r="G276" s="18">
        <v>2</v>
      </c>
      <c r="I276" s="18">
        <v>2</v>
      </c>
      <c r="J276" s="18"/>
      <c r="K276" s="18"/>
      <c r="L276" s="18"/>
      <c r="M276" s="18"/>
      <c r="N276" s="18"/>
      <c r="O276" s="18">
        <v>2</v>
      </c>
    </row>
    <row r="277">
      <c r="A277" s="18">
        <v>3</v>
      </c>
      <c r="B277" s="18"/>
      <c r="C277" s="18"/>
      <c r="D277" s="18"/>
      <c r="E277" s="18"/>
      <c r="F277" s="18"/>
      <c r="G277" s="18">
        <v>3</v>
      </c>
      <c r="I277" s="18">
        <v>3</v>
      </c>
      <c r="J277" s="18"/>
      <c r="K277" s="18"/>
      <c r="L277" s="18"/>
      <c r="M277" s="18"/>
      <c r="N277" s="18"/>
      <c r="O277" s="18">
        <v>3</v>
      </c>
    </row>
    <row r="278">
      <c r="A278" s="18">
        <v>4</v>
      </c>
      <c r="B278" s="18"/>
      <c r="C278" s="18"/>
      <c r="D278" s="18"/>
      <c r="E278" s="18"/>
      <c r="F278" s="18"/>
      <c r="G278" s="18">
        <v>4</v>
      </c>
      <c r="I278" s="18">
        <v>4</v>
      </c>
      <c r="J278" s="18"/>
      <c r="K278" s="18"/>
      <c r="L278" s="18"/>
      <c r="M278" s="18"/>
      <c r="N278" s="18"/>
      <c r="O278" s="18">
        <v>4</v>
      </c>
    </row>
    <row r="279">
      <c r="A279" s="18">
        <v>5</v>
      </c>
      <c r="B279" s="18"/>
      <c r="C279" s="18"/>
      <c r="D279" s="18"/>
      <c r="E279" s="18"/>
      <c r="F279" s="18"/>
      <c r="G279" s="18">
        <v>5</v>
      </c>
      <c r="I279" s="18">
        <v>5</v>
      </c>
      <c r="J279" s="18"/>
      <c r="K279" s="18"/>
      <c r="L279" s="18"/>
      <c r="M279" s="18"/>
      <c r="N279" s="18"/>
      <c r="O279" s="18">
        <v>5</v>
      </c>
    </row>
    <row r="281">
      <c r="A281" s="17" t="s">
        <v>238</v>
      </c>
      <c r="B281" s="14"/>
      <c r="C281" s="14"/>
      <c r="D281" s="14" t="s">
        <v>239</v>
      </c>
      <c r="E281" s="14"/>
      <c r="F281" s="14"/>
      <c r="G281" s="16" t="s">
        <v>240</v>
      </c>
      <c r="I281" s="17" t="s">
        <v>238</v>
      </c>
      <c r="J281" s="14"/>
      <c r="K281" s="14"/>
      <c r="L281" s="14" t="s">
        <v>239</v>
      </c>
      <c r="M281" s="14"/>
      <c r="N281" s="14"/>
      <c r="O281" s="16" t="s">
        <v>240</v>
      </c>
    </row>
    <row r="282">
      <c r="A282" s="14" t="str">
        <f>data!$B$24</f>
      </c>
      <c r="B282" s="18" t="str">
        <f>SUMPRODUCT((UPPER(D283:D287)&lt;&gt;"X")*((LEN(SUBSTITUTE(SUBSTITUTE(SUBSTITUTE(B283:B287," ",""),"0",""),"-",""))+LEN(SUBSTITUTE(SUBSTITUTE(SUBSTITUTE(C283:C287," ",""),"0",""),"-","")))&gt;(LEN(SUBSTITUTE(SUBSTITUTE(SUBSTITUTE(E283:E287," ",""),"0",""),"-",""))+LEN(SUBSTITUTE(SUBSTITUTE(SUBSTITUTE(F283:F287," ",""),"0",""),"-",""))))*1)</f>
      </c>
      <c r="C282" s="18" t="str">
        <f>SUMPRODUCT(LEN(SUBSTITUTE(SUBSTITUTE(SUBSTITUTE(B283:B287," ",""),"0",""),"-",""))+LEN(SUBSTITUTE(SUBSTITUTE(SUBSTITUTE(C283:C287," ",""),"0",""),"-","")))</f>
      </c>
      <c r="D282" s="18"/>
      <c r="E282" s="18" t="str">
        <f>SUMPRODUCT(LEN(SUBSTITUTE(SUBSTITUTE(SUBSTITUTE(E283:E287," ",""),"0",""),"-",""))+LEN(SUBSTITUTE(SUBSTITUTE(SUBSTITUTE(F283:F287," ",""),"0",""),"-","")))</f>
      </c>
      <c r="F282" s="18" t="str">
        <f>SUMPRODUCT((UPPER(D283:D287)&lt;&gt;"X")*((LEN(SUBSTITUTE(SUBSTITUTE(SUBSTITUTE(E283:E287," ",""),"0",""),"-",""))+LEN(SUBSTITUTE(SUBSTITUTE(SUBSTITUTE(F283:F287," ",""),"0",""),"-","")))&gt;(LEN(SUBSTITUTE(SUBSTITUTE(SUBSTITUTE(B283:B287," ",""),"0",""),"-",""))+LEN(SUBSTITUTE(SUBSTITUTE(SUBSTITUTE(C283:C287," ",""),"0",""),"-",""))))*1)</f>
      </c>
      <c r="G282" s="14" t="str">
        <f>data!$B$23</f>
      </c>
      <c r="I282" s="14" t="str">
        <f>data!$B$69</f>
      </c>
      <c r="J282" s="18" t="str">
        <f>SUMPRODUCT((UPPER(L283:L287)&lt;&gt;"X")*((LEN(SUBSTITUTE(SUBSTITUTE(SUBSTITUTE(J283:J287," ",""),"0",""),"-",""))+LEN(SUBSTITUTE(SUBSTITUTE(SUBSTITUTE(K283:K287," ",""),"0",""),"-","")))&gt;(LEN(SUBSTITUTE(SUBSTITUTE(SUBSTITUTE(M283:M287," ",""),"0",""),"-",""))+LEN(SUBSTITUTE(SUBSTITUTE(SUBSTITUTE(N283:N287," ",""),"0",""),"-",""))))*1)</f>
      </c>
      <c r="K282" s="18" t="str">
        <f>SUMPRODUCT(LEN(SUBSTITUTE(SUBSTITUTE(SUBSTITUTE(J283:J287," ",""),"0",""),"-",""))+LEN(SUBSTITUTE(SUBSTITUTE(SUBSTITUTE(K283:K287," ",""),"0",""),"-","")))</f>
      </c>
      <c r="L282" s="18"/>
      <c r="M282" s="18" t="str">
        <f>SUMPRODUCT(LEN(SUBSTITUTE(SUBSTITUTE(SUBSTITUTE(M283:M287," ",""),"0",""),"-",""))+LEN(SUBSTITUTE(SUBSTITUTE(SUBSTITUTE(N283:N287," ",""),"0",""),"-","")))</f>
      </c>
      <c r="N282" s="18" t="str">
        <f>SUMPRODUCT((UPPER(L283:L287)&lt;&gt;"X")*((LEN(SUBSTITUTE(SUBSTITUTE(SUBSTITUTE(M283:M287," ",""),"0",""),"-",""))+LEN(SUBSTITUTE(SUBSTITUTE(SUBSTITUTE(N283:N287," ",""),"0",""),"-","")))&gt;(LEN(SUBSTITUTE(SUBSTITUTE(SUBSTITUTE(J283:J287," ",""),"0",""),"-",""))+LEN(SUBSTITUTE(SUBSTITUTE(SUBSTITUTE(K283:K287," ",""),"0",""),"-",""))))*1)</f>
      </c>
      <c r="O282" s="14" t="str">
        <f>data!$B$68</f>
      </c>
    </row>
    <row r="283">
      <c r="A283" s="18">
        <v>1</v>
      </c>
      <c r="B283" s="18"/>
      <c r="C283" s="18"/>
      <c r="D283" s="18"/>
      <c r="E283" s="18"/>
      <c r="F283" s="18"/>
      <c r="G283" s="18">
        <v>1</v>
      </c>
      <c r="I283" s="18">
        <v>1</v>
      </c>
      <c r="J283" s="18"/>
      <c r="K283" s="18"/>
      <c r="L283" s="18"/>
      <c r="M283" s="18"/>
      <c r="N283" s="18"/>
      <c r="O283" s="18">
        <v>1</v>
      </c>
    </row>
    <row r="284">
      <c r="A284" s="18">
        <v>2</v>
      </c>
      <c r="B284" s="18"/>
      <c r="C284" s="18"/>
      <c r="D284" s="18"/>
      <c r="E284" s="18"/>
      <c r="F284" s="18"/>
      <c r="G284" s="18">
        <v>2</v>
      </c>
      <c r="I284" s="18">
        <v>2</v>
      </c>
      <c r="J284" s="18"/>
      <c r="K284" s="18"/>
      <c r="L284" s="18"/>
      <c r="M284" s="18"/>
      <c r="N284" s="18"/>
      <c r="O284" s="18">
        <v>2</v>
      </c>
    </row>
    <row r="285">
      <c r="A285" s="18">
        <v>3</v>
      </c>
      <c r="B285" s="18"/>
      <c r="C285" s="18"/>
      <c r="D285" s="18"/>
      <c r="E285" s="18"/>
      <c r="F285" s="18"/>
      <c r="G285" s="18">
        <v>3</v>
      </c>
      <c r="I285" s="18">
        <v>3</v>
      </c>
      <c r="J285" s="18"/>
      <c r="K285" s="18"/>
      <c r="L285" s="18"/>
      <c r="M285" s="18"/>
      <c r="N285" s="18"/>
      <c r="O285" s="18">
        <v>3</v>
      </c>
    </row>
    <row r="286">
      <c r="A286" s="18">
        <v>4</v>
      </c>
      <c r="B286" s="18"/>
      <c r="C286" s="18"/>
      <c r="D286" s="18"/>
      <c r="E286" s="18"/>
      <c r="F286" s="18"/>
      <c r="G286" s="18">
        <v>4</v>
      </c>
      <c r="I286" s="18">
        <v>4</v>
      </c>
      <c r="J286" s="18"/>
      <c r="K286" s="18"/>
      <c r="L286" s="18"/>
      <c r="M286" s="18"/>
      <c r="N286" s="18"/>
      <c r="O286" s="18">
        <v>4</v>
      </c>
    </row>
    <row r="287">
      <c r="A287" s="18">
        <v>5</v>
      </c>
      <c r="B287" s="18"/>
      <c r="C287" s="18"/>
      <c r="D287" s="18"/>
      <c r="E287" s="18"/>
      <c r="F287" s="18"/>
      <c r="G287" s="18">
        <v>5</v>
      </c>
      <c r="I287" s="18">
        <v>5</v>
      </c>
      <c r="J287" s="18"/>
      <c r="K287" s="18"/>
      <c r="L287" s="18"/>
      <c r="M287" s="18"/>
      <c r="N287" s="18"/>
      <c r="O287" s="18">
        <v>5</v>
      </c>
    </row>
    <row r="290">
      <c r="A290" s="13"/>
      <c r="B290" s="13" t="s">
        <v>241</v>
      </c>
      <c r="C290" s="13" t="s">
        <v>242</v>
      </c>
      <c r="D290" s="13" t="s">
        <v>243</v>
      </c>
      <c r="I290" s="13"/>
      <c r="J290" s="13" t="s">
        <v>241</v>
      </c>
      <c r="K290" s="13" t="s">
        <v>242</v>
      </c>
      <c r="L290" s="13" t="s">
        <v>243</v>
      </c>
    </row>
    <row r="291">
      <c r="A291" t="str">
        <f>data!$B$22</f>
      </c>
      <c r="B291" s="14" t="str">
        <f>IF(OR(COUNTA(B267:C271,E267:F271)&gt;0,OR(D266="X",D266="x")),IF(OR(D266="X",D266="x"),0,IF(OR(F266&gt;B266,AND(F266=B266,E266&gt;C266)),1,0)),0)+IF(OR(COUNTA(B275:C279,E275:F279)&gt;0,OR(D274="X",D274="x")),IF(OR(D274="X",D274="x"),0,IF(OR(F274&gt;B274,AND(F274=B274,E274&gt;C274)),1,0)),0)</f>
      </c>
      <c r="C291" s="14" t="str">
        <f>IF(OR(COUNTA(B267:C271,E267:F271)&gt;0,OR(D266="X",D266="x")),IF(OR(D266="X",D266="x"),0,IF(OR(F266&lt;B266,AND(F266=B266,E266&lt;C266)),1,0)),0)+IF(OR(COUNTA(B275:C279,E275:F279)&gt;0,OR(D274="X",D274="x")),IF(OR(D274="X",D274="x"),0,IF(OR(F274&lt;B274,AND(F274=B274,E274&lt;C274)),1,0)),0)</f>
      </c>
      <c r="D291" s="14" t="str">
        <f>IF(OR(COUNTA(B267:C271,E267:F271)&gt;0,OR(D266="X",D266="x")),IF(OR(D266="X",D266="x"),1,0),0)+IF(OR(COUNTA(B275:C279,E275:F279)&gt;0,OR(D274="X",D274="x")),IF(OR(D274="X",D274="x"),1,0),0)</f>
      </c>
      <c r="I291" t="str">
        <f>data!$B$67</f>
      </c>
      <c r="J291" s="14" t="str">
        <f>IF(OR(COUNTA(J267:K271,M267:N271)&gt;0,OR(L266="X",L266="x")),IF(OR(L266="X",L266="x"),0,IF(OR(N266&gt;J266,AND(N266=J266,M266&gt;K266)),1,0)),0)+IF(OR(COUNTA(J275:K279,M275:N279)&gt;0,OR(L274="X",L274="x")),IF(OR(L274="X",L274="x"),0,IF(OR(N274&gt;J274,AND(N274=J274,M274&gt;K274)),1,0)),0)</f>
      </c>
      <c r="K291" s="14" t="str">
        <f>IF(OR(COUNTA(J267:K271,M267:N271)&gt;0,OR(L266="X",L266="x")),IF(OR(L266="X",L266="x"),0,IF(OR(N266&lt;J266,AND(N266=J266,M266&lt;K266)),1,0)),0)+IF(OR(COUNTA(J275:K279,M275:N279)&gt;0,OR(L274="X",L274="x")),IF(OR(L274="X",L274="x"),0,IF(OR(N274&lt;J274,AND(N274=J274,M274&lt;K274)),1,0)),0)</f>
      </c>
      <c r="L291" s="14" t="str">
        <f>IF(OR(COUNTA(J267:K271,M267:N271)&gt;0,OR(L266="X",L266="x")),IF(OR(L266="X",L266="x"),1,0),0)+IF(OR(COUNTA(J275:K279,M275:N279)&gt;0,OR(L274="X",L274="x")),IF(OR(L274="X",L274="x"),1,0),0)</f>
      </c>
    </row>
    <row r="292">
      <c r="A292" t="str">
        <f>data!$B$23</f>
      </c>
      <c r="B292" s="14" t="str">
        <f>IF(OR(COUNTA(B267:C271,E267:F271)&gt;0,OR(D266="X",D266="x")),IF(OR(D266="X",D266="x"),0,IF(OR(B266&gt;F266,AND(B266=F266,C266&gt;E266)),1,0)),0)+IF(OR(COUNTA(B283:C287,E283:F287)&gt;0,OR(D282="X",D282="x")),IF(OR(D282="X",D282="x"),0,IF(OR(F282&gt;B282,AND(F282=B282,E282&gt;C282)),1,0)),0)</f>
      </c>
      <c r="C292" s="14" t="str">
        <f>IF(OR(COUNTA(B267:C271,E267:F271)&gt;0,OR(D266="X",D266="x")),IF(OR(D266="X",D266="x"),0,IF(OR(B266&lt;F266,AND(B266=F266,C266&lt;E266)),1,0)),0)+IF(OR(COUNTA(B283:C287,E283:F287)&gt;0,OR(D282="X",D282="x")),IF(OR(D282="X",D282="x"),0,IF(OR(F282&lt;B282,AND(F282=B282,E282&lt;C282)),1,0)),0)</f>
      </c>
      <c r="D292" s="14" t="str">
        <f>IF(OR(COUNTA(B267:C271,E267:F271)&gt;0,OR(D266="X",D266="x")),IF(OR(D266="X",D266="x"),1,0),0)+IF(OR(COUNTA(B283:C287,E283:F287)&gt;0,OR(D282="X",D282="x")),IF(OR(D282="X",D282="x"),1,0),0)</f>
      </c>
      <c r="I292" t="str">
        <f>data!$B$68</f>
      </c>
      <c r="J292" s="14" t="str">
        <f>IF(OR(COUNTA(J267:K271,M267:N271)&gt;0,OR(L266="X",L266="x")),IF(OR(L266="X",L266="x"),0,IF(OR(J266&gt;N266,AND(J266=N266,K266&gt;M266)),1,0)),0)+IF(OR(COUNTA(J283:K287,M283:N287)&gt;0,OR(L282="X",L282="x")),IF(OR(L282="X",L282="x"),0,IF(OR(N282&gt;J282,AND(N282=J282,M282&gt;K282)),1,0)),0)</f>
      </c>
      <c r="K292" s="14" t="str">
        <f>IF(OR(COUNTA(J267:K271,M267:N271)&gt;0,OR(L266="X",L266="x")),IF(OR(L266="X",L266="x"),0,IF(OR(J266&lt;N266,AND(J266=N266,K266&lt;M266)),1,0)),0)+IF(OR(COUNTA(J283:K287,M283:N287)&gt;0,OR(L282="X",L282="x")),IF(OR(L282="X",L282="x"),0,IF(OR(N282&lt;J282,AND(N282=J282,M282&lt;K282)),1,0)),0)</f>
      </c>
      <c r="L292" s="14" t="str">
        <f>IF(OR(COUNTA(J267:K271,M267:N271)&gt;0,OR(L266="X",L266="x")),IF(OR(L266="X",L266="x"),1,0),0)+IF(OR(COUNTA(J283:K287,M283:N287)&gt;0,OR(L282="X",L282="x")),IF(OR(L282="X",L282="x"),1,0),0)</f>
      </c>
    </row>
    <row r="293">
      <c r="A293" t="str">
        <f>data!$B$24</f>
      </c>
      <c r="B293" s="14" t="str">
        <f>IF(OR(COUNTA(B275:C279,E275:F279)&gt;0,OR(D274="X",D274="x")),IF(OR(D274="X",D274="x"),0,IF(OR(B274&gt;F274,AND(B274=F274,C274&gt;E274)),1,0)),0)+IF(OR(COUNTA(B283:C287,E283:F287)&gt;0,OR(D282="X",D282="x")),IF(OR(D282="X",D282="x"),0,IF(OR(B282&gt;F282,AND(B282=F282,C282&gt;E282)),1,0)),0)</f>
      </c>
      <c r="C293" s="14" t="str">
        <f>IF(OR(COUNTA(B275:C279,E275:F279)&gt;0,OR(D274="X",D274="x")),IF(OR(D274="X",D274="x"),0,IF(OR(B274&lt;F274,AND(B274=F274,C274&lt;E274)),1,0)),0)+IF(OR(COUNTA(B283:C287,E283:F287)&gt;0,OR(D282="X",D282="x")),IF(OR(D282="X",D282="x"),0,IF(OR(B282&lt;F282,AND(B282=F282,C282&lt;E282)),1,0)),0)</f>
      </c>
      <c r="D293" s="14" t="str">
        <f>IF(OR(COUNTA(B275:C279,E275:F279)&gt;0,OR(D274="X",D274="x")),IF(OR(D274="X",D274="x"),1,0),0)+IF(OR(COUNTA(B283:C287,E283:F287)&gt;0,OR(D282="X",D282="x")),IF(OR(D282="X",D282="x"),1,0),0)</f>
      </c>
      <c r="I293" t="str">
        <f>data!$B$69</f>
      </c>
      <c r="J293" s="14" t="str">
        <f>IF(OR(COUNTA(J275:K279,M275:N279)&gt;0,OR(L274="X",L274="x")),IF(OR(L274="X",L274="x"),0,IF(OR(J274&gt;N274,AND(J274=N274,K274&gt;M274)),1,0)),0)+IF(OR(COUNTA(J283:K287,M283:N287)&gt;0,OR(L282="X",L282="x")),IF(OR(L282="X",L282="x"),0,IF(OR(J282&gt;N282,AND(J282=N282,K282&gt;M282)),1,0)),0)</f>
      </c>
      <c r="K293" s="14" t="str">
        <f>IF(OR(COUNTA(J275:K279,M275:N279)&gt;0,OR(L274="X",L274="x")),IF(OR(L274="X",L274="x"),0,IF(OR(J274&lt;N274,AND(J274=N274,K274&lt;M274)),1,0)),0)+IF(OR(COUNTA(J283:K287,M283:N287)&gt;0,OR(L282="X",L282="x")),IF(OR(L282="X",L282="x"),0,IF(OR(J282&lt;N282,AND(J282=N282,K282&lt;M282)),1,0)),0)</f>
      </c>
      <c r="L293" s="14" t="str">
        <f>IF(OR(COUNTA(J275:K279,M275:N279)&gt;0,OR(L274="X",L274="x")),IF(OR(L274="X",L274="x"),1,0),0)+IF(OR(COUNTA(J283:K287,M283:N287)&gt;0,OR(L282="X",L282="x")),IF(OR(L282="X",L282="x"),1,0),0)</f>
      </c>
    </row>
    <row r="295">
      <c r="A295" s="13"/>
      <c r="B295" s="13" t="s">
        <v>244</v>
      </c>
      <c r="C295" s="13" t="s">
        <v>245</v>
      </c>
      <c r="D295" s="13" t="s">
        <v>246</v>
      </c>
      <c r="E295" s="13" t="s">
        <v>247</v>
      </c>
      <c r="F295" s="13" t="s">
        <v>248</v>
      </c>
      <c r="I295" s="13"/>
      <c r="J295" s="13" t="s">
        <v>244</v>
      </c>
      <c r="K295" s="13" t="s">
        <v>245</v>
      </c>
      <c r="L295" s="13" t="s">
        <v>246</v>
      </c>
      <c r="M295" s="13" t="s">
        <v>247</v>
      </c>
      <c r="N295" s="13" t="s">
        <v>248</v>
      </c>
    </row>
    <row r="296">
      <c r="A296" t="str">
        <f>data!$B$22</f>
      </c>
      <c r="B296" s="14" t="str">
        <f>IF(OR(COUNTA(B267:C271,E267:F271)&gt;0,OR(D266="X",D266="x")),F266,0)+IF(OR(COUNTA(B275:C279,E275:F279)&gt;0,OR(D274="X",D274="x")),F274,0)</f>
      </c>
      <c r="C296" s="14" t="str">
        <f>IF(OR(COUNTA(B267:C271,E267:F271)&gt;0,OR(D266="X",D266="x")),B266,0)+IF(OR(COUNTA(B275:C279,E275:F279)&gt;0,OR(D274="X",D274="x")),B274,0)</f>
      </c>
      <c r="D296" s="14" t="str">
        <f>IF(OR(COUNTA(B267:C271,E267:F271)&gt;0,OR(D266="X",D266="x")),(IF(OR(D267="X",D267="x"),1,0)+IF(OR(D268="X",D268="x"),1,0)+IF(OR(D269="X",D269="x"),1,0)+IF(OR(D270="X",D270="x"),1,0)+IF(OR(D271="X",D271="x"),1,0)),0)+IF(OR(COUNTA(B275:C279,E275:F279)&gt;0,OR(D274="X",D274="x")),(IF(OR(D275="X",D275="x"),1,0)+IF(OR(D276="X",D276="x"),1,0)+IF(OR(D277="X",D277="x"),1,0)+IF(OR(D278="X",D278="x"),1,0)+IF(OR(D279="X",D279="x"),1,0)),0)</f>
      </c>
      <c r="E296" s="14" t="str">
        <f>E266+E274</f>
      </c>
      <c r="F296" s="14" t="str">
        <f>C266+C274</f>
      </c>
      <c r="I296" t="str">
        <f>data!$B$67</f>
      </c>
      <c r="J296" s="14" t="str">
        <f>IF(OR(COUNTA(J267:K271,M267:N271)&gt;0,OR(L266="X",L266="x")),N266,0)+IF(OR(COUNTA(J275:K279,M275:N279)&gt;0,OR(L274="X",L274="x")),N274,0)</f>
      </c>
      <c r="K296" s="14" t="str">
        <f>IF(OR(COUNTA(J267:K271,M267:N271)&gt;0,OR(L266="X",L266="x")),J266,0)+IF(OR(COUNTA(J275:K279,M275:N279)&gt;0,OR(L274="X",L274="x")),J274,0)</f>
      </c>
      <c r="L296" s="14" t="str">
        <f>IF(OR(COUNTA(J267:K271,M267:N271)&gt;0,OR(L266="X",L266="x")),(IF(OR(L267="X",L267="x"),1,0)+IF(OR(L268="X",L268="x"),1,0)+IF(OR(L269="X",L269="x"),1,0)+IF(OR(L270="X",L270="x"),1,0)+IF(OR(L271="X",L271="x"),1,0)),0)+IF(OR(COUNTA(J275:K279,M275:N279)&gt;0,OR(L274="X",L274="x")),(IF(OR(L275="X",L275="x"),1,0)+IF(OR(L276="X",L276="x"),1,0)+IF(OR(L277="X",L277="x"),1,0)+IF(OR(L278="X",L278="x"),1,0)+IF(OR(L279="X",L279="x"),1,0)),0)</f>
      </c>
      <c r="M296" s="14" t="str">
        <f>M266+M274</f>
      </c>
      <c r="N296" s="14" t="str">
        <f>K266+K274</f>
      </c>
    </row>
    <row r="297">
      <c r="A297" t="str">
        <f>data!$B$23</f>
      </c>
      <c r="B297" s="14" t="str">
        <f>IF(OR(COUNTA(B267:C271,E267:F271)&gt;0,OR(D266="X",D266="x")),B266,0)+IF(OR(COUNTA(B283:C287,E283:F287)&gt;0,OR(D282="X",D282="x")),F282,0)</f>
      </c>
      <c r="C297" s="14" t="str">
        <f>IF(OR(COUNTA(B267:C271,E267:F271)&gt;0,OR(D266="X",D266="x")),F266,0)+IF(OR(COUNTA(B283:C287,E283:F287)&gt;0,OR(D282="X",D282="x")),B282,0)</f>
      </c>
      <c r="D297" s="14" t="str">
        <f>IF(OR(COUNTA(B267:C271,E267:F271)&gt;0,OR(D266="X",D266="x")),(IF(OR(D267="X",D267="x"),1,0)+IF(OR(D268="X",D268="x"),1,0)+IF(OR(D269="X",D269="x"),1,0)+IF(OR(D270="X",D270="x"),1,0)+IF(OR(D271="X",D271="x"),1,0)),0)+IF(OR(COUNTA(B283:C287,E283:F287)&gt;0,OR(D282="X",D282="x")),(IF(OR(D283="X",D283="x"),1,0)+IF(OR(D284="X",D284="x"),1,0)+IF(OR(D285="X",D285="x"),1,0)+IF(OR(D286="X",D286="x"),1,0)+IF(OR(D287="X",D287="x"),1,0)),0)</f>
      </c>
      <c r="E297" s="14" t="str">
        <f>C266+E282</f>
      </c>
      <c r="F297" s="14" t="str">
        <f>E266+C282</f>
      </c>
      <c r="I297" t="str">
        <f>data!$B$68</f>
      </c>
      <c r="J297" s="14" t="str">
        <f>IF(OR(COUNTA(J267:K271,M267:N271)&gt;0,OR(L266="X",L266="x")),J266,0)+IF(OR(COUNTA(J283:K287,M283:N287)&gt;0,OR(L282="X",L282="x")),N282,0)</f>
      </c>
      <c r="K297" s="14" t="str">
        <f>IF(OR(COUNTA(J267:K271,M267:N271)&gt;0,OR(L266="X",L266="x")),N266,0)+IF(OR(COUNTA(J283:K287,M283:N287)&gt;0,OR(L282="X",L282="x")),J282,0)</f>
      </c>
      <c r="L297" s="14" t="str">
        <f>IF(OR(COUNTA(J267:K271,M267:N271)&gt;0,OR(L266="X",L266="x")),(IF(OR(L267="X",L267="x"),1,0)+IF(OR(L268="X",L268="x"),1,0)+IF(OR(L269="X",L269="x"),1,0)+IF(OR(L270="X",L270="x"),1,0)+IF(OR(L271="X",L271="x"),1,0)),0)+IF(OR(COUNTA(J283:K287,M283:N287)&gt;0,OR(L282="X",L282="x")),(IF(OR(L283="X",L283="x"),1,0)+IF(OR(L284="X",L284="x"),1,0)+IF(OR(L285="X",L285="x"),1,0)+IF(OR(L286="X",L286="x"),1,0)+IF(OR(L287="X",L287="x"),1,0)),0)</f>
      </c>
      <c r="M297" s="14" t="str">
        <f>K266+M282</f>
      </c>
      <c r="N297" s="14" t="str">
        <f>M266+K282</f>
      </c>
    </row>
    <row r="298">
      <c r="A298" t="str">
        <f>data!$B$24</f>
      </c>
      <c r="B298" s="14" t="str">
        <f>IF(OR(COUNTA(B275:C279,E275:F279)&gt;0,OR(D274="X",D274="x")),B274,0)+IF(OR(COUNTA(B283:C287,E283:F287)&gt;0,OR(D282="X",D282="x")),B282,0)</f>
      </c>
      <c r="C298" s="14" t="str">
        <f>IF(OR(COUNTA(B275:C279,E275:F279)&gt;0,OR(D274="X",D274="x")),F274,0)+IF(OR(COUNTA(B283:C287,E283:F287)&gt;0,OR(D282="X",D282="x")),F282,0)</f>
      </c>
      <c r="D298" s="14" t="str">
        <f>IF(OR(COUNTA(B275:C279,E275:F279)&gt;0,OR(D274="X",D274="x")),(IF(OR(D275="X",D275="x"),1,0)+IF(OR(D276="X",D276="x"),1,0)+IF(OR(D277="X",D277="x"),1,0)+IF(OR(D278="X",D278="x"),1,0)+IF(OR(D279="X",D279="x"),1,0)),0)+IF(OR(COUNTA(B283:C287,E283:F287)&gt;0,OR(D282="X",D282="x")),(IF(OR(D283="X",D283="x"),1,0)+IF(OR(D284="X",D284="x"),1,0)+IF(OR(D285="X",D285="x"),1,0)+IF(OR(D286="X",D286="x"),1,0)+IF(OR(D287="X",D287="x"),1,0)),0)</f>
      </c>
      <c r="E298" s="14" t="str">
        <f>C274+C282</f>
      </c>
      <c r="F298" s="14" t="str">
        <f>E274+E282</f>
      </c>
      <c r="I298" t="str">
        <f>data!$B$69</f>
      </c>
      <c r="J298" s="14" t="str">
        <f>IF(OR(COUNTA(J275:K279,M275:N279)&gt;0,OR(L274="X",L274="x")),J274,0)+IF(OR(COUNTA(J283:K287,M283:N287)&gt;0,OR(L282="X",L282="x")),J282,0)</f>
      </c>
      <c r="K298" s="14" t="str">
        <f>IF(OR(COUNTA(J275:K279,M275:N279)&gt;0,OR(L274="X",L274="x")),N274,0)+IF(OR(COUNTA(J283:K287,M283:N287)&gt;0,OR(L282="X",L282="x")),N282,0)</f>
      </c>
      <c r="L298" s="14" t="str">
        <f>IF(OR(COUNTA(J275:K279,M275:N279)&gt;0,OR(L274="X",L274="x")),(IF(OR(L275="X",L275="x"),1,0)+IF(OR(L276="X",L276="x"),1,0)+IF(OR(L277="X",L277="x"),1,0)+IF(OR(L278="X",L278="x"),1,0)+IF(OR(L279="X",L279="x"),1,0)),0)+IF(OR(COUNTA(J283:K287,M283:N287)&gt;0,OR(L282="X",L282="x")),(IF(OR(L283="X",L283="x"),1,0)+IF(OR(L284="X",L284="x"),1,0)+IF(OR(L285="X",L285="x"),1,0)+IF(OR(L286="X",L286="x"),1,0)+IF(OR(L287="X",L287="x"),1,0)),0)</f>
      </c>
      <c r="M298" s="14" t="str">
        <f>K274+K282</f>
      </c>
      <c r="N298" s="14" t="str">
        <f>M274+M282</f>
      </c>
    </row>
    <row r="301">
      <c r="F301" s="13"/>
      <c r="G301" s="13" t="s">
        <v>249</v>
      </c>
      <c r="N301" s="13"/>
      <c r="O301" s="13" t="s">
        <v>249</v>
      </c>
    </row>
    <row r="302">
      <c r="F302" t="s">
        <v>250</v>
      </c>
      <c r="G302" s="19"/>
      <c r="N302" t="s">
        <v>250</v>
      </c>
      <c r="O302" s="19"/>
    </row>
    <row r="303">
      <c r="F303" t="s">
        <v>251</v>
      </c>
      <c r="G303" s="19"/>
      <c r="N303" t="s">
        <v>251</v>
      </c>
      <c r="O303" s="19"/>
    </row>
    <row r="304">
      <c r="F304" t="s">
        <v>252</v>
      </c>
      <c r="G304" s="19"/>
      <c r="N304" t="s">
        <v>252</v>
      </c>
      <c r="O304" s="19"/>
    </row>
    <row r="306">
      <c r="A306" s="13" t="str">
        <f>data!$A$27</f>
      </c>
      <c r="B306" s="13"/>
      <c r="C306" s="13"/>
      <c r="D306" s="13"/>
      <c r="E306" s="13"/>
      <c r="F306" s="13"/>
      <c r="G306" s="13"/>
      <c r="I306" s="13" t="str">
        <f>data!$A$72</f>
      </c>
      <c r="J306" s="13"/>
      <c r="K306" s="13"/>
      <c r="L306" s="13"/>
      <c r="M306" s="13"/>
      <c r="N306" s="13"/>
      <c r="O306" s="13"/>
    </row>
    <row r="307">
      <c r="A307" s="17" t="s">
        <v>238</v>
      </c>
      <c r="B307" s="14"/>
      <c r="C307" s="14"/>
      <c r="D307" s="14" t="s">
        <v>239</v>
      </c>
      <c r="E307" s="14"/>
      <c r="F307" s="14"/>
      <c r="G307" s="16" t="s">
        <v>240</v>
      </c>
      <c r="I307" s="17" t="s">
        <v>238</v>
      </c>
      <c r="J307" s="14"/>
      <c r="K307" s="14"/>
      <c r="L307" s="14" t="s">
        <v>239</v>
      </c>
      <c r="M307" s="14"/>
      <c r="N307" s="14"/>
      <c r="O307" s="16" t="s">
        <v>240</v>
      </c>
    </row>
    <row r="308">
      <c r="A308" s="14" t="str">
        <f>data!$B$26</f>
      </c>
      <c r="B308" s="18" t="str">
        <f>SUMPRODUCT((UPPER(D309:D313)&lt;&gt;"X")*((LEN(SUBSTITUTE(SUBSTITUTE(SUBSTITUTE(B309:B313," ",""),"0",""),"-",""))+LEN(SUBSTITUTE(SUBSTITUTE(SUBSTITUTE(C309:C313," ",""),"0",""),"-","")))&gt;(LEN(SUBSTITUTE(SUBSTITUTE(SUBSTITUTE(E309:E313," ",""),"0",""),"-",""))+LEN(SUBSTITUTE(SUBSTITUTE(SUBSTITUTE(F309:F313," ",""),"0",""),"-",""))))*1)</f>
      </c>
      <c r="C308" s="18" t="str">
        <f>SUMPRODUCT(LEN(SUBSTITUTE(SUBSTITUTE(SUBSTITUTE(B309:B313," ",""),"0",""),"-",""))+LEN(SUBSTITUTE(SUBSTITUTE(SUBSTITUTE(C309:C313," ",""),"0",""),"-","")))</f>
      </c>
      <c r="D308" s="18"/>
      <c r="E308" s="18" t="str">
        <f>SUMPRODUCT(LEN(SUBSTITUTE(SUBSTITUTE(SUBSTITUTE(E309:E313," ",""),"0",""),"-",""))+LEN(SUBSTITUTE(SUBSTITUTE(SUBSTITUTE(F309:F313," ",""),"0",""),"-","")))</f>
      </c>
      <c r="F308" s="18" t="str">
        <f>SUMPRODUCT((UPPER(D309:D313)&lt;&gt;"X")*((LEN(SUBSTITUTE(SUBSTITUTE(SUBSTITUTE(E309:E313," ",""),"0",""),"-",""))+LEN(SUBSTITUTE(SUBSTITUTE(SUBSTITUTE(F309:F313," ",""),"0",""),"-","")))&gt;(LEN(SUBSTITUTE(SUBSTITUTE(SUBSTITUTE(B309:B313," ",""),"0",""),"-",""))+LEN(SUBSTITUTE(SUBSTITUTE(SUBSTITUTE(C309:C313," ",""),"0",""),"-",""))))*1)</f>
      </c>
      <c r="G308" s="14" t="str">
        <f>data!$B$25</f>
      </c>
      <c r="I308" s="14" t="str">
        <f>data!$B$71</f>
      </c>
      <c r="J308" s="18" t="str">
        <f>SUMPRODUCT((UPPER(L309:L313)&lt;&gt;"X")*((LEN(SUBSTITUTE(SUBSTITUTE(SUBSTITUTE(J309:J313," ",""),"0",""),"-",""))+LEN(SUBSTITUTE(SUBSTITUTE(SUBSTITUTE(K309:K313," ",""),"0",""),"-","")))&gt;(LEN(SUBSTITUTE(SUBSTITUTE(SUBSTITUTE(M309:M313," ",""),"0",""),"-",""))+LEN(SUBSTITUTE(SUBSTITUTE(SUBSTITUTE(N309:N313," ",""),"0",""),"-",""))))*1)</f>
      </c>
      <c r="K308" s="18" t="str">
        <f>SUMPRODUCT(LEN(SUBSTITUTE(SUBSTITUTE(SUBSTITUTE(J309:J313," ",""),"0",""),"-",""))+LEN(SUBSTITUTE(SUBSTITUTE(SUBSTITUTE(K309:K313," ",""),"0",""),"-","")))</f>
      </c>
      <c r="L308" s="18"/>
      <c r="M308" s="18" t="str">
        <f>SUMPRODUCT(LEN(SUBSTITUTE(SUBSTITUTE(SUBSTITUTE(M309:M313," ",""),"0",""),"-",""))+LEN(SUBSTITUTE(SUBSTITUTE(SUBSTITUTE(N309:N313," ",""),"0",""),"-","")))</f>
      </c>
      <c r="N308" s="18" t="str">
        <f>SUMPRODUCT((UPPER(L309:L313)&lt;&gt;"X")*((LEN(SUBSTITUTE(SUBSTITUTE(SUBSTITUTE(M309:M313," ",""),"0",""),"-",""))+LEN(SUBSTITUTE(SUBSTITUTE(SUBSTITUTE(N309:N313," ",""),"0",""),"-","")))&gt;(LEN(SUBSTITUTE(SUBSTITUTE(SUBSTITUTE(J309:J313," ",""),"0",""),"-",""))+LEN(SUBSTITUTE(SUBSTITUTE(SUBSTITUTE(K309:K313," ",""),"0",""),"-",""))))*1)</f>
      </c>
      <c r="O308" s="14" t="str">
        <f>data!$B$70</f>
      </c>
    </row>
    <row r="309">
      <c r="A309" s="18">
        <v>1</v>
      </c>
      <c r="B309" s="18"/>
      <c r="C309" s="18"/>
      <c r="D309" s="18"/>
      <c r="E309" s="18"/>
      <c r="F309" s="18"/>
      <c r="G309" s="18">
        <v>1</v>
      </c>
      <c r="I309" s="18">
        <v>1</v>
      </c>
      <c r="J309" s="18"/>
      <c r="K309" s="18"/>
      <c r="L309" s="18"/>
      <c r="M309" s="18"/>
      <c r="N309" s="18"/>
      <c r="O309" s="18">
        <v>1</v>
      </c>
    </row>
    <row r="310">
      <c r="A310" s="18">
        <v>2</v>
      </c>
      <c r="B310" s="18"/>
      <c r="C310" s="18"/>
      <c r="D310" s="18"/>
      <c r="E310" s="18"/>
      <c r="F310" s="18"/>
      <c r="G310" s="18">
        <v>2</v>
      </c>
      <c r="I310" s="18">
        <v>2</v>
      </c>
      <c r="J310" s="18"/>
      <c r="K310" s="18"/>
      <c r="L310" s="18"/>
      <c r="M310" s="18"/>
      <c r="N310" s="18"/>
      <c r="O310" s="18">
        <v>2</v>
      </c>
    </row>
    <row r="311">
      <c r="A311" s="18">
        <v>3</v>
      </c>
      <c r="B311" s="18"/>
      <c r="C311" s="18"/>
      <c r="D311" s="18"/>
      <c r="E311" s="18"/>
      <c r="F311" s="18"/>
      <c r="G311" s="18">
        <v>3</v>
      </c>
      <c r="I311" s="18">
        <v>3</v>
      </c>
      <c r="J311" s="18"/>
      <c r="K311" s="18"/>
      <c r="L311" s="18"/>
      <c r="M311" s="18"/>
      <c r="N311" s="18"/>
      <c r="O311" s="18">
        <v>3</v>
      </c>
    </row>
    <row r="312">
      <c r="A312" s="18">
        <v>4</v>
      </c>
      <c r="B312" s="18"/>
      <c r="C312" s="18"/>
      <c r="D312" s="18"/>
      <c r="E312" s="18"/>
      <c r="F312" s="18"/>
      <c r="G312" s="18">
        <v>4</v>
      </c>
      <c r="I312" s="18">
        <v>4</v>
      </c>
      <c r="J312" s="18"/>
      <c r="K312" s="18"/>
      <c r="L312" s="18"/>
      <c r="M312" s="18"/>
      <c r="N312" s="18"/>
      <c r="O312" s="18">
        <v>4</v>
      </c>
    </row>
    <row r="313">
      <c r="A313" s="18">
        <v>5</v>
      </c>
      <c r="B313" s="18"/>
      <c r="C313" s="18"/>
      <c r="D313" s="18"/>
      <c r="E313" s="18"/>
      <c r="F313" s="18"/>
      <c r="G313" s="18">
        <v>5</v>
      </c>
      <c r="I313" s="18">
        <v>5</v>
      </c>
      <c r="J313" s="18"/>
      <c r="K313" s="18"/>
      <c r="L313" s="18"/>
      <c r="M313" s="18"/>
      <c r="N313" s="18"/>
      <c r="O313" s="18">
        <v>5</v>
      </c>
    </row>
    <row r="315">
      <c r="A315" s="17" t="s">
        <v>238</v>
      </c>
      <c r="B315" s="14"/>
      <c r="C315" s="14"/>
      <c r="D315" s="14" t="s">
        <v>239</v>
      </c>
      <c r="E315" s="14"/>
      <c r="F315" s="14"/>
      <c r="G315" s="16" t="s">
        <v>240</v>
      </c>
      <c r="I315" s="17" t="s">
        <v>238</v>
      </c>
      <c r="J315" s="14"/>
      <c r="K315" s="14"/>
      <c r="L315" s="14" t="s">
        <v>239</v>
      </c>
      <c r="M315" s="14"/>
      <c r="N315" s="14"/>
      <c r="O315" s="16" t="s">
        <v>240</v>
      </c>
    </row>
    <row r="316">
      <c r="A316" s="14" t="str">
        <f>data!$B$27</f>
      </c>
      <c r="B316" s="18" t="str">
        <f>SUMPRODUCT((UPPER(D317:D321)&lt;&gt;"X")*((LEN(SUBSTITUTE(SUBSTITUTE(SUBSTITUTE(B317:B321," ",""),"0",""),"-",""))+LEN(SUBSTITUTE(SUBSTITUTE(SUBSTITUTE(C317:C321," ",""),"0",""),"-","")))&gt;(LEN(SUBSTITUTE(SUBSTITUTE(SUBSTITUTE(E317:E321," ",""),"0",""),"-",""))+LEN(SUBSTITUTE(SUBSTITUTE(SUBSTITUTE(F317:F321," ",""),"0",""),"-",""))))*1)</f>
      </c>
      <c r="C316" s="18" t="str">
        <f>SUMPRODUCT(LEN(SUBSTITUTE(SUBSTITUTE(SUBSTITUTE(B317:B321," ",""),"0",""),"-",""))+LEN(SUBSTITUTE(SUBSTITUTE(SUBSTITUTE(C317:C321," ",""),"0",""),"-","")))</f>
      </c>
      <c r="D316" s="18"/>
      <c r="E316" s="18" t="str">
        <f>SUMPRODUCT(LEN(SUBSTITUTE(SUBSTITUTE(SUBSTITUTE(E317:E321," ",""),"0",""),"-",""))+LEN(SUBSTITUTE(SUBSTITUTE(SUBSTITUTE(F317:F321," ",""),"0",""),"-","")))</f>
      </c>
      <c r="F316" s="18" t="str">
        <f>SUMPRODUCT((UPPER(D317:D321)&lt;&gt;"X")*((LEN(SUBSTITUTE(SUBSTITUTE(SUBSTITUTE(E317:E321," ",""),"0",""),"-",""))+LEN(SUBSTITUTE(SUBSTITUTE(SUBSTITUTE(F317:F321," ",""),"0",""),"-","")))&gt;(LEN(SUBSTITUTE(SUBSTITUTE(SUBSTITUTE(B317:B321," ",""),"0",""),"-",""))+LEN(SUBSTITUTE(SUBSTITUTE(SUBSTITUTE(C317:C321," ",""),"0",""),"-",""))))*1)</f>
      </c>
      <c r="G316" s="14" t="str">
        <f>data!$B$25</f>
      </c>
      <c r="I316" s="14" t="str">
        <f>data!$B$72</f>
      </c>
      <c r="J316" s="18" t="str">
        <f>SUMPRODUCT((UPPER(L317:L321)&lt;&gt;"X")*((LEN(SUBSTITUTE(SUBSTITUTE(SUBSTITUTE(J317:J321," ",""),"0",""),"-",""))+LEN(SUBSTITUTE(SUBSTITUTE(SUBSTITUTE(K317:K321," ",""),"0",""),"-","")))&gt;(LEN(SUBSTITUTE(SUBSTITUTE(SUBSTITUTE(M317:M321," ",""),"0",""),"-",""))+LEN(SUBSTITUTE(SUBSTITUTE(SUBSTITUTE(N317:N321," ",""),"0",""),"-",""))))*1)</f>
      </c>
      <c r="K316" s="18" t="str">
        <f>SUMPRODUCT(LEN(SUBSTITUTE(SUBSTITUTE(SUBSTITUTE(J317:J321," ",""),"0",""),"-",""))+LEN(SUBSTITUTE(SUBSTITUTE(SUBSTITUTE(K317:K321," ",""),"0",""),"-","")))</f>
      </c>
      <c r="L316" s="18"/>
      <c r="M316" s="18" t="str">
        <f>SUMPRODUCT(LEN(SUBSTITUTE(SUBSTITUTE(SUBSTITUTE(M317:M321," ",""),"0",""),"-",""))+LEN(SUBSTITUTE(SUBSTITUTE(SUBSTITUTE(N317:N321," ",""),"0",""),"-","")))</f>
      </c>
      <c r="N316" s="18" t="str">
        <f>SUMPRODUCT((UPPER(L317:L321)&lt;&gt;"X")*((LEN(SUBSTITUTE(SUBSTITUTE(SUBSTITUTE(M317:M321," ",""),"0",""),"-",""))+LEN(SUBSTITUTE(SUBSTITUTE(SUBSTITUTE(N317:N321," ",""),"0",""),"-","")))&gt;(LEN(SUBSTITUTE(SUBSTITUTE(SUBSTITUTE(J317:J321," ",""),"0",""),"-",""))+LEN(SUBSTITUTE(SUBSTITUTE(SUBSTITUTE(K317:K321," ",""),"0",""),"-",""))))*1)</f>
      </c>
      <c r="O316" s="14" t="str">
        <f>data!$B$70</f>
      </c>
    </row>
    <row r="317">
      <c r="A317" s="18">
        <v>1</v>
      </c>
      <c r="B317" s="18"/>
      <c r="C317" s="18"/>
      <c r="D317" s="18"/>
      <c r="E317" s="18"/>
      <c r="F317" s="18"/>
      <c r="G317" s="18">
        <v>1</v>
      </c>
      <c r="I317" s="18">
        <v>1</v>
      </c>
      <c r="J317" s="18"/>
      <c r="K317" s="18"/>
      <c r="L317" s="18"/>
      <c r="M317" s="18"/>
      <c r="N317" s="18"/>
      <c r="O317" s="18">
        <v>1</v>
      </c>
    </row>
    <row r="318">
      <c r="A318" s="18">
        <v>2</v>
      </c>
      <c r="B318" s="18"/>
      <c r="C318" s="18"/>
      <c r="D318" s="18"/>
      <c r="E318" s="18"/>
      <c r="F318" s="18"/>
      <c r="G318" s="18">
        <v>2</v>
      </c>
      <c r="I318" s="18">
        <v>2</v>
      </c>
      <c r="J318" s="18"/>
      <c r="K318" s="18"/>
      <c r="L318" s="18"/>
      <c r="M318" s="18"/>
      <c r="N318" s="18"/>
      <c r="O318" s="18">
        <v>2</v>
      </c>
    </row>
    <row r="319">
      <c r="A319" s="18">
        <v>3</v>
      </c>
      <c r="B319" s="18"/>
      <c r="C319" s="18"/>
      <c r="D319" s="18"/>
      <c r="E319" s="18"/>
      <c r="F319" s="18"/>
      <c r="G319" s="18">
        <v>3</v>
      </c>
      <c r="I319" s="18">
        <v>3</v>
      </c>
      <c r="J319" s="18"/>
      <c r="K319" s="18"/>
      <c r="L319" s="18"/>
      <c r="M319" s="18"/>
      <c r="N319" s="18"/>
      <c r="O319" s="18">
        <v>3</v>
      </c>
    </row>
    <row r="320">
      <c r="A320" s="18">
        <v>4</v>
      </c>
      <c r="B320" s="18"/>
      <c r="C320" s="18"/>
      <c r="D320" s="18"/>
      <c r="E320" s="18"/>
      <c r="F320" s="18"/>
      <c r="G320" s="18">
        <v>4</v>
      </c>
      <c r="I320" s="18">
        <v>4</v>
      </c>
      <c r="J320" s="18"/>
      <c r="K320" s="18"/>
      <c r="L320" s="18"/>
      <c r="M320" s="18"/>
      <c r="N320" s="18"/>
      <c r="O320" s="18">
        <v>4</v>
      </c>
    </row>
    <row r="321">
      <c r="A321" s="18">
        <v>5</v>
      </c>
      <c r="B321" s="18"/>
      <c r="C321" s="18"/>
      <c r="D321" s="18"/>
      <c r="E321" s="18"/>
      <c r="F321" s="18"/>
      <c r="G321" s="18">
        <v>5</v>
      </c>
      <c r="I321" s="18">
        <v>5</v>
      </c>
      <c r="J321" s="18"/>
      <c r="K321" s="18"/>
      <c r="L321" s="18"/>
      <c r="M321" s="18"/>
      <c r="N321" s="18"/>
      <c r="O321" s="18">
        <v>5</v>
      </c>
    </row>
    <row r="323">
      <c r="A323" s="17" t="s">
        <v>238</v>
      </c>
      <c r="B323" s="14"/>
      <c r="C323" s="14"/>
      <c r="D323" s="14" t="s">
        <v>239</v>
      </c>
      <c r="E323" s="14"/>
      <c r="F323" s="14"/>
      <c r="G323" s="16" t="s">
        <v>240</v>
      </c>
      <c r="I323" s="17" t="s">
        <v>238</v>
      </c>
      <c r="J323" s="14"/>
      <c r="K323" s="14"/>
      <c r="L323" s="14" t="s">
        <v>239</v>
      </c>
      <c r="M323" s="14"/>
      <c r="N323" s="14"/>
      <c r="O323" s="16" t="s">
        <v>240</v>
      </c>
    </row>
    <row r="324">
      <c r="A324" s="14" t="str">
        <f>data!$B$27</f>
      </c>
      <c r="B324" s="18" t="str">
        <f>SUMPRODUCT((UPPER(D325:D329)&lt;&gt;"X")*((LEN(SUBSTITUTE(SUBSTITUTE(SUBSTITUTE(B325:B329," ",""),"0",""),"-",""))+LEN(SUBSTITUTE(SUBSTITUTE(SUBSTITUTE(C325:C329," ",""),"0",""),"-","")))&gt;(LEN(SUBSTITUTE(SUBSTITUTE(SUBSTITUTE(E325:E329," ",""),"0",""),"-",""))+LEN(SUBSTITUTE(SUBSTITUTE(SUBSTITUTE(F325:F329," ",""),"0",""),"-",""))))*1)</f>
      </c>
      <c r="C324" s="18" t="str">
        <f>SUMPRODUCT(LEN(SUBSTITUTE(SUBSTITUTE(SUBSTITUTE(B325:B329," ",""),"0",""),"-",""))+LEN(SUBSTITUTE(SUBSTITUTE(SUBSTITUTE(C325:C329," ",""),"0",""),"-","")))</f>
      </c>
      <c r="D324" s="18"/>
      <c r="E324" s="18" t="str">
        <f>SUMPRODUCT(LEN(SUBSTITUTE(SUBSTITUTE(SUBSTITUTE(E325:E329," ",""),"0",""),"-",""))+LEN(SUBSTITUTE(SUBSTITUTE(SUBSTITUTE(F325:F329," ",""),"0",""),"-","")))</f>
      </c>
      <c r="F324" s="18" t="str">
        <f>SUMPRODUCT((UPPER(D325:D329)&lt;&gt;"X")*((LEN(SUBSTITUTE(SUBSTITUTE(SUBSTITUTE(E325:E329," ",""),"0",""),"-",""))+LEN(SUBSTITUTE(SUBSTITUTE(SUBSTITUTE(F325:F329," ",""),"0",""),"-","")))&gt;(LEN(SUBSTITUTE(SUBSTITUTE(SUBSTITUTE(B325:B329," ",""),"0",""),"-",""))+LEN(SUBSTITUTE(SUBSTITUTE(SUBSTITUTE(C325:C329," ",""),"0",""),"-",""))))*1)</f>
      </c>
      <c r="G324" s="14" t="str">
        <f>data!$B$26</f>
      </c>
      <c r="I324" s="14" t="str">
        <f>data!$B$72</f>
      </c>
      <c r="J324" s="18" t="str">
        <f>SUMPRODUCT((UPPER(L325:L329)&lt;&gt;"X")*((LEN(SUBSTITUTE(SUBSTITUTE(SUBSTITUTE(J325:J329," ",""),"0",""),"-",""))+LEN(SUBSTITUTE(SUBSTITUTE(SUBSTITUTE(K325:K329," ",""),"0",""),"-","")))&gt;(LEN(SUBSTITUTE(SUBSTITUTE(SUBSTITUTE(M325:M329," ",""),"0",""),"-",""))+LEN(SUBSTITUTE(SUBSTITUTE(SUBSTITUTE(N325:N329," ",""),"0",""),"-",""))))*1)</f>
      </c>
      <c r="K324" s="18" t="str">
        <f>SUMPRODUCT(LEN(SUBSTITUTE(SUBSTITUTE(SUBSTITUTE(J325:J329," ",""),"0",""),"-",""))+LEN(SUBSTITUTE(SUBSTITUTE(SUBSTITUTE(K325:K329," ",""),"0",""),"-","")))</f>
      </c>
      <c r="L324" s="18"/>
      <c r="M324" s="18" t="str">
        <f>SUMPRODUCT(LEN(SUBSTITUTE(SUBSTITUTE(SUBSTITUTE(M325:M329," ",""),"0",""),"-",""))+LEN(SUBSTITUTE(SUBSTITUTE(SUBSTITUTE(N325:N329," ",""),"0",""),"-","")))</f>
      </c>
      <c r="N324" s="18" t="str">
        <f>SUMPRODUCT((UPPER(L325:L329)&lt;&gt;"X")*((LEN(SUBSTITUTE(SUBSTITUTE(SUBSTITUTE(M325:M329," ",""),"0",""),"-",""))+LEN(SUBSTITUTE(SUBSTITUTE(SUBSTITUTE(N325:N329," ",""),"0",""),"-","")))&gt;(LEN(SUBSTITUTE(SUBSTITUTE(SUBSTITUTE(J325:J329," ",""),"0",""),"-",""))+LEN(SUBSTITUTE(SUBSTITUTE(SUBSTITUTE(K325:K329," ",""),"0",""),"-",""))))*1)</f>
      </c>
      <c r="O324" s="14" t="str">
        <f>data!$B$71</f>
      </c>
    </row>
    <row r="325">
      <c r="A325" s="18">
        <v>1</v>
      </c>
      <c r="B325" s="18"/>
      <c r="C325" s="18"/>
      <c r="D325" s="18"/>
      <c r="E325" s="18"/>
      <c r="F325" s="18"/>
      <c r="G325" s="18">
        <v>1</v>
      </c>
      <c r="I325" s="18">
        <v>1</v>
      </c>
      <c r="J325" s="18"/>
      <c r="K325" s="18"/>
      <c r="L325" s="18"/>
      <c r="M325" s="18"/>
      <c r="N325" s="18"/>
      <c r="O325" s="18">
        <v>1</v>
      </c>
    </row>
    <row r="326">
      <c r="A326" s="18">
        <v>2</v>
      </c>
      <c r="B326" s="18"/>
      <c r="C326" s="18"/>
      <c r="D326" s="18"/>
      <c r="E326" s="18"/>
      <c r="F326" s="18"/>
      <c r="G326" s="18">
        <v>2</v>
      </c>
      <c r="I326" s="18">
        <v>2</v>
      </c>
      <c r="J326" s="18"/>
      <c r="K326" s="18"/>
      <c r="L326" s="18"/>
      <c r="M326" s="18"/>
      <c r="N326" s="18"/>
      <c r="O326" s="18">
        <v>2</v>
      </c>
    </row>
    <row r="327">
      <c r="A327" s="18">
        <v>3</v>
      </c>
      <c r="B327" s="18"/>
      <c r="C327" s="18"/>
      <c r="D327" s="18"/>
      <c r="E327" s="18"/>
      <c r="F327" s="18"/>
      <c r="G327" s="18">
        <v>3</v>
      </c>
      <c r="I327" s="18">
        <v>3</v>
      </c>
      <c r="J327" s="18"/>
      <c r="K327" s="18"/>
      <c r="L327" s="18"/>
      <c r="M327" s="18"/>
      <c r="N327" s="18"/>
      <c r="O327" s="18">
        <v>3</v>
      </c>
    </row>
    <row r="328">
      <c r="A328" s="18">
        <v>4</v>
      </c>
      <c r="B328" s="18"/>
      <c r="C328" s="18"/>
      <c r="D328" s="18"/>
      <c r="E328" s="18"/>
      <c r="F328" s="18"/>
      <c r="G328" s="18">
        <v>4</v>
      </c>
      <c r="I328" s="18">
        <v>4</v>
      </c>
      <c r="J328" s="18"/>
      <c r="K328" s="18"/>
      <c r="L328" s="18"/>
      <c r="M328" s="18"/>
      <c r="N328" s="18"/>
      <c r="O328" s="18">
        <v>4</v>
      </c>
    </row>
    <row r="329">
      <c r="A329" s="18">
        <v>5</v>
      </c>
      <c r="B329" s="18"/>
      <c r="C329" s="18"/>
      <c r="D329" s="18"/>
      <c r="E329" s="18"/>
      <c r="F329" s="18"/>
      <c r="G329" s="18">
        <v>5</v>
      </c>
      <c r="I329" s="18">
        <v>5</v>
      </c>
      <c r="J329" s="18"/>
      <c r="K329" s="18"/>
      <c r="L329" s="18"/>
      <c r="M329" s="18"/>
      <c r="N329" s="18"/>
      <c r="O329" s="18">
        <v>5</v>
      </c>
    </row>
    <row r="332">
      <c r="A332" s="13"/>
      <c r="B332" s="13" t="s">
        <v>241</v>
      </c>
      <c r="C332" s="13" t="s">
        <v>242</v>
      </c>
      <c r="D332" s="13" t="s">
        <v>243</v>
      </c>
      <c r="I332" s="13"/>
      <c r="J332" s="13" t="s">
        <v>241</v>
      </c>
      <c r="K332" s="13" t="s">
        <v>242</v>
      </c>
      <c r="L332" s="13" t="s">
        <v>243</v>
      </c>
    </row>
    <row r="333">
      <c r="A333" t="str">
        <f>data!$B$25</f>
      </c>
      <c r="B333" s="14" t="str">
        <f>IF(OR(COUNTA(B309:C313,E309:F313)&gt;0,OR(D308="X",D308="x")),IF(OR(D308="X",D308="x"),0,IF(OR(F308&gt;B308,AND(F308=B308,E308&gt;C308)),1,0)),0)+IF(OR(COUNTA(B317:C321,E317:F321)&gt;0,OR(D316="X",D316="x")),IF(OR(D316="X",D316="x"),0,IF(OR(F316&gt;B316,AND(F316=B316,E316&gt;C316)),1,0)),0)</f>
      </c>
      <c r="C333" s="14" t="str">
        <f>IF(OR(COUNTA(B309:C313,E309:F313)&gt;0,OR(D308="X",D308="x")),IF(OR(D308="X",D308="x"),0,IF(OR(F308&lt;B308,AND(F308=B308,E308&lt;C308)),1,0)),0)+IF(OR(COUNTA(B317:C321,E317:F321)&gt;0,OR(D316="X",D316="x")),IF(OR(D316="X",D316="x"),0,IF(OR(F316&lt;B316,AND(F316=B316,E316&lt;C316)),1,0)),0)</f>
      </c>
      <c r="D333" s="14" t="str">
        <f>IF(OR(COUNTA(B309:C313,E309:F313)&gt;0,OR(D308="X",D308="x")),IF(OR(D308="X",D308="x"),1,0),0)+IF(OR(COUNTA(B317:C321,E317:F321)&gt;0,OR(D316="X",D316="x")),IF(OR(D316="X",D316="x"),1,0),0)</f>
      </c>
      <c r="I333" t="str">
        <f>data!$B$70</f>
      </c>
      <c r="J333" s="14" t="str">
        <f>IF(OR(COUNTA(J309:K313,M309:N313)&gt;0,OR(L308="X",L308="x")),IF(OR(L308="X",L308="x"),0,IF(OR(N308&gt;J308,AND(N308=J308,M308&gt;K308)),1,0)),0)+IF(OR(COUNTA(J317:K321,M317:N321)&gt;0,OR(L316="X",L316="x")),IF(OR(L316="X",L316="x"),0,IF(OR(N316&gt;J316,AND(N316=J316,M316&gt;K316)),1,0)),0)</f>
      </c>
      <c r="K333" s="14" t="str">
        <f>IF(OR(COUNTA(J309:K313,M309:N313)&gt;0,OR(L308="X",L308="x")),IF(OR(L308="X",L308="x"),0,IF(OR(N308&lt;J308,AND(N308=J308,M308&lt;K308)),1,0)),0)+IF(OR(COUNTA(J317:K321,M317:N321)&gt;0,OR(L316="X",L316="x")),IF(OR(L316="X",L316="x"),0,IF(OR(N316&lt;J316,AND(N316=J316,M316&lt;K316)),1,0)),0)</f>
      </c>
      <c r="L333" s="14" t="str">
        <f>IF(OR(COUNTA(J309:K313,M309:N313)&gt;0,OR(L308="X",L308="x")),IF(OR(L308="X",L308="x"),1,0),0)+IF(OR(COUNTA(J317:K321,M317:N321)&gt;0,OR(L316="X",L316="x")),IF(OR(L316="X",L316="x"),1,0),0)</f>
      </c>
    </row>
    <row r="334">
      <c r="A334" t="str">
        <f>data!$B$26</f>
      </c>
      <c r="B334" s="14" t="str">
        <f>IF(OR(COUNTA(B309:C313,E309:F313)&gt;0,OR(D308="X",D308="x")),IF(OR(D308="X",D308="x"),0,IF(OR(B308&gt;F308,AND(B308=F308,C308&gt;E308)),1,0)),0)+IF(OR(COUNTA(B325:C329,E325:F329)&gt;0,OR(D324="X",D324="x")),IF(OR(D324="X",D324="x"),0,IF(OR(F324&gt;B324,AND(F324=B324,E324&gt;C324)),1,0)),0)</f>
      </c>
      <c r="C334" s="14" t="str">
        <f>IF(OR(COUNTA(B309:C313,E309:F313)&gt;0,OR(D308="X",D308="x")),IF(OR(D308="X",D308="x"),0,IF(OR(B308&lt;F308,AND(B308=F308,C308&lt;E308)),1,0)),0)+IF(OR(COUNTA(B325:C329,E325:F329)&gt;0,OR(D324="X",D324="x")),IF(OR(D324="X",D324="x"),0,IF(OR(F324&lt;B324,AND(F324=B324,E324&lt;C324)),1,0)),0)</f>
      </c>
      <c r="D334" s="14" t="str">
        <f>IF(OR(COUNTA(B309:C313,E309:F313)&gt;0,OR(D308="X",D308="x")),IF(OR(D308="X",D308="x"),1,0),0)+IF(OR(COUNTA(B325:C329,E325:F329)&gt;0,OR(D324="X",D324="x")),IF(OR(D324="X",D324="x"),1,0),0)</f>
      </c>
      <c r="I334" t="str">
        <f>data!$B$71</f>
      </c>
      <c r="J334" s="14" t="str">
        <f>IF(OR(COUNTA(J309:K313,M309:N313)&gt;0,OR(L308="X",L308="x")),IF(OR(L308="X",L308="x"),0,IF(OR(J308&gt;N308,AND(J308=N308,K308&gt;M308)),1,0)),0)+IF(OR(COUNTA(J325:K329,M325:N329)&gt;0,OR(L324="X",L324="x")),IF(OR(L324="X",L324="x"),0,IF(OR(N324&gt;J324,AND(N324=J324,M324&gt;K324)),1,0)),0)</f>
      </c>
      <c r="K334" s="14" t="str">
        <f>IF(OR(COUNTA(J309:K313,M309:N313)&gt;0,OR(L308="X",L308="x")),IF(OR(L308="X",L308="x"),0,IF(OR(J308&lt;N308,AND(J308=N308,K308&lt;M308)),1,0)),0)+IF(OR(COUNTA(J325:K329,M325:N329)&gt;0,OR(L324="X",L324="x")),IF(OR(L324="X",L324="x"),0,IF(OR(N324&lt;J324,AND(N324=J324,M324&lt;K324)),1,0)),0)</f>
      </c>
      <c r="L334" s="14" t="str">
        <f>IF(OR(COUNTA(J309:K313,M309:N313)&gt;0,OR(L308="X",L308="x")),IF(OR(L308="X",L308="x"),1,0),0)+IF(OR(COUNTA(J325:K329,M325:N329)&gt;0,OR(L324="X",L324="x")),IF(OR(L324="X",L324="x"),1,0),0)</f>
      </c>
    </row>
    <row r="335">
      <c r="A335" t="str">
        <f>data!$B$27</f>
      </c>
      <c r="B335" s="14" t="str">
        <f>IF(OR(COUNTA(B317:C321,E317:F321)&gt;0,OR(D316="X",D316="x")),IF(OR(D316="X",D316="x"),0,IF(OR(B316&gt;F316,AND(B316=F316,C316&gt;E316)),1,0)),0)+IF(OR(COUNTA(B325:C329,E325:F329)&gt;0,OR(D324="X",D324="x")),IF(OR(D324="X",D324="x"),0,IF(OR(B324&gt;F324,AND(B324=F324,C324&gt;E324)),1,0)),0)</f>
      </c>
      <c r="C335" s="14" t="str">
        <f>IF(OR(COUNTA(B317:C321,E317:F321)&gt;0,OR(D316="X",D316="x")),IF(OR(D316="X",D316="x"),0,IF(OR(B316&lt;F316,AND(B316=F316,C316&lt;E316)),1,0)),0)+IF(OR(COUNTA(B325:C329,E325:F329)&gt;0,OR(D324="X",D324="x")),IF(OR(D324="X",D324="x"),0,IF(OR(B324&lt;F324,AND(B324=F324,C324&lt;E324)),1,0)),0)</f>
      </c>
      <c r="D335" s="14" t="str">
        <f>IF(OR(COUNTA(B317:C321,E317:F321)&gt;0,OR(D316="X",D316="x")),IF(OR(D316="X",D316="x"),1,0),0)+IF(OR(COUNTA(B325:C329,E325:F329)&gt;0,OR(D324="X",D324="x")),IF(OR(D324="X",D324="x"),1,0),0)</f>
      </c>
      <c r="I335" t="str">
        <f>data!$B$72</f>
      </c>
      <c r="J335" s="14" t="str">
        <f>IF(OR(COUNTA(J317:K321,M317:N321)&gt;0,OR(L316="X",L316="x")),IF(OR(L316="X",L316="x"),0,IF(OR(J316&gt;N316,AND(J316=N316,K316&gt;M316)),1,0)),0)+IF(OR(COUNTA(J325:K329,M325:N329)&gt;0,OR(L324="X",L324="x")),IF(OR(L324="X",L324="x"),0,IF(OR(J324&gt;N324,AND(J324=N324,K324&gt;M324)),1,0)),0)</f>
      </c>
      <c r="K335" s="14" t="str">
        <f>IF(OR(COUNTA(J317:K321,M317:N321)&gt;0,OR(L316="X",L316="x")),IF(OR(L316="X",L316="x"),0,IF(OR(J316&lt;N316,AND(J316=N316,K316&lt;M316)),1,0)),0)+IF(OR(COUNTA(J325:K329,M325:N329)&gt;0,OR(L324="X",L324="x")),IF(OR(L324="X",L324="x"),0,IF(OR(J324&lt;N324,AND(J324=N324,K324&lt;M324)),1,0)),0)</f>
      </c>
      <c r="L335" s="14" t="str">
        <f>IF(OR(COUNTA(J317:K321,M317:N321)&gt;0,OR(L316="X",L316="x")),IF(OR(L316="X",L316="x"),1,0),0)+IF(OR(COUNTA(J325:K329,M325:N329)&gt;0,OR(L324="X",L324="x")),IF(OR(L324="X",L324="x"),1,0),0)</f>
      </c>
    </row>
    <row r="337">
      <c r="A337" s="13"/>
      <c r="B337" s="13" t="s">
        <v>244</v>
      </c>
      <c r="C337" s="13" t="s">
        <v>245</v>
      </c>
      <c r="D337" s="13" t="s">
        <v>246</v>
      </c>
      <c r="E337" s="13" t="s">
        <v>247</v>
      </c>
      <c r="F337" s="13" t="s">
        <v>248</v>
      </c>
      <c r="I337" s="13"/>
      <c r="J337" s="13" t="s">
        <v>244</v>
      </c>
      <c r="K337" s="13" t="s">
        <v>245</v>
      </c>
      <c r="L337" s="13" t="s">
        <v>246</v>
      </c>
      <c r="M337" s="13" t="s">
        <v>247</v>
      </c>
      <c r="N337" s="13" t="s">
        <v>248</v>
      </c>
    </row>
    <row r="338">
      <c r="A338" t="str">
        <f>data!$B$25</f>
      </c>
      <c r="B338" s="14" t="str">
        <f>IF(OR(COUNTA(B309:C313,E309:F313)&gt;0,OR(D308="X",D308="x")),F308,0)+IF(OR(COUNTA(B317:C321,E317:F321)&gt;0,OR(D316="X",D316="x")),F316,0)</f>
      </c>
      <c r="C338" s="14" t="str">
        <f>IF(OR(COUNTA(B309:C313,E309:F313)&gt;0,OR(D308="X",D308="x")),B308,0)+IF(OR(COUNTA(B317:C321,E317:F321)&gt;0,OR(D316="X",D316="x")),B316,0)</f>
      </c>
      <c r="D338" s="14" t="str">
        <f>IF(OR(COUNTA(B309:C313,E309:F313)&gt;0,OR(D308="X",D308="x")),(IF(OR(D309="X",D309="x"),1,0)+IF(OR(D310="X",D310="x"),1,0)+IF(OR(D311="X",D311="x"),1,0)+IF(OR(D312="X",D312="x"),1,0)+IF(OR(D313="X",D313="x"),1,0)),0)+IF(OR(COUNTA(B317:C321,E317:F321)&gt;0,OR(D316="X",D316="x")),(IF(OR(D317="X",D317="x"),1,0)+IF(OR(D318="X",D318="x"),1,0)+IF(OR(D319="X",D319="x"),1,0)+IF(OR(D320="X",D320="x"),1,0)+IF(OR(D321="X",D321="x"),1,0)),0)</f>
      </c>
      <c r="E338" s="14" t="str">
        <f>E308+E316</f>
      </c>
      <c r="F338" s="14" t="str">
        <f>C308+C316</f>
      </c>
      <c r="I338" t="str">
        <f>data!$B$70</f>
      </c>
      <c r="J338" s="14" t="str">
        <f>IF(OR(COUNTA(J309:K313,M309:N313)&gt;0,OR(L308="X",L308="x")),N308,0)+IF(OR(COUNTA(J317:K321,M317:N321)&gt;0,OR(L316="X",L316="x")),N316,0)</f>
      </c>
      <c r="K338" s="14" t="str">
        <f>IF(OR(COUNTA(J309:K313,M309:N313)&gt;0,OR(L308="X",L308="x")),J308,0)+IF(OR(COUNTA(J317:K321,M317:N321)&gt;0,OR(L316="X",L316="x")),J316,0)</f>
      </c>
      <c r="L338" s="14" t="str">
        <f>IF(OR(COUNTA(J309:K313,M309:N313)&gt;0,OR(L308="X",L308="x")),(IF(OR(L309="X",L309="x"),1,0)+IF(OR(L310="X",L310="x"),1,0)+IF(OR(L311="X",L311="x"),1,0)+IF(OR(L312="X",L312="x"),1,0)+IF(OR(L313="X",L313="x"),1,0)),0)+IF(OR(COUNTA(J317:K321,M317:N321)&gt;0,OR(L316="X",L316="x")),(IF(OR(L317="X",L317="x"),1,0)+IF(OR(L318="X",L318="x"),1,0)+IF(OR(L319="X",L319="x"),1,0)+IF(OR(L320="X",L320="x"),1,0)+IF(OR(L321="X",L321="x"),1,0)),0)</f>
      </c>
      <c r="M338" s="14" t="str">
        <f>M308+M316</f>
      </c>
      <c r="N338" s="14" t="str">
        <f>K308+K316</f>
      </c>
    </row>
    <row r="339">
      <c r="A339" t="str">
        <f>data!$B$26</f>
      </c>
      <c r="B339" s="14" t="str">
        <f>IF(OR(COUNTA(B309:C313,E309:F313)&gt;0,OR(D308="X",D308="x")),B308,0)+IF(OR(COUNTA(B325:C329,E325:F329)&gt;0,OR(D324="X",D324="x")),F324,0)</f>
      </c>
      <c r="C339" s="14" t="str">
        <f>IF(OR(COUNTA(B309:C313,E309:F313)&gt;0,OR(D308="X",D308="x")),F308,0)+IF(OR(COUNTA(B325:C329,E325:F329)&gt;0,OR(D324="X",D324="x")),B324,0)</f>
      </c>
      <c r="D339" s="14" t="str">
        <f>IF(OR(COUNTA(B309:C313,E309:F313)&gt;0,OR(D308="X",D308="x")),(IF(OR(D309="X",D309="x"),1,0)+IF(OR(D310="X",D310="x"),1,0)+IF(OR(D311="X",D311="x"),1,0)+IF(OR(D312="X",D312="x"),1,0)+IF(OR(D313="X",D313="x"),1,0)),0)+IF(OR(COUNTA(B325:C329,E325:F329)&gt;0,OR(D324="X",D324="x")),(IF(OR(D325="X",D325="x"),1,0)+IF(OR(D326="X",D326="x"),1,0)+IF(OR(D327="X",D327="x"),1,0)+IF(OR(D328="X",D328="x"),1,0)+IF(OR(D329="X",D329="x"),1,0)),0)</f>
      </c>
      <c r="E339" s="14" t="str">
        <f>C308+E324</f>
      </c>
      <c r="F339" s="14" t="str">
        <f>E308+C324</f>
      </c>
      <c r="I339" t="str">
        <f>data!$B$71</f>
      </c>
      <c r="J339" s="14" t="str">
        <f>IF(OR(COUNTA(J309:K313,M309:N313)&gt;0,OR(L308="X",L308="x")),J308,0)+IF(OR(COUNTA(J325:K329,M325:N329)&gt;0,OR(L324="X",L324="x")),N324,0)</f>
      </c>
      <c r="K339" s="14" t="str">
        <f>IF(OR(COUNTA(J309:K313,M309:N313)&gt;0,OR(L308="X",L308="x")),N308,0)+IF(OR(COUNTA(J325:K329,M325:N329)&gt;0,OR(L324="X",L324="x")),J324,0)</f>
      </c>
      <c r="L339" s="14" t="str">
        <f>IF(OR(COUNTA(J309:K313,M309:N313)&gt;0,OR(L308="X",L308="x")),(IF(OR(L309="X",L309="x"),1,0)+IF(OR(L310="X",L310="x"),1,0)+IF(OR(L311="X",L311="x"),1,0)+IF(OR(L312="X",L312="x"),1,0)+IF(OR(L313="X",L313="x"),1,0)),0)+IF(OR(COUNTA(J325:K329,M325:N329)&gt;0,OR(L324="X",L324="x")),(IF(OR(L325="X",L325="x"),1,0)+IF(OR(L326="X",L326="x"),1,0)+IF(OR(L327="X",L327="x"),1,0)+IF(OR(L328="X",L328="x"),1,0)+IF(OR(L329="X",L329="x"),1,0)),0)</f>
      </c>
      <c r="M339" s="14" t="str">
        <f>K308+M324</f>
      </c>
      <c r="N339" s="14" t="str">
        <f>M308+K324</f>
      </c>
    </row>
    <row r="340">
      <c r="A340" t="str">
        <f>data!$B$27</f>
      </c>
      <c r="B340" s="14" t="str">
        <f>IF(OR(COUNTA(B317:C321,E317:F321)&gt;0,OR(D316="X",D316="x")),B316,0)+IF(OR(COUNTA(B325:C329,E325:F329)&gt;0,OR(D324="X",D324="x")),B324,0)</f>
      </c>
      <c r="C340" s="14" t="str">
        <f>IF(OR(COUNTA(B317:C321,E317:F321)&gt;0,OR(D316="X",D316="x")),F316,0)+IF(OR(COUNTA(B325:C329,E325:F329)&gt;0,OR(D324="X",D324="x")),F324,0)</f>
      </c>
      <c r="D340" s="14" t="str">
        <f>IF(OR(COUNTA(B317:C321,E317:F321)&gt;0,OR(D316="X",D316="x")),(IF(OR(D317="X",D317="x"),1,0)+IF(OR(D318="X",D318="x"),1,0)+IF(OR(D319="X",D319="x"),1,0)+IF(OR(D320="X",D320="x"),1,0)+IF(OR(D321="X",D321="x"),1,0)),0)+IF(OR(COUNTA(B325:C329,E325:F329)&gt;0,OR(D324="X",D324="x")),(IF(OR(D325="X",D325="x"),1,0)+IF(OR(D326="X",D326="x"),1,0)+IF(OR(D327="X",D327="x"),1,0)+IF(OR(D328="X",D328="x"),1,0)+IF(OR(D329="X",D329="x"),1,0)),0)</f>
      </c>
      <c r="E340" s="14" t="str">
        <f>C316+C324</f>
      </c>
      <c r="F340" s="14" t="str">
        <f>E316+E324</f>
      </c>
      <c r="I340" t="str">
        <f>data!$B$72</f>
      </c>
      <c r="J340" s="14" t="str">
        <f>IF(OR(COUNTA(J317:K321,M317:N321)&gt;0,OR(L316="X",L316="x")),J316,0)+IF(OR(COUNTA(J325:K329,M325:N329)&gt;0,OR(L324="X",L324="x")),J324,0)</f>
      </c>
      <c r="K340" s="14" t="str">
        <f>IF(OR(COUNTA(J317:K321,M317:N321)&gt;0,OR(L316="X",L316="x")),N316,0)+IF(OR(COUNTA(J325:K329,M325:N329)&gt;0,OR(L324="X",L324="x")),N324,0)</f>
      </c>
      <c r="L340" s="14" t="str">
        <f>IF(OR(COUNTA(J317:K321,M317:N321)&gt;0,OR(L316="X",L316="x")),(IF(OR(L317="X",L317="x"),1,0)+IF(OR(L318="X",L318="x"),1,0)+IF(OR(L319="X",L319="x"),1,0)+IF(OR(L320="X",L320="x"),1,0)+IF(OR(L321="X",L321="x"),1,0)),0)+IF(OR(COUNTA(J325:K329,M325:N329)&gt;0,OR(L324="X",L324="x")),(IF(OR(L325="X",L325="x"),1,0)+IF(OR(L326="X",L326="x"),1,0)+IF(OR(L327="X",L327="x"),1,0)+IF(OR(L328="X",L328="x"),1,0)+IF(OR(L329="X",L329="x"),1,0)),0)</f>
      </c>
      <c r="M340" s="14" t="str">
        <f>K316+K324</f>
      </c>
      <c r="N340" s="14" t="str">
        <f>M316+M324</f>
      </c>
    </row>
    <row r="343">
      <c r="F343" s="13"/>
      <c r="G343" s="13" t="s">
        <v>249</v>
      </c>
      <c r="N343" s="13"/>
      <c r="O343" s="13" t="s">
        <v>249</v>
      </c>
    </row>
    <row r="344">
      <c r="F344" t="s">
        <v>250</v>
      </c>
      <c r="G344" s="19"/>
      <c r="N344" t="s">
        <v>250</v>
      </c>
      <c r="O344" s="19"/>
    </row>
    <row r="345">
      <c r="F345" t="s">
        <v>251</v>
      </c>
      <c r="G345" s="19"/>
      <c r="N345" t="s">
        <v>251</v>
      </c>
      <c r="O345" s="19"/>
    </row>
    <row r="346">
      <c r="F346" t="s">
        <v>252</v>
      </c>
      <c r="G346" s="19"/>
      <c r="N346" t="s">
        <v>252</v>
      </c>
      <c r="O346" s="19"/>
    </row>
    <row r="348">
      <c r="A348" s="13" t="str">
        <f>data!$A$30</f>
      </c>
      <c r="B348" s="13"/>
      <c r="C348" s="13"/>
      <c r="D348" s="13"/>
      <c r="E348" s="13"/>
      <c r="F348" s="13"/>
      <c r="G348" s="13"/>
      <c r="I348" s="13" t="str">
        <f>data!$A$75</f>
      </c>
      <c r="J348" s="13"/>
      <c r="K348" s="13"/>
      <c r="L348" s="13"/>
      <c r="M348" s="13"/>
      <c r="N348" s="13"/>
      <c r="O348" s="13"/>
    </row>
    <row r="349">
      <c r="A349" s="17" t="s">
        <v>238</v>
      </c>
      <c r="B349" s="14"/>
      <c r="C349" s="14"/>
      <c r="D349" s="14" t="s">
        <v>239</v>
      </c>
      <c r="E349" s="14"/>
      <c r="F349" s="14"/>
      <c r="G349" s="16" t="s">
        <v>240</v>
      </c>
      <c r="I349" s="17" t="s">
        <v>238</v>
      </c>
      <c r="J349" s="14"/>
      <c r="K349" s="14"/>
      <c r="L349" s="14" t="s">
        <v>239</v>
      </c>
      <c r="M349" s="14"/>
      <c r="N349" s="14"/>
      <c r="O349" s="16" t="s">
        <v>240</v>
      </c>
    </row>
    <row r="350">
      <c r="A350" s="14" t="str">
        <f>data!$B$29</f>
      </c>
      <c r="B350" s="18" t="str">
        <f>SUMPRODUCT((UPPER(D351:D355)&lt;&gt;"X")*((LEN(SUBSTITUTE(SUBSTITUTE(SUBSTITUTE(B351:B355," ",""),"0",""),"-",""))+LEN(SUBSTITUTE(SUBSTITUTE(SUBSTITUTE(C351:C355," ",""),"0",""),"-","")))&gt;(LEN(SUBSTITUTE(SUBSTITUTE(SUBSTITUTE(E351:E355," ",""),"0",""),"-",""))+LEN(SUBSTITUTE(SUBSTITUTE(SUBSTITUTE(F351:F355," ",""),"0",""),"-",""))))*1)</f>
      </c>
      <c r="C350" s="18" t="str">
        <f>SUMPRODUCT(LEN(SUBSTITUTE(SUBSTITUTE(SUBSTITUTE(B351:B355," ",""),"0",""),"-",""))+LEN(SUBSTITUTE(SUBSTITUTE(SUBSTITUTE(C351:C355," ",""),"0",""),"-","")))</f>
      </c>
      <c r="D350" s="18"/>
      <c r="E350" s="18" t="str">
        <f>SUMPRODUCT(LEN(SUBSTITUTE(SUBSTITUTE(SUBSTITUTE(E351:E355," ",""),"0",""),"-",""))+LEN(SUBSTITUTE(SUBSTITUTE(SUBSTITUTE(F351:F355," ",""),"0",""),"-","")))</f>
      </c>
      <c r="F350" s="18" t="str">
        <f>SUMPRODUCT((UPPER(D351:D355)&lt;&gt;"X")*((LEN(SUBSTITUTE(SUBSTITUTE(SUBSTITUTE(E351:E355," ",""),"0",""),"-",""))+LEN(SUBSTITUTE(SUBSTITUTE(SUBSTITUTE(F351:F355," ",""),"0",""),"-","")))&gt;(LEN(SUBSTITUTE(SUBSTITUTE(SUBSTITUTE(B351:B355," ",""),"0",""),"-",""))+LEN(SUBSTITUTE(SUBSTITUTE(SUBSTITUTE(C351:C355," ",""),"0",""),"-",""))))*1)</f>
      </c>
      <c r="G350" s="14" t="str">
        <f>data!$B$28</f>
      </c>
      <c r="I350" s="14" t="str">
        <f>data!$B$74</f>
      </c>
      <c r="J350" s="18" t="str">
        <f>SUMPRODUCT((UPPER(L351:L355)&lt;&gt;"X")*((LEN(SUBSTITUTE(SUBSTITUTE(SUBSTITUTE(J351:J355," ",""),"0",""),"-",""))+LEN(SUBSTITUTE(SUBSTITUTE(SUBSTITUTE(K351:K355," ",""),"0",""),"-","")))&gt;(LEN(SUBSTITUTE(SUBSTITUTE(SUBSTITUTE(M351:M355," ",""),"0",""),"-",""))+LEN(SUBSTITUTE(SUBSTITUTE(SUBSTITUTE(N351:N355," ",""),"0",""),"-",""))))*1)</f>
      </c>
      <c r="K350" s="18" t="str">
        <f>SUMPRODUCT(LEN(SUBSTITUTE(SUBSTITUTE(SUBSTITUTE(J351:J355," ",""),"0",""),"-",""))+LEN(SUBSTITUTE(SUBSTITUTE(SUBSTITUTE(K351:K355," ",""),"0",""),"-","")))</f>
      </c>
      <c r="L350" s="18"/>
      <c r="M350" s="18" t="str">
        <f>SUMPRODUCT(LEN(SUBSTITUTE(SUBSTITUTE(SUBSTITUTE(M351:M355," ",""),"0",""),"-",""))+LEN(SUBSTITUTE(SUBSTITUTE(SUBSTITUTE(N351:N355," ",""),"0",""),"-","")))</f>
      </c>
      <c r="N350" s="18" t="str">
        <f>SUMPRODUCT((UPPER(L351:L355)&lt;&gt;"X")*((LEN(SUBSTITUTE(SUBSTITUTE(SUBSTITUTE(M351:M355," ",""),"0",""),"-",""))+LEN(SUBSTITUTE(SUBSTITUTE(SUBSTITUTE(N351:N355," ",""),"0",""),"-","")))&gt;(LEN(SUBSTITUTE(SUBSTITUTE(SUBSTITUTE(J351:J355," ",""),"0",""),"-",""))+LEN(SUBSTITUTE(SUBSTITUTE(SUBSTITUTE(K351:K355," ",""),"0",""),"-",""))))*1)</f>
      </c>
      <c r="O350" s="14" t="str">
        <f>data!$B$73</f>
      </c>
    </row>
    <row r="351">
      <c r="A351" s="18">
        <v>1</v>
      </c>
      <c r="B351" s="18"/>
      <c r="C351" s="18"/>
      <c r="D351" s="18"/>
      <c r="E351" s="18"/>
      <c r="F351" s="18"/>
      <c r="G351" s="18">
        <v>1</v>
      </c>
      <c r="I351" s="18">
        <v>1</v>
      </c>
      <c r="J351" s="18"/>
      <c r="K351" s="18"/>
      <c r="L351" s="18"/>
      <c r="M351" s="18"/>
      <c r="N351" s="18"/>
      <c r="O351" s="18">
        <v>1</v>
      </c>
    </row>
    <row r="352">
      <c r="A352" s="18">
        <v>2</v>
      </c>
      <c r="B352" s="18"/>
      <c r="C352" s="18"/>
      <c r="D352" s="18"/>
      <c r="E352" s="18"/>
      <c r="F352" s="18"/>
      <c r="G352" s="18">
        <v>2</v>
      </c>
      <c r="I352" s="18">
        <v>2</v>
      </c>
      <c r="J352" s="18"/>
      <c r="K352" s="18"/>
      <c r="L352" s="18"/>
      <c r="M352" s="18"/>
      <c r="N352" s="18"/>
      <c r="O352" s="18">
        <v>2</v>
      </c>
    </row>
    <row r="353">
      <c r="A353" s="18">
        <v>3</v>
      </c>
      <c r="B353" s="18"/>
      <c r="C353" s="18"/>
      <c r="D353" s="18"/>
      <c r="E353" s="18"/>
      <c r="F353" s="18"/>
      <c r="G353" s="18">
        <v>3</v>
      </c>
      <c r="I353" s="18">
        <v>3</v>
      </c>
      <c r="J353" s="18"/>
      <c r="K353" s="18"/>
      <c r="L353" s="18"/>
      <c r="M353" s="18"/>
      <c r="N353" s="18"/>
      <c r="O353" s="18">
        <v>3</v>
      </c>
    </row>
    <row r="354">
      <c r="A354" s="18">
        <v>4</v>
      </c>
      <c r="B354" s="18"/>
      <c r="C354" s="18"/>
      <c r="D354" s="18"/>
      <c r="E354" s="18"/>
      <c r="F354" s="18"/>
      <c r="G354" s="18">
        <v>4</v>
      </c>
      <c r="I354" s="18">
        <v>4</v>
      </c>
      <c r="J354" s="18"/>
      <c r="K354" s="18"/>
      <c r="L354" s="18"/>
      <c r="M354" s="18"/>
      <c r="N354" s="18"/>
      <c r="O354" s="18">
        <v>4</v>
      </c>
    </row>
    <row r="355">
      <c r="A355" s="18">
        <v>5</v>
      </c>
      <c r="B355" s="18"/>
      <c r="C355" s="18"/>
      <c r="D355" s="18"/>
      <c r="E355" s="18"/>
      <c r="F355" s="18"/>
      <c r="G355" s="18">
        <v>5</v>
      </c>
      <c r="I355" s="18">
        <v>5</v>
      </c>
      <c r="J355" s="18"/>
      <c r="K355" s="18"/>
      <c r="L355" s="18"/>
      <c r="M355" s="18"/>
      <c r="N355" s="18"/>
      <c r="O355" s="18">
        <v>5</v>
      </c>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data!$B$30</f>
      </c>
      <c r="B358" s="18" t="str">
        <f>SUMPRODUCT((UPPER(D359:D363)&lt;&gt;"X")*((LEN(SUBSTITUTE(SUBSTITUTE(SUBSTITUTE(B359:B363," ",""),"0",""),"-",""))+LEN(SUBSTITUTE(SUBSTITUTE(SUBSTITUTE(C359:C363," ",""),"0",""),"-","")))&gt;(LEN(SUBSTITUTE(SUBSTITUTE(SUBSTITUTE(E359:E363," ",""),"0",""),"-",""))+LEN(SUBSTITUTE(SUBSTITUTE(SUBSTITUTE(F359:F363," ",""),"0",""),"-",""))))*1)</f>
      </c>
      <c r="C358" s="18" t="str">
        <f>SUMPRODUCT(LEN(SUBSTITUTE(SUBSTITUTE(SUBSTITUTE(B359:B363," ",""),"0",""),"-",""))+LEN(SUBSTITUTE(SUBSTITUTE(SUBSTITUTE(C359:C363," ",""),"0",""),"-","")))</f>
      </c>
      <c r="D358" s="18"/>
      <c r="E358" s="18" t="str">
        <f>SUMPRODUCT(LEN(SUBSTITUTE(SUBSTITUTE(SUBSTITUTE(E359:E363," ",""),"0",""),"-",""))+LEN(SUBSTITUTE(SUBSTITUTE(SUBSTITUTE(F359:F363," ",""),"0",""),"-","")))</f>
      </c>
      <c r="F358" s="18" t="str">
        <f>SUMPRODUCT((UPPER(D359:D363)&lt;&gt;"X")*((LEN(SUBSTITUTE(SUBSTITUTE(SUBSTITUTE(E359:E363," ",""),"0",""),"-",""))+LEN(SUBSTITUTE(SUBSTITUTE(SUBSTITUTE(F359:F363," ",""),"0",""),"-","")))&gt;(LEN(SUBSTITUTE(SUBSTITUTE(SUBSTITUTE(B359:B363," ",""),"0",""),"-",""))+LEN(SUBSTITUTE(SUBSTITUTE(SUBSTITUTE(C359:C363," ",""),"0",""),"-",""))))*1)</f>
      </c>
      <c r="G358" s="14" t="str">
        <f>data!$B$28</f>
      </c>
      <c r="I358" s="14" t="str">
        <f>data!$B$75</f>
      </c>
      <c r="J358" s="18" t="str">
        <f>SUMPRODUCT((UPPER(L359:L363)&lt;&gt;"X")*((LEN(SUBSTITUTE(SUBSTITUTE(SUBSTITUTE(J359:J363," ",""),"0",""),"-",""))+LEN(SUBSTITUTE(SUBSTITUTE(SUBSTITUTE(K359:K363," ",""),"0",""),"-","")))&gt;(LEN(SUBSTITUTE(SUBSTITUTE(SUBSTITUTE(M359:M363," ",""),"0",""),"-",""))+LEN(SUBSTITUTE(SUBSTITUTE(SUBSTITUTE(N359:N363," ",""),"0",""),"-",""))))*1)</f>
      </c>
      <c r="K358" s="18" t="str">
        <f>SUMPRODUCT(LEN(SUBSTITUTE(SUBSTITUTE(SUBSTITUTE(J359:J363," ",""),"0",""),"-",""))+LEN(SUBSTITUTE(SUBSTITUTE(SUBSTITUTE(K359:K363," ",""),"0",""),"-","")))</f>
      </c>
      <c r="L358" s="18"/>
      <c r="M358" s="18" t="str">
        <f>SUMPRODUCT(LEN(SUBSTITUTE(SUBSTITUTE(SUBSTITUTE(M359:M363," ",""),"0",""),"-",""))+LEN(SUBSTITUTE(SUBSTITUTE(SUBSTITUTE(N359:N363," ",""),"0",""),"-","")))</f>
      </c>
      <c r="N358" s="18" t="str">
        <f>SUMPRODUCT((UPPER(L359:L363)&lt;&gt;"X")*((LEN(SUBSTITUTE(SUBSTITUTE(SUBSTITUTE(M359:M363," ",""),"0",""),"-",""))+LEN(SUBSTITUTE(SUBSTITUTE(SUBSTITUTE(N359:N363," ",""),"0",""),"-","")))&gt;(LEN(SUBSTITUTE(SUBSTITUTE(SUBSTITUTE(J359:J363," ",""),"0",""),"-",""))+LEN(SUBSTITUTE(SUBSTITUTE(SUBSTITUTE(K359:K363," ",""),"0",""),"-",""))))*1)</f>
      </c>
      <c r="O358" s="14" t="str">
        <f>data!$B$73</f>
      </c>
    </row>
    <row r="359">
      <c r="A359" s="18">
        <v>1</v>
      </c>
      <c r="B359" s="18"/>
      <c r="C359" s="18"/>
      <c r="D359" s="18"/>
      <c r="E359" s="18"/>
      <c r="F359" s="18"/>
      <c r="G359" s="18">
        <v>1</v>
      </c>
      <c r="I359" s="18">
        <v>1</v>
      </c>
      <c r="J359" s="18"/>
      <c r="K359" s="18"/>
      <c r="L359" s="18"/>
      <c r="M359" s="18"/>
      <c r="N359" s="18"/>
      <c r="O359" s="18">
        <v>1</v>
      </c>
    </row>
    <row r="360">
      <c r="A360" s="18">
        <v>2</v>
      </c>
      <c r="B360" s="18"/>
      <c r="C360" s="18"/>
      <c r="D360" s="18"/>
      <c r="E360" s="18"/>
      <c r="F360" s="18"/>
      <c r="G360" s="18">
        <v>2</v>
      </c>
      <c r="I360" s="18">
        <v>2</v>
      </c>
      <c r="J360" s="18"/>
      <c r="K360" s="18"/>
      <c r="L360" s="18"/>
      <c r="M360" s="18"/>
      <c r="N360" s="18"/>
      <c r="O360" s="18">
        <v>2</v>
      </c>
    </row>
    <row r="361">
      <c r="A361" s="18">
        <v>3</v>
      </c>
      <c r="B361" s="18"/>
      <c r="C361" s="18"/>
      <c r="D361" s="18"/>
      <c r="E361" s="18"/>
      <c r="F361" s="18"/>
      <c r="G361" s="18">
        <v>3</v>
      </c>
      <c r="I361" s="18">
        <v>3</v>
      </c>
      <c r="J361" s="18"/>
      <c r="K361" s="18"/>
      <c r="L361" s="18"/>
      <c r="M361" s="18"/>
      <c r="N361" s="18"/>
      <c r="O361" s="18">
        <v>3</v>
      </c>
    </row>
    <row r="362">
      <c r="A362" s="18">
        <v>4</v>
      </c>
      <c r="B362" s="18"/>
      <c r="C362" s="18"/>
      <c r="D362" s="18"/>
      <c r="E362" s="18"/>
      <c r="F362" s="18"/>
      <c r="G362" s="18">
        <v>4</v>
      </c>
      <c r="I362" s="18">
        <v>4</v>
      </c>
      <c r="J362" s="18"/>
      <c r="K362" s="18"/>
      <c r="L362" s="18"/>
      <c r="M362" s="18"/>
      <c r="N362" s="18"/>
      <c r="O362" s="18">
        <v>4</v>
      </c>
    </row>
    <row r="363">
      <c r="A363" s="18">
        <v>5</v>
      </c>
      <c r="B363" s="18"/>
      <c r="C363" s="18"/>
      <c r="D363" s="18"/>
      <c r="E363" s="18"/>
      <c r="F363" s="18"/>
      <c r="G363" s="18">
        <v>5</v>
      </c>
      <c r="I363" s="18">
        <v>5</v>
      </c>
      <c r="J363" s="18"/>
      <c r="K363" s="18"/>
      <c r="L363" s="18"/>
      <c r="M363" s="18"/>
      <c r="N363" s="18"/>
      <c r="O363" s="18">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8" t="str">
        <f>SUMPRODUCT((UPPER(D367:D371)&lt;&gt;"X")*((LEN(SUBSTITUTE(SUBSTITUTE(SUBSTITUTE(B367:B371," ",""),"0",""),"-",""))+LEN(SUBSTITUTE(SUBSTITUTE(SUBSTITUTE(C367:C371," ",""),"0",""),"-","")))&gt;(LEN(SUBSTITUTE(SUBSTITUTE(SUBSTITUTE(E367:E371," ",""),"0",""),"-",""))+LEN(SUBSTITUTE(SUBSTITUTE(SUBSTITUTE(F367:F371," ",""),"0",""),"-",""))))*1)</f>
      </c>
      <c r="C366" s="18" t="str">
        <f>SUMPRODUCT(LEN(SUBSTITUTE(SUBSTITUTE(SUBSTITUTE(B367:B371," ",""),"0",""),"-",""))+LEN(SUBSTITUTE(SUBSTITUTE(SUBSTITUTE(C367:C371," ",""),"0",""),"-","")))</f>
      </c>
      <c r="D366" s="18"/>
      <c r="E366" s="18" t="str">
        <f>SUMPRODUCT(LEN(SUBSTITUTE(SUBSTITUTE(SUBSTITUTE(E367:E371," ",""),"0",""),"-",""))+LEN(SUBSTITUTE(SUBSTITUTE(SUBSTITUTE(F367:F371," ",""),"0",""),"-","")))</f>
      </c>
      <c r="F366" s="18" t="str">
        <f>SUMPRODUCT((UPPER(D367:D371)&lt;&gt;"X")*((LEN(SUBSTITUTE(SUBSTITUTE(SUBSTITUTE(E367:E371," ",""),"0",""),"-",""))+LEN(SUBSTITUTE(SUBSTITUTE(SUBSTITUTE(F367:F371," ",""),"0",""),"-","")))&gt;(LEN(SUBSTITUTE(SUBSTITUTE(SUBSTITUTE(B367:B371," ",""),"0",""),"-",""))+LEN(SUBSTITUTE(SUBSTITUTE(SUBSTITUTE(C367:C371," ",""),"0",""),"-",""))))*1)</f>
      </c>
      <c r="G366" s="14" t="str">
        <f>data!$B$29</f>
      </c>
      <c r="I366" s="14" t="str">
        <f>data!$B$75</f>
      </c>
      <c r="J366" s="18" t="str">
        <f>SUMPRODUCT((UPPER(L367:L371)&lt;&gt;"X")*((LEN(SUBSTITUTE(SUBSTITUTE(SUBSTITUTE(J367:J371," ",""),"0",""),"-",""))+LEN(SUBSTITUTE(SUBSTITUTE(SUBSTITUTE(K367:K371," ",""),"0",""),"-","")))&gt;(LEN(SUBSTITUTE(SUBSTITUTE(SUBSTITUTE(M367:M371," ",""),"0",""),"-",""))+LEN(SUBSTITUTE(SUBSTITUTE(SUBSTITUTE(N367:N371," ",""),"0",""),"-",""))))*1)</f>
      </c>
      <c r="K366" s="18" t="str">
        <f>SUMPRODUCT(LEN(SUBSTITUTE(SUBSTITUTE(SUBSTITUTE(J367:J371," ",""),"0",""),"-",""))+LEN(SUBSTITUTE(SUBSTITUTE(SUBSTITUTE(K367:K371," ",""),"0",""),"-","")))</f>
      </c>
      <c r="L366" s="18"/>
      <c r="M366" s="18" t="str">
        <f>SUMPRODUCT(LEN(SUBSTITUTE(SUBSTITUTE(SUBSTITUTE(M367:M371," ",""),"0",""),"-",""))+LEN(SUBSTITUTE(SUBSTITUTE(SUBSTITUTE(N367:N371," ",""),"0",""),"-","")))</f>
      </c>
      <c r="N366" s="18" t="str">
        <f>SUMPRODUCT((UPPER(L367:L371)&lt;&gt;"X")*((LEN(SUBSTITUTE(SUBSTITUTE(SUBSTITUTE(M367:M371," ",""),"0",""),"-",""))+LEN(SUBSTITUTE(SUBSTITUTE(SUBSTITUTE(N367:N371," ",""),"0",""),"-","")))&gt;(LEN(SUBSTITUTE(SUBSTITUTE(SUBSTITUTE(J367:J371," ",""),"0",""),"-",""))+LEN(SUBSTITUTE(SUBSTITUTE(SUBSTITUTE(K367:K371," ",""),"0",""),"-",""))))*1)</f>
      </c>
      <c r="O366" s="14" t="str">
        <f>data!$B$74</f>
      </c>
    </row>
    <row r="367">
      <c r="A367" s="18">
        <v>1</v>
      </c>
      <c r="B367" s="18"/>
      <c r="C367" s="18"/>
      <c r="D367" s="18"/>
      <c r="E367" s="18"/>
      <c r="F367" s="18"/>
      <c r="G367" s="18">
        <v>1</v>
      </c>
      <c r="I367" s="18">
        <v>1</v>
      </c>
      <c r="J367" s="18"/>
      <c r="K367" s="18"/>
      <c r="L367" s="18"/>
      <c r="M367" s="18"/>
      <c r="N367" s="18"/>
      <c r="O367" s="18">
        <v>1</v>
      </c>
    </row>
    <row r="368">
      <c r="A368" s="18">
        <v>2</v>
      </c>
      <c r="B368" s="18"/>
      <c r="C368" s="18"/>
      <c r="D368" s="18"/>
      <c r="E368" s="18"/>
      <c r="F368" s="18"/>
      <c r="G368" s="18">
        <v>2</v>
      </c>
      <c r="I368" s="18">
        <v>2</v>
      </c>
      <c r="J368" s="18"/>
      <c r="K368" s="18"/>
      <c r="L368" s="18"/>
      <c r="M368" s="18"/>
      <c r="N368" s="18"/>
      <c r="O368" s="18">
        <v>2</v>
      </c>
    </row>
    <row r="369">
      <c r="A369" s="18">
        <v>3</v>
      </c>
      <c r="B369" s="18"/>
      <c r="C369" s="18"/>
      <c r="D369" s="18"/>
      <c r="E369" s="18"/>
      <c r="F369" s="18"/>
      <c r="G369" s="18">
        <v>3</v>
      </c>
      <c r="I369" s="18">
        <v>3</v>
      </c>
      <c r="J369" s="18"/>
      <c r="K369" s="18"/>
      <c r="L369" s="18"/>
      <c r="M369" s="18"/>
      <c r="N369" s="18"/>
      <c r="O369" s="18">
        <v>3</v>
      </c>
    </row>
    <row r="370">
      <c r="A370" s="18">
        <v>4</v>
      </c>
      <c r="B370" s="18"/>
      <c r="C370" s="18"/>
      <c r="D370" s="18"/>
      <c r="E370" s="18"/>
      <c r="F370" s="18"/>
      <c r="G370" s="18">
        <v>4</v>
      </c>
      <c r="I370" s="18">
        <v>4</v>
      </c>
      <c r="J370" s="18"/>
      <c r="K370" s="18"/>
      <c r="L370" s="18"/>
      <c r="M370" s="18"/>
      <c r="N370" s="18"/>
      <c r="O370" s="18">
        <v>4</v>
      </c>
    </row>
    <row r="371">
      <c r="A371" s="18">
        <v>5</v>
      </c>
      <c r="B371" s="18"/>
      <c r="C371" s="18"/>
      <c r="D371" s="18"/>
      <c r="E371" s="18"/>
      <c r="F371" s="18"/>
      <c r="G371" s="18">
        <v>5</v>
      </c>
      <c r="I371" s="18">
        <v>5</v>
      </c>
      <c r="J371" s="18"/>
      <c r="K371" s="18"/>
      <c r="L371" s="18"/>
      <c r="M371" s="18"/>
      <c r="N371" s="18"/>
      <c r="O371" s="18">
        <v>5</v>
      </c>
    </row>
    <row r="374">
      <c r="A374" s="13"/>
      <c r="B374" s="13" t="s">
        <v>241</v>
      </c>
      <c r="C374" s="13" t="s">
        <v>242</v>
      </c>
      <c r="D374" s="13" t="s">
        <v>243</v>
      </c>
      <c r="I374" s="13"/>
      <c r="J374" s="13" t="s">
        <v>241</v>
      </c>
      <c r="K374" s="13" t="s">
        <v>242</v>
      </c>
      <c r="L374" s="13" t="s">
        <v>243</v>
      </c>
    </row>
    <row r="375">
      <c r="A375" t="str">
        <f>data!$B$28</f>
      </c>
      <c r="B375" s="14" t="str">
        <f>IF(OR(COUNTA(B351:C355,E351:F355)&gt;0,OR(D350="X",D350="x")),IF(OR(D350="X",D350="x"),0,IF(OR(F350&gt;B350,AND(F350=B350,E350&gt;C350)),1,0)),0)+IF(OR(COUNTA(B359:C363,E359:F363)&gt;0,OR(D358="X",D358="x")),IF(OR(D358="X",D358="x"),0,IF(OR(F358&gt;B358,AND(F358=B358,E358&gt;C358)),1,0)),0)</f>
      </c>
      <c r="C375" s="14" t="str">
        <f>IF(OR(COUNTA(B351:C355,E351:F355)&gt;0,OR(D350="X",D350="x")),IF(OR(D350="X",D350="x"),0,IF(OR(F350&lt;B350,AND(F350=B350,E350&lt;C350)),1,0)),0)+IF(OR(COUNTA(B359:C363,E359:F363)&gt;0,OR(D358="X",D358="x")),IF(OR(D358="X",D358="x"),0,IF(OR(F358&lt;B358,AND(F358=B358,E358&lt;C358)),1,0)),0)</f>
      </c>
      <c r="D375" s="14" t="str">
        <f>IF(OR(COUNTA(B351:C355,E351:F355)&gt;0,OR(D350="X",D350="x")),IF(OR(D350="X",D350="x"),1,0),0)+IF(OR(COUNTA(B359:C363,E359:F363)&gt;0,OR(D358="X",D358="x")),IF(OR(D358="X",D358="x"),1,0),0)</f>
      </c>
      <c r="I375" t="str">
        <f>data!$B$73</f>
      </c>
      <c r="J375" s="14" t="str">
        <f>IF(OR(COUNTA(J351:K355,M351:N355)&gt;0,OR(L350="X",L350="x")),IF(OR(L350="X",L350="x"),0,IF(OR(N350&gt;J350,AND(N350=J350,M350&gt;K350)),1,0)),0)+IF(OR(COUNTA(J359:K363,M359:N363)&gt;0,OR(L358="X",L358="x")),IF(OR(L358="X",L358="x"),0,IF(OR(N358&gt;J358,AND(N358=J358,M358&gt;K358)),1,0)),0)</f>
      </c>
      <c r="K375" s="14" t="str">
        <f>IF(OR(COUNTA(J351:K355,M351:N355)&gt;0,OR(L350="X",L350="x")),IF(OR(L350="X",L350="x"),0,IF(OR(N350&lt;J350,AND(N350=J350,M350&lt;K350)),1,0)),0)+IF(OR(COUNTA(J359:K363,M359:N363)&gt;0,OR(L358="X",L358="x")),IF(OR(L358="X",L358="x"),0,IF(OR(N358&lt;J358,AND(N358=J358,M358&lt;K358)),1,0)),0)</f>
      </c>
      <c r="L375" s="14" t="str">
        <f>IF(OR(COUNTA(J351:K355,M351:N355)&gt;0,OR(L350="X",L350="x")),IF(OR(L350="X",L350="x"),1,0),0)+IF(OR(COUNTA(J359:K363,M359:N363)&gt;0,OR(L358="X",L358="x")),IF(OR(L358="X",L358="x"),1,0),0)</f>
      </c>
    </row>
    <row r="376">
      <c r="A376" t="str">
        <f>data!$B$29</f>
      </c>
      <c r="B376" s="14" t="str">
        <f>IF(OR(COUNTA(B351:C355,E351:F355)&gt;0,OR(D350="X",D350="x")),IF(OR(D350="X",D350="x"),0,IF(OR(B350&gt;F350,AND(B350=F350,C350&gt;E350)),1,0)),0)+IF(OR(COUNTA(B367:C371,E367:F371)&gt;0,OR(D366="X",D366="x")),IF(OR(D366="X",D366="x"),0,IF(OR(F366&gt;B366,AND(F366=B366,E366&gt;C366)),1,0)),0)</f>
      </c>
      <c r="C376" s="14" t="str">
        <f>IF(OR(COUNTA(B351:C355,E351:F355)&gt;0,OR(D350="X",D350="x")),IF(OR(D350="X",D350="x"),0,IF(OR(B350&lt;F350,AND(B350=F350,C350&lt;E350)),1,0)),0)+IF(OR(COUNTA(B367:C371,E367:F371)&gt;0,OR(D366="X",D366="x")),IF(OR(D366="X",D366="x"),0,IF(OR(F366&lt;B366,AND(F366=B366,E366&lt;C366)),1,0)),0)</f>
      </c>
      <c r="D376" s="14" t="str">
        <f>IF(OR(COUNTA(B351:C355,E351:F355)&gt;0,OR(D350="X",D350="x")),IF(OR(D350="X",D350="x"),1,0),0)+IF(OR(COUNTA(B367:C371,E367:F371)&gt;0,OR(D366="X",D366="x")),IF(OR(D366="X",D366="x"),1,0),0)</f>
      </c>
      <c r="I376" t="str">
        <f>data!$B$74</f>
      </c>
      <c r="J376" s="14" t="str">
        <f>IF(OR(COUNTA(J351:K355,M351:N355)&gt;0,OR(L350="X",L350="x")),IF(OR(L350="X",L350="x"),0,IF(OR(J350&gt;N350,AND(J350=N350,K350&gt;M350)),1,0)),0)+IF(OR(COUNTA(J367:K371,M367:N371)&gt;0,OR(L366="X",L366="x")),IF(OR(L366="X",L366="x"),0,IF(OR(N366&gt;J366,AND(N366=J366,M366&gt;K366)),1,0)),0)</f>
      </c>
      <c r="K376" s="14" t="str">
        <f>IF(OR(COUNTA(J351:K355,M351:N355)&gt;0,OR(L350="X",L350="x")),IF(OR(L350="X",L350="x"),0,IF(OR(J350&lt;N350,AND(J350=N350,K350&lt;M350)),1,0)),0)+IF(OR(COUNTA(J367:K371,M367:N371)&gt;0,OR(L366="X",L366="x")),IF(OR(L366="X",L366="x"),0,IF(OR(N366&lt;J366,AND(N366=J366,M366&lt;K366)),1,0)),0)</f>
      </c>
      <c r="L376" s="14" t="str">
        <f>IF(OR(COUNTA(J351:K355,M351:N355)&gt;0,OR(L350="X",L350="x")),IF(OR(L350="X",L350="x"),1,0),0)+IF(OR(COUNTA(J367:K371,M367:N371)&gt;0,OR(L366="X",L366="x")),IF(OR(L366="X",L366="x"),1,0),0)</f>
      </c>
    </row>
    <row r="377">
      <c r="A377" t="str">
        <f>data!$B$30</f>
      </c>
      <c r="B377" s="14" t="str">
        <f>IF(OR(COUNTA(B359:C363,E359:F363)&gt;0,OR(D358="X",D358="x")),IF(OR(D358="X",D358="x"),0,IF(OR(B358&gt;F358,AND(B358=F358,C358&gt;E358)),1,0)),0)+IF(OR(COUNTA(B367:C371,E367:F371)&gt;0,OR(D366="X",D366="x")),IF(OR(D366="X",D366="x"),0,IF(OR(B366&gt;F366,AND(B366=F366,C366&gt;E366)),1,0)),0)</f>
      </c>
      <c r="C377" s="14" t="str">
        <f>IF(OR(COUNTA(B359:C363,E359:F363)&gt;0,OR(D358="X",D358="x")),IF(OR(D358="X",D358="x"),0,IF(OR(B358&lt;F358,AND(B358=F358,C358&lt;E358)),1,0)),0)+IF(OR(COUNTA(B367:C371,E367:F371)&gt;0,OR(D366="X",D366="x")),IF(OR(D366="X",D366="x"),0,IF(OR(B366&lt;F366,AND(B366=F366,C366&lt;E366)),1,0)),0)</f>
      </c>
      <c r="D377" s="14" t="str">
        <f>IF(OR(COUNTA(B359:C363,E359:F363)&gt;0,OR(D358="X",D358="x")),IF(OR(D358="X",D358="x"),1,0),0)+IF(OR(COUNTA(B367:C371,E367:F371)&gt;0,OR(D366="X",D366="x")),IF(OR(D366="X",D366="x"),1,0),0)</f>
      </c>
      <c r="I377" t="str">
        <f>data!$B$75</f>
      </c>
      <c r="J377" s="14" t="str">
        <f>IF(OR(COUNTA(J359:K363,M359:N363)&gt;0,OR(L358="X",L358="x")),IF(OR(L358="X",L358="x"),0,IF(OR(J358&gt;N358,AND(J358=N358,K358&gt;M358)),1,0)),0)+IF(OR(COUNTA(J367:K371,M367:N371)&gt;0,OR(L366="X",L366="x")),IF(OR(L366="X",L366="x"),0,IF(OR(J366&gt;N366,AND(J366=N366,K366&gt;M366)),1,0)),0)</f>
      </c>
      <c r="K377" s="14" t="str">
        <f>IF(OR(COUNTA(J359:K363,M359:N363)&gt;0,OR(L358="X",L358="x")),IF(OR(L358="X",L358="x"),0,IF(OR(J358&lt;N358,AND(J358=N358,K358&lt;M358)),1,0)),0)+IF(OR(COUNTA(J367:K371,M367:N371)&gt;0,OR(L366="X",L366="x")),IF(OR(L366="X",L366="x"),0,IF(OR(J366&lt;N366,AND(J366=N366,K366&lt;M366)),1,0)),0)</f>
      </c>
      <c r="L377" s="14" t="str">
        <f>IF(OR(COUNTA(J359:K363,M359:N363)&gt;0,OR(L358="X",L358="x")),IF(OR(L358="X",L358="x"),1,0),0)+IF(OR(COUNTA(J367:K371,M367:N371)&gt;0,OR(L366="X",L366="x")),IF(OR(L366="X",L366="x"),1,0),0)</f>
      </c>
    </row>
    <row r="379">
      <c r="A379" s="13"/>
      <c r="B379" s="13" t="s">
        <v>244</v>
      </c>
      <c r="C379" s="13" t="s">
        <v>245</v>
      </c>
      <c r="D379" s="13" t="s">
        <v>246</v>
      </c>
      <c r="E379" s="13" t="s">
        <v>247</v>
      </c>
      <c r="F379" s="13" t="s">
        <v>248</v>
      </c>
      <c r="I379" s="13"/>
      <c r="J379" s="13" t="s">
        <v>244</v>
      </c>
      <c r="K379" s="13" t="s">
        <v>245</v>
      </c>
      <c r="L379" s="13" t="s">
        <v>246</v>
      </c>
      <c r="M379" s="13" t="s">
        <v>247</v>
      </c>
      <c r="N379" s="13" t="s">
        <v>248</v>
      </c>
    </row>
    <row r="380">
      <c r="A380" t="str">
        <f>data!$B$28</f>
      </c>
      <c r="B380" s="14" t="str">
        <f>IF(OR(COUNTA(B351:C355,E351:F355)&gt;0,OR(D350="X",D350="x")),F350,0)+IF(OR(COUNTA(B359:C363,E359:F363)&gt;0,OR(D358="X",D358="x")),F358,0)</f>
      </c>
      <c r="C380" s="14" t="str">
        <f>IF(OR(COUNTA(B351:C355,E351:F355)&gt;0,OR(D350="X",D350="x")),B350,0)+IF(OR(COUNTA(B359:C363,E359:F363)&gt;0,OR(D358="X",D358="x")),B358,0)</f>
      </c>
      <c r="D380" s="14" t="str">
        <f>IF(OR(COUNTA(B351:C355,E351:F355)&gt;0,OR(D350="X",D350="x")),(IF(OR(D351="X",D351="x"),1,0)+IF(OR(D352="X",D352="x"),1,0)+IF(OR(D353="X",D353="x"),1,0)+IF(OR(D354="X",D354="x"),1,0)+IF(OR(D355="X",D355="x"),1,0)),0)+IF(OR(COUNTA(B359:C363,E359:F363)&gt;0,OR(D358="X",D358="x")),(IF(OR(D359="X",D359="x"),1,0)+IF(OR(D360="X",D360="x"),1,0)+IF(OR(D361="X",D361="x"),1,0)+IF(OR(D362="X",D362="x"),1,0)+IF(OR(D363="X",D363="x"),1,0)),0)</f>
      </c>
      <c r="E380" s="14" t="str">
        <f>E350+E358</f>
      </c>
      <c r="F380" s="14" t="str">
        <f>C350+C358</f>
      </c>
      <c r="I380" t="str">
        <f>data!$B$73</f>
      </c>
      <c r="J380" s="14" t="str">
        <f>IF(OR(COUNTA(J351:K355,M351:N355)&gt;0,OR(L350="X",L350="x")),N350,0)+IF(OR(COUNTA(J359:K363,M359:N363)&gt;0,OR(L358="X",L358="x")),N358,0)</f>
      </c>
      <c r="K380" s="14" t="str">
        <f>IF(OR(COUNTA(J351:K355,M351:N355)&gt;0,OR(L350="X",L350="x")),J350,0)+IF(OR(COUNTA(J359:K363,M359:N363)&gt;0,OR(L358="X",L358="x")),J358,0)</f>
      </c>
      <c r="L380" s="14" t="str">
        <f>IF(OR(COUNTA(J351:K355,M351:N355)&gt;0,OR(L350="X",L350="x")),(IF(OR(L351="X",L351="x"),1,0)+IF(OR(L352="X",L352="x"),1,0)+IF(OR(L353="X",L353="x"),1,0)+IF(OR(L354="X",L354="x"),1,0)+IF(OR(L355="X",L355="x"),1,0)),0)+IF(OR(COUNTA(J359:K363,M359:N363)&gt;0,OR(L358="X",L358="x")),(IF(OR(L359="X",L359="x"),1,0)+IF(OR(L360="X",L360="x"),1,0)+IF(OR(L361="X",L361="x"),1,0)+IF(OR(L362="X",L362="x"),1,0)+IF(OR(L363="X",L363="x"),1,0)),0)</f>
      </c>
      <c r="M380" s="14" t="str">
        <f>M350+M358</f>
      </c>
      <c r="N380" s="14" t="str">
        <f>K350+K358</f>
      </c>
    </row>
    <row r="381">
      <c r="A381" t="str">
        <f>data!$B$29</f>
      </c>
      <c r="B381" s="14" t="str">
        <f>IF(OR(COUNTA(B351:C355,E351:F355)&gt;0,OR(D350="X",D350="x")),B350,0)+IF(OR(COUNTA(B367:C371,E367:F371)&gt;0,OR(D366="X",D366="x")),F366,0)</f>
      </c>
      <c r="C381" s="14" t="str">
        <f>IF(OR(COUNTA(B351:C355,E351:F355)&gt;0,OR(D350="X",D350="x")),F350,0)+IF(OR(COUNTA(B367:C371,E367:F371)&gt;0,OR(D366="X",D366="x")),B366,0)</f>
      </c>
      <c r="D381" s="14" t="str">
        <f>IF(OR(COUNTA(B351:C355,E351:F355)&gt;0,OR(D350="X",D350="x")),(IF(OR(D351="X",D351="x"),1,0)+IF(OR(D352="X",D352="x"),1,0)+IF(OR(D353="X",D353="x"),1,0)+IF(OR(D354="X",D354="x"),1,0)+IF(OR(D355="X",D355="x"),1,0)),0)+IF(OR(COUNTA(B367:C371,E367:F371)&gt;0,OR(D366="X",D366="x")),(IF(OR(D367="X",D367="x"),1,0)+IF(OR(D368="X",D368="x"),1,0)+IF(OR(D369="X",D369="x"),1,0)+IF(OR(D370="X",D370="x"),1,0)+IF(OR(D371="X",D371="x"),1,0)),0)</f>
      </c>
      <c r="E381" s="14" t="str">
        <f>C350+E366</f>
      </c>
      <c r="F381" s="14" t="str">
        <f>E350+C366</f>
      </c>
      <c r="I381" t="str">
        <f>data!$B$74</f>
      </c>
      <c r="J381" s="14" t="str">
        <f>IF(OR(COUNTA(J351:K355,M351:N355)&gt;0,OR(L350="X",L350="x")),J350,0)+IF(OR(COUNTA(J367:K371,M367:N371)&gt;0,OR(L366="X",L366="x")),N366,0)</f>
      </c>
      <c r="K381" s="14" t="str">
        <f>IF(OR(COUNTA(J351:K355,M351:N355)&gt;0,OR(L350="X",L350="x")),N350,0)+IF(OR(COUNTA(J367:K371,M367:N371)&gt;0,OR(L366="X",L366="x")),J366,0)</f>
      </c>
      <c r="L381" s="14" t="str">
        <f>IF(OR(COUNTA(J351:K355,M351:N355)&gt;0,OR(L350="X",L350="x")),(IF(OR(L351="X",L351="x"),1,0)+IF(OR(L352="X",L352="x"),1,0)+IF(OR(L353="X",L353="x"),1,0)+IF(OR(L354="X",L354="x"),1,0)+IF(OR(L355="X",L355="x"),1,0)),0)+IF(OR(COUNTA(J367:K371,M367:N371)&gt;0,OR(L366="X",L366="x")),(IF(OR(L367="X",L367="x"),1,0)+IF(OR(L368="X",L368="x"),1,0)+IF(OR(L369="X",L369="x"),1,0)+IF(OR(L370="X",L370="x"),1,0)+IF(OR(L371="X",L371="x"),1,0)),0)</f>
      </c>
      <c r="M381" s="14" t="str">
        <f>K350+M366</f>
      </c>
      <c r="N381" s="14" t="str">
        <f>M350+K366</f>
      </c>
    </row>
    <row r="382">
      <c r="A382" t="str">
        <f>data!$B$30</f>
      </c>
      <c r="B382" s="14" t="str">
        <f>IF(OR(COUNTA(B359:C363,E359:F363)&gt;0,OR(D358="X",D358="x")),B358,0)+IF(OR(COUNTA(B367:C371,E367:F371)&gt;0,OR(D366="X",D366="x")),B366,0)</f>
      </c>
      <c r="C382" s="14" t="str">
        <f>IF(OR(COUNTA(B359:C363,E359:F363)&gt;0,OR(D358="X",D358="x")),F358,0)+IF(OR(COUNTA(B367:C371,E367:F371)&gt;0,OR(D366="X",D366="x")),F366,0)</f>
      </c>
      <c r="D382" s="14" t="str">
        <f>IF(OR(COUNTA(B359:C363,E359:F363)&gt;0,OR(D358="X",D358="x")),(IF(OR(D359="X",D359="x"),1,0)+IF(OR(D360="X",D360="x"),1,0)+IF(OR(D361="X",D361="x"),1,0)+IF(OR(D362="X",D362="x"),1,0)+IF(OR(D363="X",D363="x"),1,0)),0)+IF(OR(COUNTA(B367:C371,E367:F371)&gt;0,OR(D366="X",D366="x")),(IF(OR(D367="X",D367="x"),1,0)+IF(OR(D368="X",D368="x"),1,0)+IF(OR(D369="X",D369="x"),1,0)+IF(OR(D370="X",D370="x"),1,0)+IF(OR(D371="X",D371="x"),1,0)),0)</f>
      </c>
      <c r="E382" s="14" t="str">
        <f>C358+C366</f>
      </c>
      <c r="F382" s="14" t="str">
        <f>E358+E366</f>
      </c>
      <c r="I382" t="str">
        <f>data!$B$75</f>
      </c>
      <c r="J382" s="14" t="str">
        <f>IF(OR(COUNTA(J359:K363,M359:N363)&gt;0,OR(L358="X",L358="x")),J358,0)+IF(OR(COUNTA(J367:K371,M367:N371)&gt;0,OR(L366="X",L366="x")),J366,0)</f>
      </c>
      <c r="K382" s="14" t="str">
        <f>IF(OR(COUNTA(J359:K363,M359:N363)&gt;0,OR(L358="X",L358="x")),N358,0)+IF(OR(COUNTA(J367:K371,M367:N371)&gt;0,OR(L366="X",L366="x")),N366,0)</f>
      </c>
      <c r="L382" s="14" t="str">
        <f>IF(OR(COUNTA(J359:K363,M359:N363)&gt;0,OR(L358="X",L358="x")),(IF(OR(L359="X",L359="x"),1,0)+IF(OR(L360="X",L360="x"),1,0)+IF(OR(L361="X",L361="x"),1,0)+IF(OR(L362="X",L362="x"),1,0)+IF(OR(L363="X",L363="x"),1,0)),0)+IF(OR(COUNTA(J367:K371,M367:N371)&gt;0,OR(L366="X",L366="x")),(IF(OR(L367="X",L367="x"),1,0)+IF(OR(L368="X",L368="x"),1,0)+IF(OR(L369="X",L369="x"),1,0)+IF(OR(L370="X",L370="x"),1,0)+IF(OR(L371="X",L371="x"),1,0)),0)</f>
      </c>
      <c r="M382" s="14" t="str">
        <f>K358+K366</f>
      </c>
      <c r="N382" s="14" t="str">
        <f>M358+M366</f>
      </c>
    </row>
    <row r="385">
      <c r="F385" s="13"/>
      <c r="G385" s="13" t="s">
        <v>249</v>
      </c>
      <c r="N385" s="13"/>
      <c r="O385" s="13" t="s">
        <v>249</v>
      </c>
    </row>
    <row r="386">
      <c r="F386" t="s">
        <v>250</v>
      </c>
      <c r="G386" s="19"/>
      <c r="N386" t="s">
        <v>250</v>
      </c>
      <c r="O386" s="19"/>
    </row>
    <row r="387">
      <c r="F387" t="s">
        <v>251</v>
      </c>
      <c r="G387" s="19"/>
      <c r="N387" t="s">
        <v>251</v>
      </c>
      <c r="O387" s="19"/>
    </row>
    <row r="388">
      <c r="F388" t="s">
        <v>252</v>
      </c>
      <c r="G388" s="19"/>
      <c r="N388" t="s">
        <v>252</v>
      </c>
      <c r="O388" s="19"/>
    </row>
    <row r="390">
      <c r="A390" s="13" t="str">
        <f>data!$A$33</f>
      </c>
      <c r="B390" s="13"/>
      <c r="C390" s="13"/>
      <c r="D390" s="13"/>
      <c r="E390" s="13"/>
      <c r="F390" s="13"/>
      <c r="G390" s="13"/>
      <c r="I390" s="13" t="str">
        <f>data!$A$78</f>
      </c>
      <c r="J390" s="13"/>
      <c r="K390" s="13"/>
      <c r="L390" s="13"/>
      <c r="M390" s="13"/>
      <c r="N390" s="13"/>
      <c r="O390" s="13"/>
    </row>
    <row r="391">
      <c r="A391" s="17" t="s">
        <v>238</v>
      </c>
      <c r="B391" s="14"/>
      <c r="C391" s="14"/>
      <c r="D391" s="14" t="s">
        <v>239</v>
      </c>
      <c r="E391" s="14"/>
      <c r="F391" s="14"/>
      <c r="G391" s="16" t="s">
        <v>240</v>
      </c>
      <c r="I391" s="17" t="s">
        <v>238</v>
      </c>
      <c r="J391" s="14"/>
      <c r="K391" s="14"/>
      <c r="L391" s="14" t="s">
        <v>239</v>
      </c>
      <c r="M391" s="14"/>
      <c r="N391" s="14"/>
      <c r="O391" s="16" t="s">
        <v>240</v>
      </c>
    </row>
    <row r="392">
      <c r="A392" s="14" t="str">
        <f>data!$B$32</f>
      </c>
      <c r="B392" s="18" t="str">
        <f>SUMPRODUCT((UPPER(D393:D397)&lt;&gt;"X")*((LEN(SUBSTITUTE(SUBSTITUTE(SUBSTITUTE(B393:B397," ",""),"0",""),"-",""))+LEN(SUBSTITUTE(SUBSTITUTE(SUBSTITUTE(C393:C397," ",""),"0",""),"-","")))&gt;(LEN(SUBSTITUTE(SUBSTITUTE(SUBSTITUTE(E393:E397," ",""),"0",""),"-",""))+LEN(SUBSTITUTE(SUBSTITUTE(SUBSTITUTE(F393:F397," ",""),"0",""),"-",""))))*1)</f>
      </c>
      <c r="C392" s="18" t="str">
        <f>SUMPRODUCT(LEN(SUBSTITUTE(SUBSTITUTE(SUBSTITUTE(B393:B397," ",""),"0",""),"-",""))+LEN(SUBSTITUTE(SUBSTITUTE(SUBSTITUTE(C393:C397," ",""),"0",""),"-","")))</f>
      </c>
      <c r="D392" s="18"/>
      <c r="E392" s="18" t="str">
        <f>SUMPRODUCT(LEN(SUBSTITUTE(SUBSTITUTE(SUBSTITUTE(E393:E397," ",""),"0",""),"-",""))+LEN(SUBSTITUTE(SUBSTITUTE(SUBSTITUTE(F393:F397," ",""),"0",""),"-","")))</f>
      </c>
      <c r="F392" s="18" t="str">
        <f>SUMPRODUCT((UPPER(D393:D397)&lt;&gt;"X")*((LEN(SUBSTITUTE(SUBSTITUTE(SUBSTITUTE(E393:E397," ",""),"0",""),"-",""))+LEN(SUBSTITUTE(SUBSTITUTE(SUBSTITUTE(F393:F397," ",""),"0",""),"-","")))&gt;(LEN(SUBSTITUTE(SUBSTITUTE(SUBSTITUTE(B393:B397," ",""),"0",""),"-",""))+LEN(SUBSTITUTE(SUBSTITUTE(SUBSTITUTE(C393:C397," ",""),"0",""),"-",""))))*1)</f>
      </c>
      <c r="G392" s="14" t="str">
        <f>data!$B$31</f>
      </c>
      <c r="I392" s="14" t="str">
        <f>data!$B$77</f>
      </c>
      <c r="J392" s="18" t="str">
        <f>SUMPRODUCT((UPPER(L393:L397)&lt;&gt;"X")*((LEN(SUBSTITUTE(SUBSTITUTE(SUBSTITUTE(J393:J397," ",""),"0",""),"-",""))+LEN(SUBSTITUTE(SUBSTITUTE(SUBSTITUTE(K393:K397," ",""),"0",""),"-","")))&gt;(LEN(SUBSTITUTE(SUBSTITUTE(SUBSTITUTE(M393:M397," ",""),"0",""),"-",""))+LEN(SUBSTITUTE(SUBSTITUTE(SUBSTITUTE(N393:N397," ",""),"0",""),"-",""))))*1)</f>
      </c>
      <c r="K392" s="18" t="str">
        <f>SUMPRODUCT(LEN(SUBSTITUTE(SUBSTITUTE(SUBSTITUTE(J393:J397," ",""),"0",""),"-",""))+LEN(SUBSTITUTE(SUBSTITUTE(SUBSTITUTE(K393:K397," ",""),"0",""),"-","")))</f>
      </c>
      <c r="L392" s="18"/>
      <c r="M392" s="18" t="str">
        <f>SUMPRODUCT(LEN(SUBSTITUTE(SUBSTITUTE(SUBSTITUTE(M393:M397," ",""),"0",""),"-",""))+LEN(SUBSTITUTE(SUBSTITUTE(SUBSTITUTE(N393:N397," ",""),"0",""),"-","")))</f>
      </c>
      <c r="N392" s="18" t="str">
        <f>SUMPRODUCT((UPPER(L393:L397)&lt;&gt;"X")*((LEN(SUBSTITUTE(SUBSTITUTE(SUBSTITUTE(M393:M397," ",""),"0",""),"-",""))+LEN(SUBSTITUTE(SUBSTITUTE(SUBSTITUTE(N393:N397," ",""),"0",""),"-","")))&gt;(LEN(SUBSTITUTE(SUBSTITUTE(SUBSTITUTE(J393:J397," ",""),"0",""),"-",""))+LEN(SUBSTITUTE(SUBSTITUTE(SUBSTITUTE(K393:K397," ",""),"0",""),"-",""))))*1)</f>
      </c>
      <c r="O392" s="14" t="str">
        <f>data!$B$76</f>
      </c>
    </row>
    <row r="393">
      <c r="A393" s="18">
        <v>1</v>
      </c>
      <c r="B393" s="18"/>
      <c r="C393" s="18"/>
      <c r="D393" s="18"/>
      <c r="E393" s="18"/>
      <c r="F393" s="18"/>
      <c r="G393" s="18">
        <v>1</v>
      </c>
      <c r="I393" s="18">
        <v>1</v>
      </c>
      <c r="J393" s="18"/>
      <c r="K393" s="18"/>
      <c r="L393" s="18"/>
      <c r="M393" s="18"/>
      <c r="N393" s="18"/>
      <c r="O393" s="18">
        <v>1</v>
      </c>
    </row>
    <row r="394">
      <c r="A394" s="18">
        <v>2</v>
      </c>
      <c r="B394" s="18"/>
      <c r="C394" s="18"/>
      <c r="D394" s="18"/>
      <c r="E394" s="18"/>
      <c r="F394" s="18"/>
      <c r="G394" s="18">
        <v>2</v>
      </c>
      <c r="I394" s="18">
        <v>2</v>
      </c>
      <c r="J394" s="18"/>
      <c r="K394" s="18"/>
      <c r="L394" s="18"/>
      <c r="M394" s="18"/>
      <c r="N394" s="18"/>
      <c r="O394" s="18">
        <v>2</v>
      </c>
    </row>
    <row r="395">
      <c r="A395" s="18">
        <v>3</v>
      </c>
      <c r="B395" s="18"/>
      <c r="C395" s="18"/>
      <c r="D395" s="18"/>
      <c r="E395" s="18"/>
      <c r="F395" s="18"/>
      <c r="G395" s="18">
        <v>3</v>
      </c>
      <c r="I395" s="18">
        <v>3</v>
      </c>
      <c r="J395" s="18"/>
      <c r="K395" s="18"/>
      <c r="L395" s="18"/>
      <c r="M395" s="18"/>
      <c r="N395" s="18"/>
      <c r="O395" s="18">
        <v>3</v>
      </c>
    </row>
    <row r="396">
      <c r="A396" s="18">
        <v>4</v>
      </c>
      <c r="B396" s="18"/>
      <c r="C396" s="18"/>
      <c r="D396" s="18"/>
      <c r="E396" s="18"/>
      <c r="F396" s="18"/>
      <c r="G396" s="18">
        <v>4</v>
      </c>
      <c r="I396" s="18">
        <v>4</v>
      </c>
      <c r="J396" s="18"/>
      <c r="K396" s="18"/>
      <c r="L396" s="18"/>
      <c r="M396" s="18"/>
      <c r="N396" s="18"/>
      <c r="O396" s="18">
        <v>4</v>
      </c>
    </row>
    <row r="397">
      <c r="A397" s="18">
        <v>5</v>
      </c>
      <c r="B397" s="18"/>
      <c r="C397" s="18"/>
      <c r="D397" s="18"/>
      <c r="E397" s="18"/>
      <c r="F397" s="18"/>
      <c r="G397" s="18">
        <v>5</v>
      </c>
      <c r="I397" s="18">
        <v>5</v>
      </c>
      <c r="J397" s="18"/>
      <c r="K397" s="18"/>
      <c r="L397" s="18"/>
      <c r="M397" s="18"/>
      <c r="N397" s="18"/>
      <c r="O397" s="18">
        <v>5</v>
      </c>
    </row>
    <row r="399">
      <c r="A399" s="17" t="s">
        <v>238</v>
      </c>
      <c r="B399" s="14"/>
      <c r="C399" s="14"/>
      <c r="D399" s="14" t="s">
        <v>239</v>
      </c>
      <c r="E399" s="14"/>
      <c r="F399" s="14"/>
      <c r="G399" s="16" t="s">
        <v>240</v>
      </c>
      <c r="I399" s="17" t="s">
        <v>238</v>
      </c>
      <c r="J399" s="14"/>
      <c r="K399" s="14"/>
      <c r="L399" s="14" t="s">
        <v>239</v>
      </c>
      <c r="M399" s="14"/>
      <c r="N399" s="14"/>
      <c r="O399" s="16" t="s">
        <v>240</v>
      </c>
    </row>
    <row r="400">
      <c r="A400" s="14" t="str">
        <f>data!$B$33</f>
      </c>
      <c r="B400" s="18" t="str">
        <f>SUMPRODUCT((UPPER(D401:D405)&lt;&gt;"X")*((LEN(SUBSTITUTE(SUBSTITUTE(SUBSTITUTE(B401:B405," ",""),"0",""),"-",""))+LEN(SUBSTITUTE(SUBSTITUTE(SUBSTITUTE(C401:C405," ",""),"0",""),"-","")))&gt;(LEN(SUBSTITUTE(SUBSTITUTE(SUBSTITUTE(E401:E405," ",""),"0",""),"-",""))+LEN(SUBSTITUTE(SUBSTITUTE(SUBSTITUTE(F401:F405," ",""),"0",""),"-",""))))*1)</f>
      </c>
      <c r="C400" s="18" t="str">
        <f>SUMPRODUCT(LEN(SUBSTITUTE(SUBSTITUTE(SUBSTITUTE(B401:B405," ",""),"0",""),"-",""))+LEN(SUBSTITUTE(SUBSTITUTE(SUBSTITUTE(C401:C405," ",""),"0",""),"-","")))</f>
      </c>
      <c r="D400" s="18"/>
      <c r="E400" s="18" t="str">
        <f>SUMPRODUCT(LEN(SUBSTITUTE(SUBSTITUTE(SUBSTITUTE(E401:E405," ",""),"0",""),"-",""))+LEN(SUBSTITUTE(SUBSTITUTE(SUBSTITUTE(F401:F405," ",""),"0",""),"-","")))</f>
      </c>
      <c r="F400" s="18" t="str">
        <f>SUMPRODUCT((UPPER(D401:D405)&lt;&gt;"X")*((LEN(SUBSTITUTE(SUBSTITUTE(SUBSTITUTE(E401:E405," ",""),"0",""),"-",""))+LEN(SUBSTITUTE(SUBSTITUTE(SUBSTITUTE(F401:F405," ",""),"0",""),"-","")))&gt;(LEN(SUBSTITUTE(SUBSTITUTE(SUBSTITUTE(B401:B405," ",""),"0",""),"-",""))+LEN(SUBSTITUTE(SUBSTITUTE(SUBSTITUTE(C401:C405," ",""),"0",""),"-",""))))*1)</f>
      </c>
      <c r="G400" s="14" t="str">
        <f>data!$B$31</f>
      </c>
      <c r="I400" s="14" t="str">
        <f>data!$B$78</f>
      </c>
      <c r="J400" s="18" t="str">
        <f>SUMPRODUCT((UPPER(L401:L405)&lt;&gt;"X")*((LEN(SUBSTITUTE(SUBSTITUTE(SUBSTITUTE(J401:J405," ",""),"0",""),"-",""))+LEN(SUBSTITUTE(SUBSTITUTE(SUBSTITUTE(K401:K405," ",""),"0",""),"-","")))&gt;(LEN(SUBSTITUTE(SUBSTITUTE(SUBSTITUTE(M401:M405," ",""),"0",""),"-",""))+LEN(SUBSTITUTE(SUBSTITUTE(SUBSTITUTE(N401:N405," ",""),"0",""),"-",""))))*1)</f>
      </c>
      <c r="K400" s="18" t="str">
        <f>SUMPRODUCT(LEN(SUBSTITUTE(SUBSTITUTE(SUBSTITUTE(J401:J405," ",""),"0",""),"-",""))+LEN(SUBSTITUTE(SUBSTITUTE(SUBSTITUTE(K401:K405," ",""),"0",""),"-","")))</f>
      </c>
      <c r="L400" s="18"/>
      <c r="M400" s="18" t="str">
        <f>SUMPRODUCT(LEN(SUBSTITUTE(SUBSTITUTE(SUBSTITUTE(M401:M405," ",""),"0",""),"-",""))+LEN(SUBSTITUTE(SUBSTITUTE(SUBSTITUTE(N401:N405," ",""),"0",""),"-","")))</f>
      </c>
      <c r="N400" s="18" t="str">
        <f>SUMPRODUCT((UPPER(L401:L405)&lt;&gt;"X")*((LEN(SUBSTITUTE(SUBSTITUTE(SUBSTITUTE(M401:M405," ",""),"0",""),"-",""))+LEN(SUBSTITUTE(SUBSTITUTE(SUBSTITUTE(N401:N405," ",""),"0",""),"-","")))&gt;(LEN(SUBSTITUTE(SUBSTITUTE(SUBSTITUTE(J401:J405," ",""),"0",""),"-",""))+LEN(SUBSTITUTE(SUBSTITUTE(SUBSTITUTE(K401:K405," ",""),"0",""),"-",""))))*1)</f>
      </c>
      <c r="O400" s="14" t="str">
        <f>data!$B$76</f>
      </c>
    </row>
    <row r="401">
      <c r="A401" s="18">
        <v>1</v>
      </c>
      <c r="B401" s="18"/>
      <c r="C401" s="18"/>
      <c r="D401" s="18"/>
      <c r="E401" s="18"/>
      <c r="F401" s="18"/>
      <c r="G401" s="18">
        <v>1</v>
      </c>
      <c r="I401" s="18">
        <v>1</v>
      </c>
      <c r="J401" s="18"/>
      <c r="K401" s="18"/>
      <c r="L401" s="18"/>
      <c r="M401" s="18"/>
      <c r="N401" s="18"/>
      <c r="O401" s="18">
        <v>1</v>
      </c>
    </row>
    <row r="402">
      <c r="A402" s="18">
        <v>2</v>
      </c>
      <c r="B402" s="18"/>
      <c r="C402" s="18"/>
      <c r="D402" s="18"/>
      <c r="E402" s="18"/>
      <c r="F402" s="18"/>
      <c r="G402" s="18">
        <v>2</v>
      </c>
      <c r="I402" s="18">
        <v>2</v>
      </c>
      <c r="J402" s="18"/>
      <c r="K402" s="18"/>
      <c r="L402" s="18"/>
      <c r="M402" s="18"/>
      <c r="N402" s="18"/>
      <c r="O402" s="18">
        <v>2</v>
      </c>
    </row>
    <row r="403">
      <c r="A403" s="18">
        <v>3</v>
      </c>
      <c r="B403" s="18"/>
      <c r="C403" s="18"/>
      <c r="D403" s="18"/>
      <c r="E403" s="18"/>
      <c r="F403" s="18"/>
      <c r="G403" s="18">
        <v>3</v>
      </c>
      <c r="I403" s="18">
        <v>3</v>
      </c>
      <c r="J403" s="18"/>
      <c r="K403" s="18"/>
      <c r="L403" s="18"/>
      <c r="M403" s="18"/>
      <c r="N403" s="18"/>
      <c r="O403" s="18">
        <v>3</v>
      </c>
    </row>
    <row r="404">
      <c r="A404" s="18">
        <v>4</v>
      </c>
      <c r="B404" s="18"/>
      <c r="C404" s="18"/>
      <c r="D404" s="18"/>
      <c r="E404" s="18"/>
      <c r="F404" s="18"/>
      <c r="G404" s="18">
        <v>4</v>
      </c>
      <c r="I404" s="18">
        <v>4</v>
      </c>
      <c r="J404" s="18"/>
      <c r="K404" s="18"/>
      <c r="L404" s="18"/>
      <c r="M404" s="18"/>
      <c r="N404" s="18"/>
      <c r="O404" s="18">
        <v>4</v>
      </c>
    </row>
    <row r="405">
      <c r="A405" s="18">
        <v>5</v>
      </c>
      <c r="B405" s="18"/>
      <c r="C405" s="18"/>
      <c r="D405" s="18"/>
      <c r="E405" s="18"/>
      <c r="F405" s="18"/>
      <c r="G405" s="18">
        <v>5</v>
      </c>
      <c r="I405" s="18">
        <v>5</v>
      </c>
      <c r="J405" s="18"/>
      <c r="K405" s="18"/>
      <c r="L405" s="18"/>
      <c r="M405" s="18"/>
      <c r="N405" s="18"/>
      <c r="O405" s="18">
        <v>5</v>
      </c>
    </row>
    <row r="407">
      <c r="A407" s="17" t="s">
        <v>238</v>
      </c>
      <c r="B407" s="14"/>
      <c r="C407" s="14"/>
      <c r="D407" s="14" t="s">
        <v>239</v>
      </c>
      <c r="E407" s="14"/>
      <c r="F407" s="14"/>
      <c r="G407" s="16" t="s">
        <v>240</v>
      </c>
      <c r="I407" s="17" t="s">
        <v>238</v>
      </c>
      <c r="J407" s="14"/>
      <c r="K407" s="14"/>
      <c r="L407" s="14" t="s">
        <v>239</v>
      </c>
      <c r="M407" s="14"/>
      <c r="N407" s="14"/>
      <c r="O407" s="16" t="s">
        <v>240</v>
      </c>
    </row>
    <row r="408">
      <c r="A408" s="14" t="str">
        <f>data!$B$33</f>
      </c>
      <c r="B408" s="18" t="str">
        <f>SUMPRODUCT((UPPER(D409:D413)&lt;&gt;"X")*((LEN(SUBSTITUTE(SUBSTITUTE(SUBSTITUTE(B409:B413," ",""),"0",""),"-",""))+LEN(SUBSTITUTE(SUBSTITUTE(SUBSTITUTE(C409:C413," ",""),"0",""),"-","")))&gt;(LEN(SUBSTITUTE(SUBSTITUTE(SUBSTITUTE(E409:E413," ",""),"0",""),"-",""))+LEN(SUBSTITUTE(SUBSTITUTE(SUBSTITUTE(F409:F413," ",""),"0",""),"-",""))))*1)</f>
      </c>
      <c r="C408" s="18" t="str">
        <f>SUMPRODUCT(LEN(SUBSTITUTE(SUBSTITUTE(SUBSTITUTE(B409:B413," ",""),"0",""),"-",""))+LEN(SUBSTITUTE(SUBSTITUTE(SUBSTITUTE(C409:C413," ",""),"0",""),"-","")))</f>
      </c>
      <c r="D408" s="18"/>
      <c r="E408" s="18" t="str">
        <f>SUMPRODUCT(LEN(SUBSTITUTE(SUBSTITUTE(SUBSTITUTE(E409:E413," ",""),"0",""),"-",""))+LEN(SUBSTITUTE(SUBSTITUTE(SUBSTITUTE(F409:F413," ",""),"0",""),"-","")))</f>
      </c>
      <c r="F408" s="18" t="str">
        <f>SUMPRODUCT((UPPER(D409:D413)&lt;&gt;"X")*((LEN(SUBSTITUTE(SUBSTITUTE(SUBSTITUTE(E409:E413," ",""),"0",""),"-",""))+LEN(SUBSTITUTE(SUBSTITUTE(SUBSTITUTE(F409:F413," ",""),"0",""),"-","")))&gt;(LEN(SUBSTITUTE(SUBSTITUTE(SUBSTITUTE(B409:B413," ",""),"0",""),"-",""))+LEN(SUBSTITUTE(SUBSTITUTE(SUBSTITUTE(C409:C413," ",""),"0",""),"-",""))))*1)</f>
      </c>
      <c r="G408" s="14" t="str">
        <f>data!$B$32</f>
      </c>
      <c r="I408" s="14" t="str">
        <f>data!$B$78</f>
      </c>
      <c r="J408" s="18" t="str">
        <f>SUMPRODUCT((UPPER(L409:L413)&lt;&gt;"X")*((LEN(SUBSTITUTE(SUBSTITUTE(SUBSTITUTE(J409:J413," ",""),"0",""),"-",""))+LEN(SUBSTITUTE(SUBSTITUTE(SUBSTITUTE(K409:K413," ",""),"0",""),"-","")))&gt;(LEN(SUBSTITUTE(SUBSTITUTE(SUBSTITUTE(M409:M413," ",""),"0",""),"-",""))+LEN(SUBSTITUTE(SUBSTITUTE(SUBSTITUTE(N409:N413," ",""),"0",""),"-",""))))*1)</f>
      </c>
      <c r="K408" s="18" t="str">
        <f>SUMPRODUCT(LEN(SUBSTITUTE(SUBSTITUTE(SUBSTITUTE(J409:J413," ",""),"0",""),"-",""))+LEN(SUBSTITUTE(SUBSTITUTE(SUBSTITUTE(K409:K413," ",""),"0",""),"-","")))</f>
      </c>
      <c r="L408" s="18"/>
      <c r="M408" s="18" t="str">
        <f>SUMPRODUCT(LEN(SUBSTITUTE(SUBSTITUTE(SUBSTITUTE(M409:M413," ",""),"0",""),"-",""))+LEN(SUBSTITUTE(SUBSTITUTE(SUBSTITUTE(N409:N413," ",""),"0",""),"-","")))</f>
      </c>
      <c r="N408" s="18" t="str">
        <f>SUMPRODUCT((UPPER(L409:L413)&lt;&gt;"X")*((LEN(SUBSTITUTE(SUBSTITUTE(SUBSTITUTE(M409:M413," ",""),"0",""),"-",""))+LEN(SUBSTITUTE(SUBSTITUTE(SUBSTITUTE(N409:N413," ",""),"0",""),"-","")))&gt;(LEN(SUBSTITUTE(SUBSTITUTE(SUBSTITUTE(J409:J413," ",""),"0",""),"-",""))+LEN(SUBSTITUTE(SUBSTITUTE(SUBSTITUTE(K409:K413," ",""),"0",""),"-",""))))*1)</f>
      </c>
      <c r="O408" s="14" t="str">
        <f>data!$B$77</f>
      </c>
    </row>
    <row r="409">
      <c r="A409" s="18">
        <v>1</v>
      </c>
      <c r="B409" s="18"/>
      <c r="C409" s="18"/>
      <c r="D409" s="18"/>
      <c r="E409" s="18"/>
      <c r="F409" s="18"/>
      <c r="G409" s="18">
        <v>1</v>
      </c>
      <c r="I409" s="18">
        <v>1</v>
      </c>
      <c r="J409" s="18"/>
      <c r="K409" s="18"/>
      <c r="L409" s="18"/>
      <c r="M409" s="18"/>
      <c r="N409" s="18"/>
      <c r="O409" s="18">
        <v>1</v>
      </c>
    </row>
    <row r="410">
      <c r="A410" s="18">
        <v>2</v>
      </c>
      <c r="B410" s="18"/>
      <c r="C410" s="18"/>
      <c r="D410" s="18"/>
      <c r="E410" s="18"/>
      <c r="F410" s="18"/>
      <c r="G410" s="18">
        <v>2</v>
      </c>
      <c r="I410" s="18">
        <v>2</v>
      </c>
      <c r="J410" s="18"/>
      <c r="K410" s="18"/>
      <c r="L410" s="18"/>
      <c r="M410" s="18"/>
      <c r="N410" s="18"/>
      <c r="O410" s="18">
        <v>2</v>
      </c>
    </row>
    <row r="411">
      <c r="A411" s="18">
        <v>3</v>
      </c>
      <c r="B411" s="18"/>
      <c r="C411" s="18"/>
      <c r="D411" s="18"/>
      <c r="E411" s="18"/>
      <c r="F411" s="18"/>
      <c r="G411" s="18">
        <v>3</v>
      </c>
      <c r="I411" s="18">
        <v>3</v>
      </c>
      <c r="J411" s="18"/>
      <c r="K411" s="18"/>
      <c r="L411" s="18"/>
      <c r="M411" s="18"/>
      <c r="N411" s="18"/>
      <c r="O411" s="18">
        <v>3</v>
      </c>
    </row>
    <row r="412">
      <c r="A412" s="18">
        <v>4</v>
      </c>
      <c r="B412" s="18"/>
      <c r="C412" s="18"/>
      <c r="D412" s="18"/>
      <c r="E412" s="18"/>
      <c r="F412" s="18"/>
      <c r="G412" s="18">
        <v>4</v>
      </c>
      <c r="I412" s="18">
        <v>4</v>
      </c>
      <c r="J412" s="18"/>
      <c r="K412" s="18"/>
      <c r="L412" s="18"/>
      <c r="M412" s="18"/>
      <c r="N412" s="18"/>
      <c r="O412" s="18">
        <v>4</v>
      </c>
    </row>
    <row r="413">
      <c r="A413" s="18">
        <v>5</v>
      </c>
      <c r="B413" s="18"/>
      <c r="C413" s="18"/>
      <c r="D413" s="18"/>
      <c r="E413" s="18"/>
      <c r="F413" s="18"/>
      <c r="G413" s="18">
        <v>5</v>
      </c>
      <c r="I413" s="18">
        <v>5</v>
      </c>
      <c r="J413" s="18"/>
      <c r="K413" s="18"/>
      <c r="L413" s="18"/>
      <c r="M413" s="18"/>
      <c r="N413" s="18"/>
      <c r="O413" s="18">
        <v>5</v>
      </c>
    </row>
    <row r="416">
      <c r="A416" s="13"/>
      <c r="B416" s="13" t="s">
        <v>241</v>
      </c>
      <c r="C416" s="13" t="s">
        <v>242</v>
      </c>
      <c r="D416" s="13" t="s">
        <v>243</v>
      </c>
      <c r="I416" s="13"/>
      <c r="J416" s="13" t="s">
        <v>241</v>
      </c>
      <c r="K416" s="13" t="s">
        <v>242</v>
      </c>
      <c r="L416" s="13" t="s">
        <v>243</v>
      </c>
    </row>
    <row r="417">
      <c r="A417" t="str">
        <f>data!$B$31</f>
      </c>
      <c r="B417" s="14" t="str">
        <f>IF(OR(COUNTA(B393:C397,E393:F397)&gt;0,OR(D392="X",D392="x")),IF(OR(D392="X",D392="x"),0,IF(OR(F392&gt;B392,AND(F392=B392,E392&gt;C392)),1,0)),0)+IF(OR(COUNTA(B401:C405,E401:F405)&gt;0,OR(D400="X",D400="x")),IF(OR(D400="X",D400="x"),0,IF(OR(F400&gt;B400,AND(F400=B400,E400&gt;C400)),1,0)),0)</f>
      </c>
      <c r="C417" s="14" t="str">
        <f>IF(OR(COUNTA(B393:C397,E393:F397)&gt;0,OR(D392="X",D392="x")),IF(OR(D392="X",D392="x"),0,IF(OR(F392&lt;B392,AND(F392=B392,E392&lt;C392)),1,0)),0)+IF(OR(COUNTA(B401:C405,E401:F405)&gt;0,OR(D400="X",D400="x")),IF(OR(D400="X",D400="x"),0,IF(OR(F400&lt;B400,AND(F400=B400,E400&lt;C400)),1,0)),0)</f>
      </c>
      <c r="D417" s="14" t="str">
        <f>IF(OR(COUNTA(B393:C397,E393:F397)&gt;0,OR(D392="X",D392="x")),IF(OR(D392="X",D392="x"),1,0),0)+IF(OR(COUNTA(B401:C405,E401:F405)&gt;0,OR(D400="X",D400="x")),IF(OR(D400="X",D400="x"),1,0),0)</f>
      </c>
      <c r="I417" t="str">
        <f>data!$B$76</f>
      </c>
      <c r="J417" s="14" t="str">
        <f>IF(OR(COUNTA(J393:K397,M393:N397)&gt;0,OR(L392="X",L392="x")),IF(OR(L392="X",L392="x"),0,IF(OR(N392&gt;J392,AND(N392=J392,M392&gt;K392)),1,0)),0)+IF(OR(COUNTA(J401:K405,M401:N405)&gt;0,OR(L400="X",L400="x")),IF(OR(L400="X",L400="x"),0,IF(OR(N400&gt;J400,AND(N400=J400,M400&gt;K400)),1,0)),0)</f>
      </c>
      <c r="K417" s="14" t="str">
        <f>IF(OR(COUNTA(J393:K397,M393:N397)&gt;0,OR(L392="X",L392="x")),IF(OR(L392="X",L392="x"),0,IF(OR(N392&lt;J392,AND(N392=J392,M392&lt;K392)),1,0)),0)+IF(OR(COUNTA(J401:K405,M401:N405)&gt;0,OR(L400="X",L400="x")),IF(OR(L400="X",L400="x"),0,IF(OR(N400&lt;J400,AND(N400=J400,M400&lt;K400)),1,0)),0)</f>
      </c>
      <c r="L417" s="14" t="str">
        <f>IF(OR(COUNTA(J393:K397,M393:N397)&gt;0,OR(L392="X",L392="x")),IF(OR(L392="X",L392="x"),1,0),0)+IF(OR(COUNTA(J401:K405,M401:N405)&gt;0,OR(L400="X",L400="x")),IF(OR(L400="X",L400="x"),1,0),0)</f>
      </c>
    </row>
    <row r="418">
      <c r="A418" t="str">
        <f>data!$B$32</f>
      </c>
      <c r="B418" s="14" t="str">
        <f>IF(OR(COUNTA(B393:C397,E393:F397)&gt;0,OR(D392="X",D392="x")),IF(OR(D392="X",D392="x"),0,IF(OR(B392&gt;F392,AND(B392=F392,C392&gt;E392)),1,0)),0)+IF(OR(COUNTA(B409:C413,E409:F413)&gt;0,OR(D408="X",D408="x")),IF(OR(D408="X",D408="x"),0,IF(OR(F408&gt;B408,AND(F408=B408,E408&gt;C408)),1,0)),0)</f>
      </c>
      <c r="C418" s="14" t="str">
        <f>IF(OR(COUNTA(B393:C397,E393:F397)&gt;0,OR(D392="X",D392="x")),IF(OR(D392="X",D392="x"),0,IF(OR(B392&lt;F392,AND(B392=F392,C392&lt;E392)),1,0)),0)+IF(OR(COUNTA(B409:C413,E409:F413)&gt;0,OR(D408="X",D408="x")),IF(OR(D408="X",D408="x"),0,IF(OR(F408&lt;B408,AND(F408=B408,E408&lt;C408)),1,0)),0)</f>
      </c>
      <c r="D418" s="14" t="str">
        <f>IF(OR(COUNTA(B393:C397,E393:F397)&gt;0,OR(D392="X",D392="x")),IF(OR(D392="X",D392="x"),1,0),0)+IF(OR(COUNTA(B409:C413,E409:F413)&gt;0,OR(D408="X",D408="x")),IF(OR(D408="X",D408="x"),1,0),0)</f>
      </c>
      <c r="I418" t="str">
        <f>data!$B$77</f>
      </c>
      <c r="J418" s="14" t="str">
        <f>IF(OR(COUNTA(J393:K397,M393:N397)&gt;0,OR(L392="X",L392="x")),IF(OR(L392="X",L392="x"),0,IF(OR(J392&gt;N392,AND(J392=N392,K392&gt;M392)),1,0)),0)+IF(OR(COUNTA(J409:K413,M409:N413)&gt;0,OR(L408="X",L408="x")),IF(OR(L408="X",L408="x"),0,IF(OR(N408&gt;J408,AND(N408=J408,M408&gt;K408)),1,0)),0)</f>
      </c>
      <c r="K418" s="14" t="str">
        <f>IF(OR(COUNTA(J393:K397,M393:N397)&gt;0,OR(L392="X",L392="x")),IF(OR(L392="X",L392="x"),0,IF(OR(J392&lt;N392,AND(J392=N392,K392&lt;M392)),1,0)),0)+IF(OR(COUNTA(J409:K413,M409:N413)&gt;0,OR(L408="X",L408="x")),IF(OR(L408="X",L408="x"),0,IF(OR(N408&lt;J408,AND(N408=J408,M408&lt;K408)),1,0)),0)</f>
      </c>
      <c r="L418" s="14" t="str">
        <f>IF(OR(COUNTA(J393:K397,M393:N397)&gt;0,OR(L392="X",L392="x")),IF(OR(L392="X",L392="x"),1,0),0)+IF(OR(COUNTA(J409:K413,M409:N413)&gt;0,OR(L408="X",L408="x")),IF(OR(L408="X",L408="x"),1,0),0)</f>
      </c>
    </row>
    <row r="419">
      <c r="A419" t="str">
        <f>data!$B$33</f>
      </c>
      <c r="B419" s="14" t="str">
        <f>IF(OR(COUNTA(B401:C405,E401:F405)&gt;0,OR(D400="X",D400="x")),IF(OR(D400="X",D400="x"),0,IF(OR(B400&gt;F400,AND(B400=F400,C400&gt;E400)),1,0)),0)+IF(OR(COUNTA(B409:C413,E409:F413)&gt;0,OR(D408="X",D408="x")),IF(OR(D408="X",D408="x"),0,IF(OR(B408&gt;F408,AND(B408=F408,C408&gt;E408)),1,0)),0)</f>
      </c>
      <c r="C419" s="14" t="str">
        <f>IF(OR(COUNTA(B401:C405,E401:F405)&gt;0,OR(D400="X",D400="x")),IF(OR(D400="X",D400="x"),0,IF(OR(B400&lt;F400,AND(B400=F400,C400&lt;E400)),1,0)),0)+IF(OR(COUNTA(B409:C413,E409:F413)&gt;0,OR(D408="X",D408="x")),IF(OR(D408="X",D408="x"),0,IF(OR(B408&lt;F408,AND(B408=F408,C408&lt;E408)),1,0)),0)</f>
      </c>
      <c r="D419" s="14" t="str">
        <f>IF(OR(COUNTA(B401:C405,E401:F405)&gt;0,OR(D400="X",D400="x")),IF(OR(D400="X",D400="x"),1,0),0)+IF(OR(COUNTA(B409:C413,E409:F413)&gt;0,OR(D408="X",D408="x")),IF(OR(D408="X",D408="x"),1,0),0)</f>
      </c>
      <c r="I419" t="str">
        <f>data!$B$78</f>
      </c>
      <c r="J419" s="14" t="str">
        <f>IF(OR(COUNTA(J401:K405,M401:N405)&gt;0,OR(L400="X",L400="x")),IF(OR(L400="X",L400="x"),0,IF(OR(J400&gt;N400,AND(J400=N400,K400&gt;M400)),1,0)),0)+IF(OR(COUNTA(J409:K413,M409:N413)&gt;0,OR(L408="X",L408="x")),IF(OR(L408="X",L408="x"),0,IF(OR(J408&gt;N408,AND(J408=N408,K408&gt;M408)),1,0)),0)</f>
      </c>
      <c r="K419" s="14" t="str">
        <f>IF(OR(COUNTA(J401:K405,M401:N405)&gt;0,OR(L400="X",L400="x")),IF(OR(L400="X",L400="x"),0,IF(OR(J400&lt;N400,AND(J400=N400,K400&lt;M400)),1,0)),0)+IF(OR(COUNTA(J409:K413,M409:N413)&gt;0,OR(L408="X",L408="x")),IF(OR(L408="X",L408="x"),0,IF(OR(J408&lt;N408,AND(J408=N408,K408&lt;M408)),1,0)),0)</f>
      </c>
      <c r="L419" s="14" t="str">
        <f>IF(OR(COUNTA(J401:K405,M401:N405)&gt;0,OR(L400="X",L400="x")),IF(OR(L400="X",L400="x"),1,0),0)+IF(OR(COUNTA(J409:K413,M409:N413)&gt;0,OR(L408="X",L408="x")),IF(OR(L408="X",L408="x"),1,0),0)</f>
      </c>
    </row>
    <row r="421">
      <c r="A421" s="13"/>
      <c r="B421" s="13" t="s">
        <v>244</v>
      </c>
      <c r="C421" s="13" t="s">
        <v>245</v>
      </c>
      <c r="D421" s="13" t="s">
        <v>246</v>
      </c>
      <c r="E421" s="13" t="s">
        <v>247</v>
      </c>
      <c r="F421" s="13" t="s">
        <v>248</v>
      </c>
      <c r="I421" s="13"/>
      <c r="J421" s="13" t="s">
        <v>244</v>
      </c>
      <c r="K421" s="13" t="s">
        <v>245</v>
      </c>
      <c r="L421" s="13" t="s">
        <v>246</v>
      </c>
      <c r="M421" s="13" t="s">
        <v>247</v>
      </c>
      <c r="N421" s="13" t="s">
        <v>248</v>
      </c>
    </row>
    <row r="422">
      <c r="A422" t="str">
        <f>data!$B$31</f>
      </c>
      <c r="B422" s="14" t="str">
        <f>IF(OR(COUNTA(B393:C397,E393:F397)&gt;0,OR(D392="X",D392="x")),F392,0)+IF(OR(COUNTA(B401:C405,E401:F405)&gt;0,OR(D400="X",D400="x")),F400,0)</f>
      </c>
      <c r="C422" s="14" t="str">
        <f>IF(OR(COUNTA(B393:C397,E393:F397)&gt;0,OR(D392="X",D392="x")),B392,0)+IF(OR(COUNTA(B401:C405,E401:F405)&gt;0,OR(D400="X",D400="x")),B400,0)</f>
      </c>
      <c r="D422" s="14" t="str">
        <f>IF(OR(COUNTA(B393:C397,E393:F397)&gt;0,OR(D392="X",D392="x")),(IF(OR(D393="X",D393="x"),1,0)+IF(OR(D394="X",D394="x"),1,0)+IF(OR(D395="X",D395="x"),1,0)+IF(OR(D396="X",D396="x"),1,0)+IF(OR(D397="X",D397="x"),1,0)),0)+IF(OR(COUNTA(B401:C405,E401:F405)&gt;0,OR(D400="X",D400="x")),(IF(OR(D401="X",D401="x"),1,0)+IF(OR(D402="X",D402="x"),1,0)+IF(OR(D403="X",D403="x"),1,0)+IF(OR(D404="X",D404="x"),1,0)+IF(OR(D405="X",D405="x"),1,0)),0)</f>
      </c>
      <c r="E422" s="14" t="str">
        <f>E392+E400</f>
      </c>
      <c r="F422" s="14" t="str">
        <f>C392+C400</f>
      </c>
      <c r="I422" t="str">
        <f>data!$B$76</f>
      </c>
      <c r="J422" s="14" t="str">
        <f>IF(OR(COUNTA(J393:K397,M393:N397)&gt;0,OR(L392="X",L392="x")),N392,0)+IF(OR(COUNTA(J401:K405,M401:N405)&gt;0,OR(L400="X",L400="x")),N400,0)</f>
      </c>
      <c r="K422" s="14" t="str">
        <f>IF(OR(COUNTA(J393:K397,M393:N397)&gt;0,OR(L392="X",L392="x")),J392,0)+IF(OR(COUNTA(J401:K405,M401:N405)&gt;0,OR(L400="X",L400="x")),J400,0)</f>
      </c>
      <c r="L422" s="14" t="str">
        <f>IF(OR(COUNTA(J393:K397,M393:N397)&gt;0,OR(L392="X",L392="x")),(IF(OR(L393="X",L393="x"),1,0)+IF(OR(L394="X",L394="x"),1,0)+IF(OR(L395="X",L395="x"),1,0)+IF(OR(L396="X",L396="x"),1,0)+IF(OR(L397="X",L397="x"),1,0)),0)+IF(OR(COUNTA(J401:K405,M401:N405)&gt;0,OR(L400="X",L400="x")),(IF(OR(L401="X",L401="x"),1,0)+IF(OR(L402="X",L402="x"),1,0)+IF(OR(L403="X",L403="x"),1,0)+IF(OR(L404="X",L404="x"),1,0)+IF(OR(L405="X",L405="x"),1,0)),0)</f>
      </c>
      <c r="M422" s="14" t="str">
        <f>M392+M400</f>
      </c>
      <c r="N422" s="14" t="str">
        <f>K392+K400</f>
      </c>
    </row>
    <row r="423">
      <c r="A423" t="str">
        <f>data!$B$32</f>
      </c>
      <c r="B423" s="14" t="str">
        <f>IF(OR(COUNTA(B393:C397,E393:F397)&gt;0,OR(D392="X",D392="x")),B392,0)+IF(OR(COUNTA(B409:C413,E409:F413)&gt;0,OR(D408="X",D408="x")),F408,0)</f>
      </c>
      <c r="C423" s="14" t="str">
        <f>IF(OR(COUNTA(B393:C397,E393:F397)&gt;0,OR(D392="X",D392="x")),F392,0)+IF(OR(COUNTA(B409:C413,E409:F413)&gt;0,OR(D408="X",D408="x")),B408,0)</f>
      </c>
      <c r="D423" s="14" t="str">
        <f>IF(OR(COUNTA(B393:C397,E393:F397)&gt;0,OR(D392="X",D392="x")),(IF(OR(D393="X",D393="x"),1,0)+IF(OR(D394="X",D394="x"),1,0)+IF(OR(D395="X",D395="x"),1,0)+IF(OR(D396="X",D396="x"),1,0)+IF(OR(D397="X",D397="x"),1,0)),0)+IF(OR(COUNTA(B409:C413,E409:F413)&gt;0,OR(D408="X",D408="x")),(IF(OR(D409="X",D409="x"),1,0)+IF(OR(D410="X",D410="x"),1,0)+IF(OR(D411="X",D411="x"),1,0)+IF(OR(D412="X",D412="x"),1,0)+IF(OR(D413="X",D413="x"),1,0)),0)</f>
      </c>
      <c r="E423" s="14" t="str">
        <f>C392+E408</f>
      </c>
      <c r="F423" s="14" t="str">
        <f>E392+C408</f>
      </c>
      <c r="I423" t="str">
        <f>data!$B$77</f>
      </c>
      <c r="J423" s="14" t="str">
        <f>IF(OR(COUNTA(J393:K397,M393:N397)&gt;0,OR(L392="X",L392="x")),J392,0)+IF(OR(COUNTA(J409:K413,M409:N413)&gt;0,OR(L408="X",L408="x")),N408,0)</f>
      </c>
      <c r="K423" s="14" t="str">
        <f>IF(OR(COUNTA(J393:K397,M393:N397)&gt;0,OR(L392="X",L392="x")),N392,0)+IF(OR(COUNTA(J409:K413,M409:N413)&gt;0,OR(L408="X",L408="x")),J408,0)</f>
      </c>
      <c r="L423" s="14" t="str">
        <f>IF(OR(COUNTA(J393:K397,M393:N397)&gt;0,OR(L392="X",L392="x")),(IF(OR(L393="X",L393="x"),1,0)+IF(OR(L394="X",L394="x"),1,0)+IF(OR(L395="X",L395="x"),1,0)+IF(OR(L396="X",L396="x"),1,0)+IF(OR(L397="X",L397="x"),1,0)),0)+IF(OR(COUNTA(J409:K413,M409:N413)&gt;0,OR(L408="X",L408="x")),(IF(OR(L409="X",L409="x"),1,0)+IF(OR(L410="X",L410="x"),1,0)+IF(OR(L411="X",L411="x"),1,0)+IF(OR(L412="X",L412="x"),1,0)+IF(OR(L413="X",L413="x"),1,0)),0)</f>
      </c>
      <c r="M423" s="14" t="str">
        <f>K392+M408</f>
      </c>
      <c r="N423" s="14" t="str">
        <f>M392+K408</f>
      </c>
    </row>
    <row r="424">
      <c r="A424" t="str">
        <f>data!$B$33</f>
      </c>
      <c r="B424" s="14" t="str">
        <f>IF(OR(COUNTA(B401:C405,E401:F405)&gt;0,OR(D400="X",D400="x")),B400,0)+IF(OR(COUNTA(B409:C413,E409:F413)&gt;0,OR(D408="X",D408="x")),B408,0)</f>
      </c>
      <c r="C424" s="14" t="str">
        <f>IF(OR(COUNTA(B401:C405,E401:F405)&gt;0,OR(D400="X",D400="x")),F400,0)+IF(OR(COUNTA(B409:C413,E409:F413)&gt;0,OR(D408="X",D408="x")),F408,0)</f>
      </c>
      <c r="D424" s="14" t="str">
        <f>IF(OR(COUNTA(B401:C405,E401:F405)&gt;0,OR(D400="X",D400="x")),(IF(OR(D401="X",D401="x"),1,0)+IF(OR(D402="X",D402="x"),1,0)+IF(OR(D403="X",D403="x"),1,0)+IF(OR(D404="X",D404="x"),1,0)+IF(OR(D405="X",D405="x"),1,0)),0)+IF(OR(COUNTA(B409:C413,E409:F413)&gt;0,OR(D408="X",D408="x")),(IF(OR(D409="X",D409="x"),1,0)+IF(OR(D410="X",D410="x"),1,0)+IF(OR(D411="X",D411="x"),1,0)+IF(OR(D412="X",D412="x"),1,0)+IF(OR(D413="X",D413="x"),1,0)),0)</f>
      </c>
      <c r="E424" s="14" t="str">
        <f>C400+C408</f>
      </c>
      <c r="F424" s="14" t="str">
        <f>E400+E408</f>
      </c>
      <c r="I424" t="str">
        <f>data!$B$78</f>
      </c>
      <c r="J424" s="14" t="str">
        <f>IF(OR(COUNTA(J401:K405,M401:N405)&gt;0,OR(L400="X",L400="x")),J400,0)+IF(OR(COUNTA(J409:K413,M409:N413)&gt;0,OR(L408="X",L408="x")),J408,0)</f>
      </c>
      <c r="K424" s="14" t="str">
        <f>IF(OR(COUNTA(J401:K405,M401:N405)&gt;0,OR(L400="X",L400="x")),N400,0)+IF(OR(COUNTA(J409:K413,M409:N413)&gt;0,OR(L408="X",L408="x")),N408,0)</f>
      </c>
      <c r="L424" s="14" t="str">
        <f>IF(OR(COUNTA(J401:K405,M401:N405)&gt;0,OR(L400="X",L400="x")),(IF(OR(L401="X",L401="x"),1,0)+IF(OR(L402="X",L402="x"),1,0)+IF(OR(L403="X",L403="x"),1,0)+IF(OR(L404="X",L404="x"),1,0)+IF(OR(L405="X",L405="x"),1,0)),0)+IF(OR(COUNTA(J409:K413,M409:N413)&gt;0,OR(L408="X",L408="x")),(IF(OR(L409="X",L409="x"),1,0)+IF(OR(L410="X",L410="x"),1,0)+IF(OR(L411="X",L411="x"),1,0)+IF(OR(L412="X",L412="x"),1,0)+IF(OR(L413="X",L413="x"),1,0)),0)</f>
      </c>
      <c r="M424" s="14" t="str">
        <f>K400+K408</f>
      </c>
      <c r="N424" s="14" t="str">
        <f>M400+M408</f>
      </c>
    </row>
    <row r="427">
      <c r="F427" s="13"/>
      <c r="G427" s="13" t="s">
        <v>249</v>
      </c>
      <c r="N427" s="13"/>
      <c r="O427" s="13" t="s">
        <v>249</v>
      </c>
    </row>
    <row r="428">
      <c r="F428" t="s">
        <v>250</v>
      </c>
      <c r="G428" s="19"/>
      <c r="N428" t="s">
        <v>250</v>
      </c>
      <c r="O428" s="19"/>
    </row>
    <row r="429">
      <c r="F429" t="s">
        <v>251</v>
      </c>
      <c r="G429" s="19"/>
      <c r="N429" t="s">
        <v>251</v>
      </c>
      <c r="O429" s="19"/>
    </row>
    <row r="430">
      <c r="F430" t="s">
        <v>252</v>
      </c>
      <c r="G430" s="19"/>
      <c r="N430" t="s">
        <v>252</v>
      </c>
      <c r="O430" s="19"/>
    </row>
    <row r="432">
      <c r="A432" s="13" t="str">
        <f>data!$A$36</f>
      </c>
      <c r="B432" s="13"/>
      <c r="C432" s="13"/>
      <c r="D432" s="13"/>
      <c r="E432" s="13"/>
      <c r="F432" s="13"/>
      <c r="G432" s="13"/>
      <c r="I432" s="13" t="str">
        <f>data!$A$81</f>
      </c>
      <c r="J432" s="13"/>
      <c r="K432" s="13"/>
      <c r="L432" s="13"/>
      <c r="M432" s="13"/>
      <c r="N432" s="13"/>
      <c r="O432" s="13"/>
    </row>
    <row r="433">
      <c r="A433" s="17" t="s">
        <v>238</v>
      </c>
      <c r="B433" s="14"/>
      <c r="C433" s="14"/>
      <c r="D433" s="14" t="s">
        <v>239</v>
      </c>
      <c r="E433" s="14"/>
      <c r="F433" s="14"/>
      <c r="G433" s="16" t="s">
        <v>240</v>
      </c>
      <c r="I433" s="17" t="s">
        <v>238</v>
      </c>
      <c r="J433" s="14"/>
      <c r="K433" s="14"/>
      <c r="L433" s="14" t="s">
        <v>239</v>
      </c>
      <c r="M433" s="14"/>
      <c r="N433" s="14"/>
      <c r="O433" s="16" t="s">
        <v>240</v>
      </c>
    </row>
    <row r="434">
      <c r="A434" s="14" t="str">
        <f>data!$B$35</f>
      </c>
      <c r="B434" s="18" t="str">
        <f>SUMPRODUCT((UPPER(D435:D439)&lt;&gt;"X")*((LEN(SUBSTITUTE(SUBSTITUTE(SUBSTITUTE(B435:B439," ",""),"0",""),"-",""))+LEN(SUBSTITUTE(SUBSTITUTE(SUBSTITUTE(C435:C439," ",""),"0",""),"-","")))&gt;(LEN(SUBSTITUTE(SUBSTITUTE(SUBSTITUTE(E435:E439," ",""),"0",""),"-",""))+LEN(SUBSTITUTE(SUBSTITUTE(SUBSTITUTE(F435:F439," ",""),"0",""),"-",""))))*1)</f>
      </c>
      <c r="C434" s="18" t="str">
        <f>SUMPRODUCT(LEN(SUBSTITUTE(SUBSTITUTE(SUBSTITUTE(B435:B439," ",""),"0",""),"-",""))+LEN(SUBSTITUTE(SUBSTITUTE(SUBSTITUTE(C435:C439," ",""),"0",""),"-","")))</f>
      </c>
      <c r="D434" s="18"/>
      <c r="E434" s="18" t="str">
        <f>SUMPRODUCT(LEN(SUBSTITUTE(SUBSTITUTE(SUBSTITUTE(E435:E439," ",""),"0",""),"-",""))+LEN(SUBSTITUTE(SUBSTITUTE(SUBSTITUTE(F435:F439," ",""),"0",""),"-","")))</f>
      </c>
      <c r="F434" s="18" t="str">
        <f>SUMPRODUCT((UPPER(D435:D439)&lt;&gt;"X")*((LEN(SUBSTITUTE(SUBSTITUTE(SUBSTITUTE(E435:E439," ",""),"0",""),"-",""))+LEN(SUBSTITUTE(SUBSTITUTE(SUBSTITUTE(F435:F439," ",""),"0",""),"-","")))&gt;(LEN(SUBSTITUTE(SUBSTITUTE(SUBSTITUTE(B435:B439," ",""),"0",""),"-",""))+LEN(SUBSTITUTE(SUBSTITUTE(SUBSTITUTE(C435:C439," ",""),"0",""),"-",""))))*1)</f>
      </c>
      <c r="G434" s="14" t="str">
        <f>data!$B$34</f>
      </c>
      <c r="I434" s="14" t="str">
        <f>data!$B$80</f>
      </c>
      <c r="J434" s="18" t="str">
        <f>SUMPRODUCT((UPPER(L435:L439)&lt;&gt;"X")*((LEN(SUBSTITUTE(SUBSTITUTE(SUBSTITUTE(J435:J439," ",""),"0",""),"-",""))+LEN(SUBSTITUTE(SUBSTITUTE(SUBSTITUTE(K435:K439," ",""),"0",""),"-","")))&gt;(LEN(SUBSTITUTE(SUBSTITUTE(SUBSTITUTE(M435:M439," ",""),"0",""),"-",""))+LEN(SUBSTITUTE(SUBSTITUTE(SUBSTITUTE(N435:N439," ",""),"0",""),"-",""))))*1)</f>
      </c>
      <c r="K434" s="18" t="str">
        <f>SUMPRODUCT(LEN(SUBSTITUTE(SUBSTITUTE(SUBSTITUTE(J435:J439," ",""),"0",""),"-",""))+LEN(SUBSTITUTE(SUBSTITUTE(SUBSTITUTE(K435:K439," ",""),"0",""),"-","")))</f>
      </c>
      <c r="L434" s="18"/>
      <c r="M434" s="18" t="str">
        <f>SUMPRODUCT(LEN(SUBSTITUTE(SUBSTITUTE(SUBSTITUTE(M435:M439," ",""),"0",""),"-",""))+LEN(SUBSTITUTE(SUBSTITUTE(SUBSTITUTE(N435:N439," ",""),"0",""),"-","")))</f>
      </c>
      <c r="N434" s="18" t="str">
        <f>SUMPRODUCT((UPPER(L435:L439)&lt;&gt;"X")*((LEN(SUBSTITUTE(SUBSTITUTE(SUBSTITUTE(M435:M439," ",""),"0",""),"-",""))+LEN(SUBSTITUTE(SUBSTITUTE(SUBSTITUTE(N435:N439," ",""),"0",""),"-","")))&gt;(LEN(SUBSTITUTE(SUBSTITUTE(SUBSTITUTE(J435:J439," ",""),"0",""),"-",""))+LEN(SUBSTITUTE(SUBSTITUTE(SUBSTITUTE(K435:K439," ",""),"0",""),"-",""))))*1)</f>
      </c>
      <c r="O434" s="14" t="str">
        <f>data!$B$79</f>
      </c>
    </row>
    <row r="435">
      <c r="A435" s="18">
        <v>1</v>
      </c>
      <c r="B435" s="18"/>
      <c r="C435" s="18"/>
      <c r="D435" s="18"/>
      <c r="E435" s="18"/>
      <c r="F435" s="18"/>
      <c r="G435" s="18">
        <v>1</v>
      </c>
      <c r="I435" s="18">
        <v>1</v>
      </c>
      <c r="J435" s="18"/>
      <c r="K435" s="18"/>
      <c r="L435" s="18"/>
      <c r="M435" s="18"/>
      <c r="N435" s="18"/>
      <c r="O435" s="18">
        <v>1</v>
      </c>
    </row>
    <row r="436">
      <c r="A436" s="18">
        <v>2</v>
      </c>
      <c r="B436" s="18"/>
      <c r="C436" s="18"/>
      <c r="D436" s="18"/>
      <c r="E436" s="18"/>
      <c r="F436" s="18"/>
      <c r="G436" s="18">
        <v>2</v>
      </c>
      <c r="I436" s="18">
        <v>2</v>
      </c>
      <c r="J436" s="18"/>
      <c r="K436" s="18"/>
      <c r="L436" s="18"/>
      <c r="M436" s="18"/>
      <c r="N436" s="18"/>
      <c r="O436" s="18">
        <v>2</v>
      </c>
    </row>
    <row r="437">
      <c r="A437" s="18">
        <v>3</v>
      </c>
      <c r="B437" s="18"/>
      <c r="C437" s="18"/>
      <c r="D437" s="18"/>
      <c r="E437" s="18"/>
      <c r="F437" s="18"/>
      <c r="G437" s="18">
        <v>3</v>
      </c>
      <c r="I437" s="18">
        <v>3</v>
      </c>
      <c r="J437" s="18"/>
      <c r="K437" s="18"/>
      <c r="L437" s="18"/>
      <c r="M437" s="18"/>
      <c r="N437" s="18"/>
      <c r="O437" s="18">
        <v>3</v>
      </c>
    </row>
    <row r="438">
      <c r="A438" s="18">
        <v>4</v>
      </c>
      <c r="B438" s="18"/>
      <c r="C438" s="18"/>
      <c r="D438" s="18"/>
      <c r="E438" s="18"/>
      <c r="F438" s="18"/>
      <c r="G438" s="18">
        <v>4</v>
      </c>
      <c r="I438" s="18">
        <v>4</v>
      </c>
      <c r="J438" s="18"/>
      <c r="K438" s="18"/>
      <c r="L438" s="18"/>
      <c r="M438" s="18"/>
      <c r="N438" s="18"/>
      <c r="O438" s="18">
        <v>4</v>
      </c>
    </row>
    <row r="439">
      <c r="A439" s="18">
        <v>5</v>
      </c>
      <c r="B439" s="18"/>
      <c r="C439" s="18"/>
      <c r="D439" s="18"/>
      <c r="E439" s="18"/>
      <c r="F439" s="18"/>
      <c r="G439" s="18">
        <v>5</v>
      </c>
      <c r="I439" s="18">
        <v>5</v>
      </c>
      <c r="J439" s="18"/>
      <c r="K439" s="18"/>
      <c r="L439" s="18"/>
      <c r="M439" s="18"/>
      <c r="N439" s="18"/>
      <c r="O439" s="18">
        <v>5</v>
      </c>
    </row>
    <row r="441">
      <c r="A441" s="17" t="s">
        <v>238</v>
      </c>
      <c r="B441" s="14"/>
      <c r="C441" s="14"/>
      <c r="D441" s="14" t="s">
        <v>239</v>
      </c>
      <c r="E441" s="14"/>
      <c r="F441" s="14"/>
      <c r="G441" s="16" t="s">
        <v>240</v>
      </c>
      <c r="I441" s="17" t="s">
        <v>238</v>
      </c>
      <c r="J441" s="14"/>
      <c r="K441" s="14"/>
      <c r="L441" s="14" t="s">
        <v>239</v>
      </c>
      <c r="M441" s="14"/>
      <c r="N441" s="14"/>
      <c r="O441" s="16" t="s">
        <v>240</v>
      </c>
    </row>
    <row r="442">
      <c r="A442" s="14" t="str">
        <f>data!$B$36</f>
      </c>
      <c r="B442" s="18" t="str">
        <f>SUMPRODUCT((UPPER(D443:D447)&lt;&gt;"X")*((LEN(SUBSTITUTE(SUBSTITUTE(SUBSTITUTE(B443:B447," ",""),"0",""),"-",""))+LEN(SUBSTITUTE(SUBSTITUTE(SUBSTITUTE(C443:C447," ",""),"0",""),"-","")))&gt;(LEN(SUBSTITUTE(SUBSTITUTE(SUBSTITUTE(E443:E447," ",""),"0",""),"-",""))+LEN(SUBSTITUTE(SUBSTITUTE(SUBSTITUTE(F443:F447," ",""),"0",""),"-",""))))*1)</f>
      </c>
      <c r="C442" s="18" t="str">
        <f>SUMPRODUCT(LEN(SUBSTITUTE(SUBSTITUTE(SUBSTITUTE(B443:B447," ",""),"0",""),"-",""))+LEN(SUBSTITUTE(SUBSTITUTE(SUBSTITUTE(C443:C447," ",""),"0",""),"-","")))</f>
      </c>
      <c r="D442" s="18"/>
      <c r="E442" s="18" t="str">
        <f>SUMPRODUCT(LEN(SUBSTITUTE(SUBSTITUTE(SUBSTITUTE(E443:E447," ",""),"0",""),"-",""))+LEN(SUBSTITUTE(SUBSTITUTE(SUBSTITUTE(F443:F447," ",""),"0",""),"-","")))</f>
      </c>
      <c r="F442" s="18" t="str">
        <f>SUMPRODUCT((UPPER(D443:D447)&lt;&gt;"X")*((LEN(SUBSTITUTE(SUBSTITUTE(SUBSTITUTE(E443:E447," ",""),"0",""),"-",""))+LEN(SUBSTITUTE(SUBSTITUTE(SUBSTITUTE(F443:F447," ",""),"0",""),"-","")))&gt;(LEN(SUBSTITUTE(SUBSTITUTE(SUBSTITUTE(B443:B447," ",""),"0",""),"-",""))+LEN(SUBSTITUTE(SUBSTITUTE(SUBSTITUTE(C443:C447," ",""),"0",""),"-",""))))*1)</f>
      </c>
      <c r="G442" s="14" t="str">
        <f>data!$B$34</f>
      </c>
      <c r="I442" s="14" t="str">
        <f>data!$B$81</f>
      </c>
      <c r="J442" s="18" t="str">
        <f>SUMPRODUCT((UPPER(L443:L447)&lt;&gt;"X")*((LEN(SUBSTITUTE(SUBSTITUTE(SUBSTITUTE(J443:J447," ",""),"0",""),"-",""))+LEN(SUBSTITUTE(SUBSTITUTE(SUBSTITUTE(K443:K447," ",""),"0",""),"-","")))&gt;(LEN(SUBSTITUTE(SUBSTITUTE(SUBSTITUTE(M443:M447," ",""),"0",""),"-",""))+LEN(SUBSTITUTE(SUBSTITUTE(SUBSTITUTE(N443:N447," ",""),"0",""),"-",""))))*1)</f>
      </c>
      <c r="K442" s="18" t="str">
        <f>SUMPRODUCT(LEN(SUBSTITUTE(SUBSTITUTE(SUBSTITUTE(J443:J447," ",""),"0",""),"-",""))+LEN(SUBSTITUTE(SUBSTITUTE(SUBSTITUTE(K443:K447," ",""),"0",""),"-","")))</f>
      </c>
      <c r="L442" s="18"/>
      <c r="M442" s="18" t="str">
        <f>SUMPRODUCT(LEN(SUBSTITUTE(SUBSTITUTE(SUBSTITUTE(M443:M447," ",""),"0",""),"-",""))+LEN(SUBSTITUTE(SUBSTITUTE(SUBSTITUTE(N443:N447," ",""),"0",""),"-","")))</f>
      </c>
      <c r="N442" s="18" t="str">
        <f>SUMPRODUCT((UPPER(L443:L447)&lt;&gt;"X")*((LEN(SUBSTITUTE(SUBSTITUTE(SUBSTITUTE(M443:M447," ",""),"0",""),"-",""))+LEN(SUBSTITUTE(SUBSTITUTE(SUBSTITUTE(N443:N447," ",""),"0",""),"-","")))&gt;(LEN(SUBSTITUTE(SUBSTITUTE(SUBSTITUTE(J443:J447," ",""),"0",""),"-",""))+LEN(SUBSTITUTE(SUBSTITUTE(SUBSTITUTE(K443:K447," ",""),"0",""),"-",""))))*1)</f>
      </c>
      <c r="O442" s="14" t="str">
        <f>data!$B$79</f>
      </c>
    </row>
    <row r="443">
      <c r="A443" s="18">
        <v>1</v>
      </c>
      <c r="B443" s="18"/>
      <c r="C443" s="18"/>
      <c r="D443" s="18"/>
      <c r="E443" s="18"/>
      <c r="F443" s="18"/>
      <c r="G443" s="18">
        <v>1</v>
      </c>
      <c r="I443" s="18">
        <v>1</v>
      </c>
      <c r="J443" s="18"/>
      <c r="K443" s="18"/>
      <c r="L443" s="18"/>
      <c r="M443" s="18"/>
      <c r="N443" s="18"/>
      <c r="O443" s="18">
        <v>1</v>
      </c>
    </row>
    <row r="444">
      <c r="A444" s="18">
        <v>2</v>
      </c>
      <c r="B444" s="18"/>
      <c r="C444" s="18"/>
      <c r="D444" s="18"/>
      <c r="E444" s="18"/>
      <c r="F444" s="18"/>
      <c r="G444" s="18">
        <v>2</v>
      </c>
      <c r="I444" s="18">
        <v>2</v>
      </c>
      <c r="J444" s="18"/>
      <c r="K444" s="18"/>
      <c r="L444" s="18"/>
      <c r="M444" s="18"/>
      <c r="N444" s="18"/>
      <c r="O444" s="18">
        <v>2</v>
      </c>
    </row>
    <row r="445">
      <c r="A445" s="18">
        <v>3</v>
      </c>
      <c r="B445" s="18"/>
      <c r="C445" s="18"/>
      <c r="D445" s="18"/>
      <c r="E445" s="18"/>
      <c r="F445" s="18"/>
      <c r="G445" s="18">
        <v>3</v>
      </c>
      <c r="I445" s="18">
        <v>3</v>
      </c>
      <c r="J445" s="18"/>
      <c r="K445" s="18"/>
      <c r="L445" s="18"/>
      <c r="M445" s="18"/>
      <c r="N445" s="18"/>
      <c r="O445" s="18">
        <v>3</v>
      </c>
    </row>
    <row r="446">
      <c r="A446" s="18">
        <v>4</v>
      </c>
      <c r="B446" s="18"/>
      <c r="C446" s="18"/>
      <c r="D446" s="18"/>
      <c r="E446" s="18"/>
      <c r="F446" s="18"/>
      <c r="G446" s="18">
        <v>4</v>
      </c>
      <c r="I446" s="18">
        <v>4</v>
      </c>
      <c r="J446" s="18"/>
      <c r="K446" s="18"/>
      <c r="L446" s="18"/>
      <c r="M446" s="18"/>
      <c r="N446" s="18"/>
      <c r="O446" s="18">
        <v>4</v>
      </c>
    </row>
    <row r="447">
      <c r="A447" s="18">
        <v>5</v>
      </c>
      <c r="B447" s="18"/>
      <c r="C447" s="18"/>
      <c r="D447" s="18"/>
      <c r="E447" s="18"/>
      <c r="F447" s="18"/>
      <c r="G447" s="18">
        <v>5</v>
      </c>
      <c r="I447" s="18">
        <v>5</v>
      </c>
      <c r="J447" s="18"/>
      <c r="K447" s="18"/>
      <c r="L447" s="18"/>
      <c r="M447" s="18"/>
      <c r="N447" s="18"/>
      <c r="O447" s="18">
        <v>5</v>
      </c>
    </row>
    <row r="449">
      <c r="A449" s="17" t="s">
        <v>238</v>
      </c>
      <c r="B449" s="14"/>
      <c r="C449" s="14"/>
      <c r="D449" s="14" t="s">
        <v>239</v>
      </c>
      <c r="E449" s="14"/>
      <c r="F449" s="14"/>
      <c r="G449" s="16" t="s">
        <v>240</v>
      </c>
      <c r="I449" s="17" t="s">
        <v>238</v>
      </c>
      <c r="J449" s="14"/>
      <c r="K449" s="14"/>
      <c r="L449" s="14" t="s">
        <v>239</v>
      </c>
      <c r="M449" s="14"/>
      <c r="N449" s="14"/>
      <c r="O449" s="16" t="s">
        <v>240</v>
      </c>
    </row>
    <row r="450">
      <c r="A450" s="14" t="str">
        <f>data!$B$36</f>
      </c>
      <c r="B450" s="18" t="str">
        <f>SUMPRODUCT((UPPER(D451:D455)&lt;&gt;"X")*((LEN(SUBSTITUTE(SUBSTITUTE(SUBSTITUTE(B451:B455," ",""),"0",""),"-",""))+LEN(SUBSTITUTE(SUBSTITUTE(SUBSTITUTE(C451:C455," ",""),"0",""),"-","")))&gt;(LEN(SUBSTITUTE(SUBSTITUTE(SUBSTITUTE(E451:E455," ",""),"0",""),"-",""))+LEN(SUBSTITUTE(SUBSTITUTE(SUBSTITUTE(F451:F455," ",""),"0",""),"-",""))))*1)</f>
      </c>
      <c r="C450" s="18" t="str">
        <f>SUMPRODUCT(LEN(SUBSTITUTE(SUBSTITUTE(SUBSTITUTE(B451:B455," ",""),"0",""),"-",""))+LEN(SUBSTITUTE(SUBSTITUTE(SUBSTITUTE(C451:C455," ",""),"0",""),"-","")))</f>
      </c>
      <c r="D450" s="18"/>
      <c r="E450" s="18" t="str">
        <f>SUMPRODUCT(LEN(SUBSTITUTE(SUBSTITUTE(SUBSTITUTE(E451:E455," ",""),"0",""),"-",""))+LEN(SUBSTITUTE(SUBSTITUTE(SUBSTITUTE(F451:F455," ",""),"0",""),"-","")))</f>
      </c>
      <c r="F450" s="18" t="str">
        <f>SUMPRODUCT((UPPER(D451:D455)&lt;&gt;"X")*((LEN(SUBSTITUTE(SUBSTITUTE(SUBSTITUTE(E451:E455," ",""),"0",""),"-",""))+LEN(SUBSTITUTE(SUBSTITUTE(SUBSTITUTE(F451:F455," ",""),"0",""),"-","")))&gt;(LEN(SUBSTITUTE(SUBSTITUTE(SUBSTITUTE(B451:B455," ",""),"0",""),"-",""))+LEN(SUBSTITUTE(SUBSTITUTE(SUBSTITUTE(C451:C455," ",""),"0",""),"-",""))))*1)</f>
      </c>
      <c r="G450" s="14" t="str">
        <f>data!$B$35</f>
      </c>
      <c r="I450" s="14" t="str">
        <f>data!$B$81</f>
      </c>
      <c r="J450" s="18" t="str">
        <f>SUMPRODUCT((UPPER(L451:L455)&lt;&gt;"X")*((LEN(SUBSTITUTE(SUBSTITUTE(SUBSTITUTE(J451:J455," ",""),"0",""),"-",""))+LEN(SUBSTITUTE(SUBSTITUTE(SUBSTITUTE(K451:K455," ",""),"0",""),"-","")))&gt;(LEN(SUBSTITUTE(SUBSTITUTE(SUBSTITUTE(M451:M455," ",""),"0",""),"-",""))+LEN(SUBSTITUTE(SUBSTITUTE(SUBSTITUTE(N451:N455," ",""),"0",""),"-",""))))*1)</f>
      </c>
      <c r="K450" s="18" t="str">
        <f>SUMPRODUCT(LEN(SUBSTITUTE(SUBSTITUTE(SUBSTITUTE(J451:J455," ",""),"0",""),"-",""))+LEN(SUBSTITUTE(SUBSTITUTE(SUBSTITUTE(K451:K455," ",""),"0",""),"-","")))</f>
      </c>
      <c r="L450" s="18"/>
      <c r="M450" s="18" t="str">
        <f>SUMPRODUCT(LEN(SUBSTITUTE(SUBSTITUTE(SUBSTITUTE(M451:M455," ",""),"0",""),"-",""))+LEN(SUBSTITUTE(SUBSTITUTE(SUBSTITUTE(N451:N455," ",""),"0",""),"-","")))</f>
      </c>
      <c r="N450" s="18" t="str">
        <f>SUMPRODUCT((UPPER(L451:L455)&lt;&gt;"X")*((LEN(SUBSTITUTE(SUBSTITUTE(SUBSTITUTE(M451:M455," ",""),"0",""),"-",""))+LEN(SUBSTITUTE(SUBSTITUTE(SUBSTITUTE(N451:N455," ",""),"0",""),"-","")))&gt;(LEN(SUBSTITUTE(SUBSTITUTE(SUBSTITUTE(J451:J455," ",""),"0",""),"-",""))+LEN(SUBSTITUTE(SUBSTITUTE(SUBSTITUTE(K451:K455," ",""),"0",""),"-",""))))*1)</f>
      </c>
      <c r="O450" s="14" t="str">
        <f>data!$B$80</f>
      </c>
    </row>
    <row r="451">
      <c r="A451" s="18">
        <v>1</v>
      </c>
      <c r="B451" s="18"/>
      <c r="C451" s="18"/>
      <c r="D451" s="18"/>
      <c r="E451" s="18"/>
      <c r="F451" s="18"/>
      <c r="G451" s="18">
        <v>1</v>
      </c>
      <c r="I451" s="18">
        <v>1</v>
      </c>
      <c r="J451" s="18"/>
      <c r="K451" s="18"/>
      <c r="L451" s="18"/>
      <c r="M451" s="18"/>
      <c r="N451" s="18"/>
      <c r="O451" s="18">
        <v>1</v>
      </c>
    </row>
    <row r="452">
      <c r="A452" s="18">
        <v>2</v>
      </c>
      <c r="B452" s="18"/>
      <c r="C452" s="18"/>
      <c r="D452" s="18"/>
      <c r="E452" s="18"/>
      <c r="F452" s="18"/>
      <c r="G452" s="18">
        <v>2</v>
      </c>
      <c r="I452" s="18">
        <v>2</v>
      </c>
      <c r="J452" s="18"/>
      <c r="K452" s="18"/>
      <c r="L452" s="18"/>
      <c r="M452" s="18"/>
      <c r="N452" s="18"/>
      <c r="O452" s="18">
        <v>2</v>
      </c>
    </row>
    <row r="453">
      <c r="A453" s="18">
        <v>3</v>
      </c>
      <c r="B453" s="18"/>
      <c r="C453" s="18"/>
      <c r="D453" s="18"/>
      <c r="E453" s="18"/>
      <c r="F453" s="18"/>
      <c r="G453" s="18">
        <v>3</v>
      </c>
      <c r="I453" s="18">
        <v>3</v>
      </c>
      <c r="J453" s="18"/>
      <c r="K453" s="18"/>
      <c r="L453" s="18"/>
      <c r="M453" s="18"/>
      <c r="N453" s="18"/>
      <c r="O453" s="18">
        <v>3</v>
      </c>
    </row>
    <row r="454">
      <c r="A454" s="18">
        <v>4</v>
      </c>
      <c r="B454" s="18"/>
      <c r="C454" s="18"/>
      <c r="D454" s="18"/>
      <c r="E454" s="18"/>
      <c r="F454" s="18"/>
      <c r="G454" s="18">
        <v>4</v>
      </c>
      <c r="I454" s="18">
        <v>4</v>
      </c>
      <c r="J454" s="18"/>
      <c r="K454" s="18"/>
      <c r="L454" s="18"/>
      <c r="M454" s="18"/>
      <c r="N454" s="18"/>
      <c r="O454" s="18">
        <v>4</v>
      </c>
    </row>
    <row r="455">
      <c r="A455" s="18">
        <v>5</v>
      </c>
      <c r="B455" s="18"/>
      <c r="C455" s="18"/>
      <c r="D455" s="18"/>
      <c r="E455" s="18"/>
      <c r="F455" s="18"/>
      <c r="G455" s="18">
        <v>5</v>
      </c>
      <c r="I455" s="18">
        <v>5</v>
      </c>
      <c r="J455" s="18"/>
      <c r="K455" s="18"/>
      <c r="L455" s="18"/>
      <c r="M455" s="18"/>
      <c r="N455" s="18"/>
      <c r="O455" s="18">
        <v>5</v>
      </c>
    </row>
    <row r="458">
      <c r="A458" s="13"/>
      <c r="B458" s="13" t="s">
        <v>241</v>
      </c>
      <c r="C458" s="13" t="s">
        <v>242</v>
      </c>
      <c r="D458" s="13" t="s">
        <v>243</v>
      </c>
      <c r="I458" s="13"/>
      <c r="J458" s="13" t="s">
        <v>241</v>
      </c>
      <c r="K458" s="13" t="s">
        <v>242</v>
      </c>
      <c r="L458" s="13" t="s">
        <v>243</v>
      </c>
    </row>
    <row r="459">
      <c r="A459" t="str">
        <f>data!$B$34</f>
      </c>
      <c r="B459" s="14" t="str">
        <f>IF(OR(COUNTA(B435:C439,E435:F439)&gt;0,OR(D434="X",D434="x")),IF(OR(D434="X",D434="x"),0,IF(OR(F434&gt;B434,AND(F434=B434,E434&gt;C434)),1,0)),0)+IF(OR(COUNTA(B443:C447,E443:F447)&gt;0,OR(D442="X",D442="x")),IF(OR(D442="X",D442="x"),0,IF(OR(F442&gt;B442,AND(F442=B442,E442&gt;C442)),1,0)),0)</f>
      </c>
      <c r="C459" s="14" t="str">
        <f>IF(OR(COUNTA(B435:C439,E435:F439)&gt;0,OR(D434="X",D434="x")),IF(OR(D434="X",D434="x"),0,IF(OR(F434&lt;B434,AND(F434=B434,E434&lt;C434)),1,0)),0)+IF(OR(COUNTA(B443:C447,E443:F447)&gt;0,OR(D442="X",D442="x")),IF(OR(D442="X",D442="x"),0,IF(OR(F442&lt;B442,AND(F442=B442,E442&lt;C442)),1,0)),0)</f>
      </c>
      <c r="D459" s="14" t="str">
        <f>IF(OR(COUNTA(B435:C439,E435:F439)&gt;0,OR(D434="X",D434="x")),IF(OR(D434="X",D434="x"),1,0),0)+IF(OR(COUNTA(B443:C447,E443:F447)&gt;0,OR(D442="X",D442="x")),IF(OR(D442="X",D442="x"),1,0),0)</f>
      </c>
      <c r="I459" t="str">
        <f>data!$B$79</f>
      </c>
      <c r="J459" s="14" t="str">
        <f>IF(OR(COUNTA(J435:K439,M435:N439)&gt;0,OR(L434="X",L434="x")),IF(OR(L434="X",L434="x"),0,IF(OR(N434&gt;J434,AND(N434=J434,M434&gt;K434)),1,0)),0)+IF(OR(COUNTA(J443:K447,M443:N447)&gt;0,OR(L442="X",L442="x")),IF(OR(L442="X",L442="x"),0,IF(OR(N442&gt;J442,AND(N442=J442,M442&gt;K442)),1,0)),0)</f>
      </c>
      <c r="K459" s="14" t="str">
        <f>IF(OR(COUNTA(J435:K439,M435:N439)&gt;0,OR(L434="X",L434="x")),IF(OR(L434="X",L434="x"),0,IF(OR(N434&lt;J434,AND(N434=J434,M434&lt;K434)),1,0)),0)+IF(OR(COUNTA(J443:K447,M443:N447)&gt;0,OR(L442="X",L442="x")),IF(OR(L442="X",L442="x"),0,IF(OR(N442&lt;J442,AND(N442=J442,M442&lt;K442)),1,0)),0)</f>
      </c>
      <c r="L459" s="14" t="str">
        <f>IF(OR(COUNTA(J435:K439,M435:N439)&gt;0,OR(L434="X",L434="x")),IF(OR(L434="X",L434="x"),1,0),0)+IF(OR(COUNTA(J443:K447,M443:N447)&gt;0,OR(L442="X",L442="x")),IF(OR(L442="X",L442="x"),1,0),0)</f>
      </c>
    </row>
    <row r="460">
      <c r="A460" t="str">
        <f>data!$B$35</f>
      </c>
      <c r="B460" s="14" t="str">
        <f>IF(OR(COUNTA(B435:C439,E435:F439)&gt;0,OR(D434="X",D434="x")),IF(OR(D434="X",D434="x"),0,IF(OR(B434&gt;F434,AND(B434=F434,C434&gt;E434)),1,0)),0)+IF(OR(COUNTA(B451:C455,E451:F455)&gt;0,OR(D450="X",D450="x")),IF(OR(D450="X",D450="x"),0,IF(OR(F450&gt;B450,AND(F450=B450,E450&gt;C450)),1,0)),0)</f>
      </c>
      <c r="C460" s="14" t="str">
        <f>IF(OR(COUNTA(B435:C439,E435:F439)&gt;0,OR(D434="X",D434="x")),IF(OR(D434="X",D434="x"),0,IF(OR(B434&lt;F434,AND(B434=F434,C434&lt;E434)),1,0)),0)+IF(OR(COUNTA(B451:C455,E451:F455)&gt;0,OR(D450="X",D450="x")),IF(OR(D450="X",D450="x"),0,IF(OR(F450&lt;B450,AND(F450=B450,E450&lt;C450)),1,0)),0)</f>
      </c>
      <c r="D460" s="14" t="str">
        <f>IF(OR(COUNTA(B435:C439,E435:F439)&gt;0,OR(D434="X",D434="x")),IF(OR(D434="X",D434="x"),1,0),0)+IF(OR(COUNTA(B451:C455,E451:F455)&gt;0,OR(D450="X",D450="x")),IF(OR(D450="X",D450="x"),1,0),0)</f>
      </c>
      <c r="I460" t="str">
        <f>data!$B$80</f>
      </c>
      <c r="J460" s="14" t="str">
        <f>IF(OR(COUNTA(J435:K439,M435:N439)&gt;0,OR(L434="X",L434="x")),IF(OR(L434="X",L434="x"),0,IF(OR(J434&gt;N434,AND(J434=N434,K434&gt;M434)),1,0)),0)+IF(OR(COUNTA(J451:K455,M451:N455)&gt;0,OR(L450="X",L450="x")),IF(OR(L450="X",L450="x"),0,IF(OR(N450&gt;J450,AND(N450=J450,M450&gt;K450)),1,0)),0)</f>
      </c>
      <c r="K460" s="14" t="str">
        <f>IF(OR(COUNTA(J435:K439,M435:N439)&gt;0,OR(L434="X",L434="x")),IF(OR(L434="X",L434="x"),0,IF(OR(J434&lt;N434,AND(J434=N434,K434&lt;M434)),1,0)),0)+IF(OR(COUNTA(J451:K455,M451:N455)&gt;0,OR(L450="X",L450="x")),IF(OR(L450="X",L450="x"),0,IF(OR(N450&lt;J450,AND(N450=J450,M450&lt;K450)),1,0)),0)</f>
      </c>
      <c r="L460" s="14" t="str">
        <f>IF(OR(COUNTA(J435:K439,M435:N439)&gt;0,OR(L434="X",L434="x")),IF(OR(L434="X",L434="x"),1,0),0)+IF(OR(COUNTA(J451:K455,M451:N455)&gt;0,OR(L450="X",L450="x")),IF(OR(L450="X",L450="x"),1,0),0)</f>
      </c>
    </row>
    <row r="461">
      <c r="A461" t="str">
        <f>data!$B$36</f>
      </c>
      <c r="B461" s="14" t="str">
        <f>IF(OR(COUNTA(B443:C447,E443:F447)&gt;0,OR(D442="X",D442="x")),IF(OR(D442="X",D442="x"),0,IF(OR(B442&gt;F442,AND(B442=F442,C442&gt;E442)),1,0)),0)+IF(OR(COUNTA(B451:C455,E451:F455)&gt;0,OR(D450="X",D450="x")),IF(OR(D450="X",D450="x"),0,IF(OR(B450&gt;F450,AND(B450=F450,C450&gt;E450)),1,0)),0)</f>
      </c>
      <c r="C461" s="14" t="str">
        <f>IF(OR(COUNTA(B443:C447,E443:F447)&gt;0,OR(D442="X",D442="x")),IF(OR(D442="X",D442="x"),0,IF(OR(B442&lt;F442,AND(B442=F442,C442&lt;E442)),1,0)),0)+IF(OR(COUNTA(B451:C455,E451:F455)&gt;0,OR(D450="X",D450="x")),IF(OR(D450="X",D450="x"),0,IF(OR(B450&lt;F450,AND(B450=F450,C450&lt;E450)),1,0)),0)</f>
      </c>
      <c r="D461" s="14" t="str">
        <f>IF(OR(COUNTA(B443:C447,E443:F447)&gt;0,OR(D442="X",D442="x")),IF(OR(D442="X",D442="x"),1,0),0)+IF(OR(COUNTA(B451:C455,E451:F455)&gt;0,OR(D450="X",D450="x")),IF(OR(D450="X",D450="x"),1,0),0)</f>
      </c>
      <c r="I461" t="str">
        <f>data!$B$81</f>
      </c>
      <c r="J461" s="14" t="str">
        <f>IF(OR(COUNTA(J443:K447,M443:N447)&gt;0,OR(L442="X",L442="x")),IF(OR(L442="X",L442="x"),0,IF(OR(J442&gt;N442,AND(J442=N442,K442&gt;M442)),1,0)),0)+IF(OR(COUNTA(J451:K455,M451:N455)&gt;0,OR(L450="X",L450="x")),IF(OR(L450="X",L450="x"),0,IF(OR(J450&gt;N450,AND(J450=N450,K450&gt;M450)),1,0)),0)</f>
      </c>
      <c r="K461" s="14" t="str">
        <f>IF(OR(COUNTA(J443:K447,M443:N447)&gt;0,OR(L442="X",L442="x")),IF(OR(L442="X",L442="x"),0,IF(OR(J442&lt;N442,AND(J442=N442,K442&lt;M442)),1,0)),0)+IF(OR(COUNTA(J451:K455,M451:N455)&gt;0,OR(L450="X",L450="x")),IF(OR(L450="X",L450="x"),0,IF(OR(J450&lt;N450,AND(J450=N450,K450&lt;M450)),1,0)),0)</f>
      </c>
      <c r="L461" s="14" t="str">
        <f>IF(OR(COUNTA(J443:K447,M443:N447)&gt;0,OR(L442="X",L442="x")),IF(OR(L442="X",L442="x"),1,0),0)+IF(OR(COUNTA(J451:K455,M451:N455)&gt;0,OR(L450="X",L450="x")),IF(OR(L450="X",L450="x"),1,0),0)</f>
      </c>
    </row>
    <row r="463">
      <c r="A463" s="13"/>
      <c r="B463" s="13" t="s">
        <v>244</v>
      </c>
      <c r="C463" s="13" t="s">
        <v>245</v>
      </c>
      <c r="D463" s="13" t="s">
        <v>246</v>
      </c>
      <c r="E463" s="13" t="s">
        <v>247</v>
      </c>
      <c r="F463" s="13" t="s">
        <v>248</v>
      </c>
      <c r="I463" s="13"/>
      <c r="J463" s="13" t="s">
        <v>244</v>
      </c>
      <c r="K463" s="13" t="s">
        <v>245</v>
      </c>
      <c r="L463" s="13" t="s">
        <v>246</v>
      </c>
      <c r="M463" s="13" t="s">
        <v>247</v>
      </c>
      <c r="N463" s="13" t="s">
        <v>248</v>
      </c>
    </row>
    <row r="464">
      <c r="A464" t="str">
        <f>data!$B$34</f>
      </c>
      <c r="B464" s="14" t="str">
        <f>IF(OR(COUNTA(B435:C439,E435:F439)&gt;0,OR(D434="X",D434="x")),F434,0)+IF(OR(COUNTA(B443:C447,E443:F447)&gt;0,OR(D442="X",D442="x")),F442,0)</f>
      </c>
      <c r="C464" s="14" t="str">
        <f>IF(OR(COUNTA(B435:C439,E435:F439)&gt;0,OR(D434="X",D434="x")),B434,0)+IF(OR(COUNTA(B443:C447,E443:F447)&gt;0,OR(D442="X",D442="x")),B442,0)</f>
      </c>
      <c r="D464" s="14" t="str">
        <f>IF(OR(COUNTA(B435:C439,E435:F439)&gt;0,OR(D434="X",D434="x")),(IF(OR(D435="X",D435="x"),1,0)+IF(OR(D436="X",D436="x"),1,0)+IF(OR(D437="X",D437="x"),1,0)+IF(OR(D438="X",D438="x"),1,0)+IF(OR(D439="X",D439="x"),1,0)),0)+IF(OR(COUNTA(B443:C447,E443:F447)&gt;0,OR(D442="X",D442="x")),(IF(OR(D443="X",D443="x"),1,0)+IF(OR(D444="X",D444="x"),1,0)+IF(OR(D445="X",D445="x"),1,0)+IF(OR(D446="X",D446="x"),1,0)+IF(OR(D447="X",D447="x"),1,0)),0)</f>
      </c>
      <c r="E464" s="14" t="str">
        <f>E434+E442</f>
      </c>
      <c r="F464" s="14" t="str">
        <f>C434+C442</f>
      </c>
      <c r="I464" t="str">
        <f>data!$B$79</f>
      </c>
      <c r="J464" s="14" t="str">
        <f>IF(OR(COUNTA(J435:K439,M435:N439)&gt;0,OR(L434="X",L434="x")),N434,0)+IF(OR(COUNTA(J443:K447,M443:N447)&gt;0,OR(L442="X",L442="x")),N442,0)</f>
      </c>
      <c r="K464" s="14" t="str">
        <f>IF(OR(COUNTA(J435:K439,M435:N439)&gt;0,OR(L434="X",L434="x")),J434,0)+IF(OR(COUNTA(J443:K447,M443:N447)&gt;0,OR(L442="X",L442="x")),J442,0)</f>
      </c>
      <c r="L464" s="14" t="str">
        <f>IF(OR(COUNTA(J435:K439,M435:N439)&gt;0,OR(L434="X",L434="x")),(IF(OR(L435="X",L435="x"),1,0)+IF(OR(L436="X",L436="x"),1,0)+IF(OR(L437="X",L437="x"),1,0)+IF(OR(L438="X",L438="x"),1,0)+IF(OR(L439="X",L439="x"),1,0)),0)+IF(OR(COUNTA(J443:K447,M443:N447)&gt;0,OR(L442="X",L442="x")),(IF(OR(L443="X",L443="x"),1,0)+IF(OR(L444="X",L444="x"),1,0)+IF(OR(L445="X",L445="x"),1,0)+IF(OR(L446="X",L446="x"),1,0)+IF(OR(L447="X",L447="x"),1,0)),0)</f>
      </c>
      <c r="M464" s="14" t="str">
        <f>M434+M442</f>
      </c>
      <c r="N464" s="14" t="str">
        <f>K434+K442</f>
      </c>
    </row>
    <row r="465">
      <c r="A465" t="str">
        <f>data!$B$35</f>
      </c>
      <c r="B465" s="14" t="str">
        <f>IF(OR(COUNTA(B435:C439,E435:F439)&gt;0,OR(D434="X",D434="x")),B434,0)+IF(OR(COUNTA(B451:C455,E451:F455)&gt;0,OR(D450="X",D450="x")),F450,0)</f>
      </c>
      <c r="C465" s="14" t="str">
        <f>IF(OR(COUNTA(B435:C439,E435:F439)&gt;0,OR(D434="X",D434="x")),F434,0)+IF(OR(COUNTA(B451:C455,E451:F455)&gt;0,OR(D450="X",D450="x")),B450,0)</f>
      </c>
      <c r="D465" s="14" t="str">
        <f>IF(OR(COUNTA(B435:C439,E435:F439)&gt;0,OR(D434="X",D434="x")),(IF(OR(D435="X",D435="x"),1,0)+IF(OR(D436="X",D436="x"),1,0)+IF(OR(D437="X",D437="x"),1,0)+IF(OR(D438="X",D438="x"),1,0)+IF(OR(D439="X",D439="x"),1,0)),0)+IF(OR(COUNTA(B451:C455,E451:F455)&gt;0,OR(D450="X",D450="x")),(IF(OR(D451="X",D451="x"),1,0)+IF(OR(D452="X",D452="x"),1,0)+IF(OR(D453="X",D453="x"),1,0)+IF(OR(D454="X",D454="x"),1,0)+IF(OR(D455="X",D455="x"),1,0)),0)</f>
      </c>
      <c r="E465" s="14" t="str">
        <f>C434+E450</f>
      </c>
      <c r="F465" s="14" t="str">
        <f>E434+C450</f>
      </c>
      <c r="I465" t="str">
        <f>data!$B$80</f>
      </c>
      <c r="J465" s="14" t="str">
        <f>IF(OR(COUNTA(J435:K439,M435:N439)&gt;0,OR(L434="X",L434="x")),J434,0)+IF(OR(COUNTA(J451:K455,M451:N455)&gt;0,OR(L450="X",L450="x")),N450,0)</f>
      </c>
      <c r="K465" s="14" t="str">
        <f>IF(OR(COUNTA(J435:K439,M435:N439)&gt;0,OR(L434="X",L434="x")),N434,0)+IF(OR(COUNTA(J451:K455,M451:N455)&gt;0,OR(L450="X",L450="x")),J450,0)</f>
      </c>
      <c r="L465" s="14" t="str">
        <f>IF(OR(COUNTA(J435:K439,M435:N439)&gt;0,OR(L434="X",L434="x")),(IF(OR(L435="X",L435="x"),1,0)+IF(OR(L436="X",L436="x"),1,0)+IF(OR(L437="X",L437="x"),1,0)+IF(OR(L438="X",L438="x"),1,0)+IF(OR(L439="X",L439="x"),1,0)),0)+IF(OR(COUNTA(J451:K455,M451:N455)&gt;0,OR(L450="X",L450="x")),(IF(OR(L451="X",L451="x"),1,0)+IF(OR(L452="X",L452="x"),1,0)+IF(OR(L453="X",L453="x"),1,0)+IF(OR(L454="X",L454="x"),1,0)+IF(OR(L455="X",L455="x"),1,0)),0)</f>
      </c>
      <c r="M465" s="14" t="str">
        <f>K434+M450</f>
      </c>
      <c r="N465" s="14" t="str">
        <f>M434+K450</f>
      </c>
    </row>
    <row r="466">
      <c r="A466" t="str">
        <f>data!$B$36</f>
      </c>
      <c r="B466" s="14" t="str">
        <f>IF(OR(COUNTA(B443:C447,E443:F447)&gt;0,OR(D442="X",D442="x")),B442,0)+IF(OR(COUNTA(B451:C455,E451:F455)&gt;0,OR(D450="X",D450="x")),B450,0)</f>
      </c>
      <c r="C466" s="14" t="str">
        <f>IF(OR(COUNTA(B443:C447,E443:F447)&gt;0,OR(D442="X",D442="x")),F442,0)+IF(OR(COUNTA(B451:C455,E451:F455)&gt;0,OR(D450="X",D450="x")),F450,0)</f>
      </c>
      <c r="D466" s="14" t="str">
        <f>IF(OR(COUNTA(B443:C447,E443:F447)&gt;0,OR(D442="X",D442="x")),(IF(OR(D443="X",D443="x"),1,0)+IF(OR(D444="X",D444="x"),1,0)+IF(OR(D445="X",D445="x"),1,0)+IF(OR(D446="X",D446="x"),1,0)+IF(OR(D447="X",D447="x"),1,0)),0)+IF(OR(COUNTA(B451:C455,E451:F455)&gt;0,OR(D450="X",D450="x")),(IF(OR(D451="X",D451="x"),1,0)+IF(OR(D452="X",D452="x"),1,0)+IF(OR(D453="X",D453="x"),1,0)+IF(OR(D454="X",D454="x"),1,0)+IF(OR(D455="X",D455="x"),1,0)),0)</f>
      </c>
      <c r="E466" s="14" t="str">
        <f>C442+C450</f>
      </c>
      <c r="F466" s="14" t="str">
        <f>E442+E450</f>
      </c>
      <c r="I466" t="str">
        <f>data!$B$81</f>
      </c>
      <c r="J466" s="14" t="str">
        <f>IF(OR(COUNTA(J443:K447,M443:N447)&gt;0,OR(L442="X",L442="x")),J442,0)+IF(OR(COUNTA(J451:K455,M451:N455)&gt;0,OR(L450="X",L450="x")),J450,0)</f>
      </c>
      <c r="K466" s="14" t="str">
        <f>IF(OR(COUNTA(J443:K447,M443:N447)&gt;0,OR(L442="X",L442="x")),N442,0)+IF(OR(COUNTA(J451:K455,M451:N455)&gt;0,OR(L450="X",L450="x")),N450,0)</f>
      </c>
      <c r="L466" s="14" t="str">
        <f>IF(OR(COUNTA(J443:K447,M443:N447)&gt;0,OR(L442="X",L442="x")),(IF(OR(L443="X",L443="x"),1,0)+IF(OR(L444="X",L444="x"),1,0)+IF(OR(L445="X",L445="x"),1,0)+IF(OR(L446="X",L446="x"),1,0)+IF(OR(L447="X",L447="x"),1,0)),0)+IF(OR(COUNTA(J451:K455,M451:N455)&gt;0,OR(L450="X",L450="x")),(IF(OR(L451="X",L451="x"),1,0)+IF(OR(L452="X",L452="x"),1,0)+IF(OR(L453="X",L453="x"),1,0)+IF(OR(L454="X",L454="x"),1,0)+IF(OR(L455="X",L455="x"),1,0)),0)</f>
      </c>
      <c r="M466" s="14" t="str">
        <f>K442+K450</f>
      </c>
      <c r="N466" s="14" t="str">
        <f>M442+M450</f>
      </c>
    </row>
    <row r="469">
      <c r="F469" s="13"/>
      <c r="G469" s="13" t="s">
        <v>249</v>
      </c>
      <c r="N469" s="13"/>
      <c r="O469" s="13" t="s">
        <v>249</v>
      </c>
    </row>
    <row r="470">
      <c r="F470" t="s">
        <v>250</v>
      </c>
      <c r="G470" s="19"/>
      <c r="N470" t="s">
        <v>250</v>
      </c>
      <c r="O470" s="19"/>
    </row>
    <row r="471">
      <c r="F471" t="s">
        <v>251</v>
      </c>
      <c r="G471" s="19"/>
      <c r="N471" t="s">
        <v>251</v>
      </c>
      <c r="O471" s="19"/>
    </row>
    <row r="472">
      <c r="F472" t="s">
        <v>252</v>
      </c>
      <c r="G472" s="19"/>
      <c r="N472" t="s">
        <v>252</v>
      </c>
      <c r="O472" s="19"/>
    </row>
    <row r="474">
      <c r="A474" s="13" t="str">
        <f>data!$A$39</f>
      </c>
      <c r="B474" s="13"/>
      <c r="C474" s="13"/>
      <c r="D474" s="13"/>
      <c r="E474" s="13"/>
      <c r="F474" s="13"/>
      <c r="G474" s="13"/>
      <c r="I474" s="13" t="str">
        <f>data!$A$84</f>
      </c>
      <c r="J474" s="13"/>
      <c r="K474" s="13"/>
      <c r="L474" s="13"/>
      <c r="M474" s="13"/>
      <c r="N474" s="13"/>
      <c r="O474" s="13"/>
    </row>
    <row r="475">
      <c r="A475" s="17" t="s">
        <v>238</v>
      </c>
      <c r="B475" s="14"/>
      <c r="C475" s="14"/>
      <c r="D475" s="14" t="s">
        <v>239</v>
      </c>
      <c r="E475" s="14"/>
      <c r="F475" s="14"/>
      <c r="G475" s="16" t="s">
        <v>240</v>
      </c>
      <c r="I475" s="17" t="s">
        <v>238</v>
      </c>
      <c r="J475" s="14"/>
      <c r="K475" s="14"/>
      <c r="L475" s="14" t="s">
        <v>239</v>
      </c>
      <c r="M475" s="14"/>
      <c r="N475" s="14"/>
      <c r="O475" s="16" t="s">
        <v>240</v>
      </c>
    </row>
    <row r="476">
      <c r="A476" s="14" t="str">
        <f>data!$B$38</f>
      </c>
      <c r="B476" s="18" t="str">
        <f>SUMPRODUCT((UPPER(D477:D481)&lt;&gt;"X")*((LEN(SUBSTITUTE(SUBSTITUTE(SUBSTITUTE(B477:B481," ",""),"0",""),"-",""))+LEN(SUBSTITUTE(SUBSTITUTE(SUBSTITUTE(C477:C481," ",""),"0",""),"-","")))&gt;(LEN(SUBSTITUTE(SUBSTITUTE(SUBSTITUTE(E477:E481," ",""),"0",""),"-",""))+LEN(SUBSTITUTE(SUBSTITUTE(SUBSTITUTE(F477:F481," ",""),"0",""),"-",""))))*1)</f>
      </c>
      <c r="C476" s="18" t="str">
        <f>SUMPRODUCT(LEN(SUBSTITUTE(SUBSTITUTE(SUBSTITUTE(B477:B481," ",""),"0",""),"-",""))+LEN(SUBSTITUTE(SUBSTITUTE(SUBSTITUTE(C477:C481," ",""),"0",""),"-","")))</f>
      </c>
      <c r="D476" s="18"/>
      <c r="E476" s="18" t="str">
        <f>SUMPRODUCT(LEN(SUBSTITUTE(SUBSTITUTE(SUBSTITUTE(E477:E481," ",""),"0",""),"-",""))+LEN(SUBSTITUTE(SUBSTITUTE(SUBSTITUTE(F477:F481," ",""),"0",""),"-","")))</f>
      </c>
      <c r="F476" s="18" t="str">
        <f>SUMPRODUCT((UPPER(D477:D481)&lt;&gt;"X")*((LEN(SUBSTITUTE(SUBSTITUTE(SUBSTITUTE(E477:E481," ",""),"0",""),"-",""))+LEN(SUBSTITUTE(SUBSTITUTE(SUBSTITUTE(F477:F481," ",""),"0",""),"-","")))&gt;(LEN(SUBSTITUTE(SUBSTITUTE(SUBSTITUTE(B477:B481," ",""),"0",""),"-",""))+LEN(SUBSTITUTE(SUBSTITUTE(SUBSTITUTE(C477:C481," ",""),"0",""),"-",""))))*1)</f>
      </c>
      <c r="G476" s="14" t="str">
        <f>data!$B$37</f>
      </c>
      <c r="I476" s="14" t="str">
        <f>data!$B$83</f>
      </c>
      <c r="J476" s="18" t="str">
        <f>SUMPRODUCT((UPPER(L477:L481)&lt;&gt;"X")*((LEN(SUBSTITUTE(SUBSTITUTE(SUBSTITUTE(J477:J481," ",""),"0",""),"-",""))+LEN(SUBSTITUTE(SUBSTITUTE(SUBSTITUTE(K477:K481," ",""),"0",""),"-","")))&gt;(LEN(SUBSTITUTE(SUBSTITUTE(SUBSTITUTE(M477:M481," ",""),"0",""),"-",""))+LEN(SUBSTITUTE(SUBSTITUTE(SUBSTITUTE(N477:N481," ",""),"0",""),"-",""))))*1)</f>
      </c>
      <c r="K476" s="18" t="str">
        <f>SUMPRODUCT(LEN(SUBSTITUTE(SUBSTITUTE(SUBSTITUTE(J477:J481," ",""),"0",""),"-",""))+LEN(SUBSTITUTE(SUBSTITUTE(SUBSTITUTE(K477:K481," ",""),"0",""),"-","")))</f>
      </c>
      <c r="L476" s="18"/>
      <c r="M476" s="18" t="str">
        <f>SUMPRODUCT(LEN(SUBSTITUTE(SUBSTITUTE(SUBSTITUTE(M477:M481," ",""),"0",""),"-",""))+LEN(SUBSTITUTE(SUBSTITUTE(SUBSTITUTE(N477:N481," ",""),"0",""),"-","")))</f>
      </c>
      <c r="N476" s="18" t="str">
        <f>SUMPRODUCT((UPPER(L477:L481)&lt;&gt;"X")*((LEN(SUBSTITUTE(SUBSTITUTE(SUBSTITUTE(M477:M481," ",""),"0",""),"-",""))+LEN(SUBSTITUTE(SUBSTITUTE(SUBSTITUTE(N477:N481," ",""),"0",""),"-","")))&gt;(LEN(SUBSTITUTE(SUBSTITUTE(SUBSTITUTE(J477:J481," ",""),"0",""),"-",""))+LEN(SUBSTITUTE(SUBSTITUTE(SUBSTITUTE(K477:K481," ",""),"0",""),"-",""))))*1)</f>
      </c>
      <c r="O476" s="14" t="str">
        <f>data!$B$82</f>
      </c>
    </row>
    <row r="477">
      <c r="A477" s="18">
        <v>1</v>
      </c>
      <c r="B477" s="18"/>
      <c r="C477" s="18"/>
      <c r="D477" s="18"/>
      <c r="E477" s="18"/>
      <c r="F477" s="18"/>
      <c r="G477" s="18">
        <v>1</v>
      </c>
      <c r="I477" s="18">
        <v>1</v>
      </c>
      <c r="J477" s="18"/>
      <c r="K477" s="18"/>
      <c r="L477" s="18"/>
      <c r="M477" s="18"/>
      <c r="N477" s="18"/>
      <c r="O477" s="18">
        <v>1</v>
      </c>
    </row>
    <row r="478">
      <c r="A478" s="18">
        <v>2</v>
      </c>
      <c r="B478" s="18"/>
      <c r="C478" s="18"/>
      <c r="D478" s="18"/>
      <c r="E478" s="18"/>
      <c r="F478" s="18"/>
      <c r="G478" s="18">
        <v>2</v>
      </c>
      <c r="I478" s="18">
        <v>2</v>
      </c>
      <c r="J478" s="18"/>
      <c r="K478" s="18"/>
      <c r="L478" s="18"/>
      <c r="M478" s="18"/>
      <c r="N478" s="18"/>
      <c r="O478" s="18">
        <v>2</v>
      </c>
    </row>
    <row r="479">
      <c r="A479" s="18">
        <v>3</v>
      </c>
      <c r="B479" s="18"/>
      <c r="C479" s="18"/>
      <c r="D479" s="18"/>
      <c r="E479" s="18"/>
      <c r="F479" s="18"/>
      <c r="G479" s="18">
        <v>3</v>
      </c>
      <c r="I479" s="18">
        <v>3</v>
      </c>
      <c r="J479" s="18"/>
      <c r="K479" s="18"/>
      <c r="L479" s="18"/>
      <c r="M479" s="18"/>
      <c r="N479" s="18"/>
      <c r="O479" s="18">
        <v>3</v>
      </c>
    </row>
    <row r="480">
      <c r="A480" s="18">
        <v>4</v>
      </c>
      <c r="B480" s="18"/>
      <c r="C480" s="18"/>
      <c r="D480" s="18"/>
      <c r="E480" s="18"/>
      <c r="F480" s="18"/>
      <c r="G480" s="18">
        <v>4</v>
      </c>
      <c r="I480" s="18">
        <v>4</v>
      </c>
      <c r="J480" s="18"/>
      <c r="K480" s="18"/>
      <c r="L480" s="18"/>
      <c r="M480" s="18"/>
      <c r="N480" s="18"/>
      <c r="O480" s="18">
        <v>4</v>
      </c>
    </row>
    <row r="481">
      <c r="A481" s="18">
        <v>5</v>
      </c>
      <c r="B481" s="18"/>
      <c r="C481" s="18"/>
      <c r="D481" s="18"/>
      <c r="E481" s="18"/>
      <c r="F481" s="18"/>
      <c r="G481" s="18">
        <v>5</v>
      </c>
      <c r="I481" s="18">
        <v>5</v>
      </c>
      <c r="J481" s="18"/>
      <c r="K481" s="18"/>
      <c r="L481" s="18"/>
      <c r="M481" s="18"/>
      <c r="N481" s="18"/>
      <c r="O481" s="18">
        <v>5</v>
      </c>
    </row>
    <row r="483">
      <c r="A483" s="17" t="s">
        <v>238</v>
      </c>
      <c r="B483" s="14"/>
      <c r="C483" s="14"/>
      <c r="D483" s="14" t="s">
        <v>239</v>
      </c>
      <c r="E483" s="14"/>
      <c r="F483" s="14"/>
      <c r="G483" s="16" t="s">
        <v>240</v>
      </c>
      <c r="I483" s="17" t="s">
        <v>238</v>
      </c>
      <c r="J483" s="14"/>
      <c r="K483" s="14"/>
      <c r="L483" s="14" t="s">
        <v>239</v>
      </c>
      <c r="M483" s="14"/>
      <c r="N483" s="14"/>
      <c r="O483" s="16" t="s">
        <v>240</v>
      </c>
    </row>
    <row r="484">
      <c r="A484" s="14" t="str">
        <f>data!$B$39</f>
      </c>
      <c r="B484" s="18" t="str">
        <f>SUMPRODUCT((UPPER(D485:D489)&lt;&gt;"X")*((LEN(SUBSTITUTE(SUBSTITUTE(SUBSTITUTE(B485:B489," ",""),"0",""),"-",""))+LEN(SUBSTITUTE(SUBSTITUTE(SUBSTITUTE(C485:C489," ",""),"0",""),"-","")))&gt;(LEN(SUBSTITUTE(SUBSTITUTE(SUBSTITUTE(E485:E489," ",""),"0",""),"-",""))+LEN(SUBSTITUTE(SUBSTITUTE(SUBSTITUTE(F485:F489," ",""),"0",""),"-",""))))*1)</f>
      </c>
      <c r="C484" s="18" t="str">
        <f>SUMPRODUCT(LEN(SUBSTITUTE(SUBSTITUTE(SUBSTITUTE(B485:B489," ",""),"0",""),"-",""))+LEN(SUBSTITUTE(SUBSTITUTE(SUBSTITUTE(C485:C489," ",""),"0",""),"-","")))</f>
      </c>
      <c r="D484" s="18"/>
      <c r="E484" s="18" t="str">
        <f>SUMPRODUCT(LEN(SUBSTITUTE(SUBSTITUTE(SUBSTITUTE(E485:E489," ",""),"0",""),"-",""))+LEN(SUBSTITUTE(SUBSTITUTE(SUBSTITUTE(F485:F489," ",""),"0",""),"-","")))</f>
      </c>
      <c r="F484" s="18" t="str">
        <f>SUMPRODUCT((UPPER(D485:D489)&lt;&gt;"X")*((LEN(SUBSTITUTE(SUBSTITUTE(SUBSTITUTE(E485:E489," ",""),"0",""),"-",""))+LEN(SUBSTITUTE(SUBSTITUTE(SUBSTITUTE(F485:F489," ",""),"0",""),"-","")))&gt;(LEN(SUBSTITUTE(SUBSTITUTE(SUBSTITUTE(B485:B489," ",""),"0",""),"-",""))+LEN(SUBSTITUTE(SUBSTITUTE(SUBSTITUTE(C485:C489," ",""),"0",""),"-",""))))*1)</f>
      </c>
      <c r="G484" s="14" t="str">
        <f>data!$B$37</f>
      </c>
      <c r="I484" s="14" t="str">
        <f>data!$B$84</f>
      </c>
      <c r="J484" s="18" t="str">
        <f>SUMPRODUCT((UPPER(L485:L489)&lt;&gt;"X")*((LEN(SUBSTITUTE(SUBSTITUTE(SUBSTITUTE(J485:J489," ",""),"0",""),"-",""))+LEN(SUBSTITUTE(SUBSTITUTE(SUBSTITUTE(K485:K489," ",""),"0",""),"-","")))&gt;(LEN(SUBSTITUTE(SUBSTITUTE(SUBSTITUTE(M485:M489," ",""),"0",""),"-",""))+LEN(SUBSTITUTE(SUBSTITUTE(SUBSTITUTE(N485:N489," ",""),"0",""),"-",""))))*1)</f>
      </c>
      <c r="K484" s="18" t="str">
        <f>SUMPRODUCT(LEN(SUBSTITUTE(SUBSTITUTE(SUBSTITUTE(J485:J489," ",""),"0",""),"-",""))+LEN(SUBSTITUTE(SUBSTITUTE(SUBSTITUTE(K485:K489," ",""),"0",""),"-","")))</f>
      </c>
      <c r="L484" s="18"/>
      <c r="M484" s="18" t="str">
        <f>SUMPRODUCT(LEN(SUBSTITUTE(SUBSTITUTE(SUBSTITUTE(M485:M489," ",""),"0",""),"-",""))+LEN(SUBSTITUTE(SUBSTITUTE(SUBSTITUTE(N485:N489," ",""),"0",""),"-","")))</f>
      </c>
      <c r="N484" s="18" t="str">
        <f>SUMPRODUCT((UPPER(L485:L489)&lt;&gt;"X")*((LEN(SUBSTITUTE(SUBSTITUTE(SUBSTITUTE(M485:M489," ",""),"0",""),"-",""))+LEN(SUBSTITUTE(SUBSTITUTE(SUBSTITUTE(N485:N489," ",""),"0",""),"-","")))&gt;(LEN(SUBSTITUTE(SUBSTITUTE(SUBSTITUTE(J485:J489," ",""),"0",""),"-",""))+LEN(SUBSTITUTE(SUBSTITUTE(SUBSTITUTE(K485:K489," ",""),"0",""),"-",""))))*1)</f>
      </c>
      <c r="O484" s="14" t="str">
        <f>data!$B$82</f>
      </c>
    </row>
    <row r="485">
      <c r="A485" s="18">
        <v>1</v>
      </c>
      <c r="B485" s="18"/>
      <c r="C485" s="18"/>
      <c r="D485" s="18"/>
      <c r="E485" s="18"/>
      <c r="F485" s="18"/>
      <c r="G485" s="18">
        <v>1</v>
      </c>
      <c r="I485" s="18">
        <v>1</v>
      </c>
      <c r="J485" s="18"/>
      <c r="K485" s="18"/>
      <c r="L485" s="18"/>
      <c r="M485" s="18"/>
      <c r="N485" s="18"/>
      <c r="O485" s="18">
        <v>1</v>
      </c>
    </row>
    <row r="486">
      <c r="A486" s="18">
        <v>2</v>
      </c>
      <c r="B486" s="18"/>
      <c r="C486" s="18"/>
      <c r="D486" s="18"/>
      <c r="E486" s="18"/>
      <c r="F486" s="18"/>
      <c r="G486" s="18">
        <v>2</v>
      </c>
      <c r="I486" s="18">
        <v>2</v>
      </c>
      <c r="J486" s="18"/>
      <c r="K486" s="18"/>
      <c r="L486" s="18"/>
      <c r="M486" s="18"/>
      <c r="N486" s="18"/>
      <c r="O486" s="18">
        <v>2</v>
      </c>
    </row>
    <row r="487">
      <c r="A487" s="18">
        <v>3</v>
      </c>
      <c r="B487" s="18"/>
      <c r="C487" s="18"/>
      <c r="D487" s="18"/>
      <c r="E487" s="18"/>
      <c r="F487" s="18"/>
      <c r="G487" s="18">
        <v>3</v>
      </c>
      <c r="I487" s="18">
        <v>3</v>
      </c>
      <c r="J487" s="18"/>
      <c r="K487" s="18"/>
      <c r="L487" s="18"/>
      <c r="M487" s="18"/>
      <c r="N487" s="18"/>
      <c r="O487" s="18">
        <v>3</v>
      </c>
    </row>
    <row r="488">
      <c r="A488" s="18">
        <v>4</v>
      </c>
      <c r="B488" s="18"/>
      <c r="C488" s="18"/>
      <c r="D488" s="18"/>
      <c r="E488" s="18"/>
      <c r="F488" s="18"/>
      <c r="G488" s="18">
        <v>4</v>
      </c>
      <c r="I488" s="18">
        <v>4</v>
      </c>
      <c r="J488" s="18"/>
      <c r="K488" s="18"/>
      <c r="L488" s="18"/>
      <c r="M488" s="18"/>
      <c r="N488" s="18"/>
      <c r="O488" s="18">
        <v>4</v>
      </c>
    </row>
    <row r="489">
      <c r="A489" s="18">
        <v>5</v>
      </c>
      <c r="B489" s="18"/>
      <c r="C489" s="18"/>
      <c r="D489" s="18"/>
      <c r="E489" s="18"/>
      <c r="F489" s="18"/>
      <c r="G489" s="18">
        <v>5</v>
      </c>
      <c r="I489" s="18">
        <v>5</v>
      </c>
      <c r="J489" s="18"/>
      <c r="K489" s="18"/>
      <c r="L489" s="18"/>
      <c r="M489" s="18"/>
      <c r="N489" s="18"/>
      <c r="O489" s="18">
        <v>5</v>
      </c>
    </row>
    <row r="491">
      <c r="A491" s="17" t="s">
        <v>238</v>
      </c>
      <c r="B491" s="14"/>
      <c r="C491" s="14"/>
      <c r="D491" s="14" t="s">
        <v>239</v>
      </c>
      <c r="E491" s="14"/>
      <c r="F491" s="14"/>
      <c r="G491" s="16" t="s">
        <v>240</v>
      </c>
      <c r="I491" s="17" t="s">
        <v>238</v>
      </c>
      <c r="J491" s="14"/>
      <c r="K491" s="14"/>
      <c r="L491" s="14" t="s">
        <v>239</v>
      </c>
      <c r="M491" s="14"/>
      <c r="N491" s="14"/>
      <c r="O491" s="16" t="s">
        <v>240</v>
      </c>
    </row>
    <row r="492">
      <c r="A492" s="14" t="str">
        <f>data!$B$39</f>
      </c>
      <c r="B492" s="18" t="str">
        <f>SUMPRODUCT((UPPER(D493:D497)&lt;&gt;"X")*((LEN(SUBSTITUTE(SUBSTITUTE(SUBSTITUTE(B493:B497," ",""),"0",""),"-",""))+LEN(SUBSTITUTE(SUBSTITUTE(SUBSTITUTE(C493:C497," ",""),"0",""),"-","")))&gt;(LEN(SUBSTITUTE(SUBSTITUTE(SUBSTITUTE(E493:E497," ",""),"0",""),"-",""))+LEN(SUBSTITUTE(SUBSTITUTE(SUBSTITUTE(F493:F497," ",""),"0",""),"-",""))))*1)</f>
      </c>
      <c r="C492" s="18" t="str">
        <f>SUMPRODUCT(LEN(SUBSTITUTE(SUBSTITUTE(SUBSTITUTE(B493:B497," ",""),"0",""),"-",""))+LEN(SUBSTITUTE(SUBSTITUTE(SUBSTITUTE(C493:C497," ",""),"0",""),"-","")))</f>
      </c>
      <c r="D492" s="18"/>
      <c r="E492" s="18" t="str">
        <f>SUMPRODUCT(LEN(SUBSTITUTE(SUBSTITUTE(SUBSTITUTE(E493:E497," ",""),"0",""),"-",""))+LEN(SUBSTITUTE(SUBSTITUTE(SUBSTITUTE(F493:F497," ",""),"0",""),"-","")))</f>
      </c>
      <c r="F492" s="18" t="str">
        <f>SUMPRODUCT((UPPER(D493:D497)&lt;&gt;"X")*((LEN(SUBSTITUTE(SUBSTITUTE(SUBSTITUTE(E493:E497," ",""),"0",""),"-",""))+LEN(SUBSTITUTE(SUBSTITUTE(SUBSTITUTE(F493:F497," ",""),"0",""),"-","")))&gt;(LEN(SUBSTITUTE(SUBSTITUTE(SUBSTITUTE(B493:B497," ",""),"0",""),"-",""))+LEN(SUBSTITUTE(SUBSTITUTE(SUBSTITUTE(C493:C497," ",""),"0",""),"-",""))))*1)</f>
      </c>
      <c r="G492" s="14" t="str">
        <f>data!$B$38</f>
      </c>
      <c r="I492" s="14" t="str">
        <f>data!$B$84</f>
      </c>
      <c r="J492" s="18" t="str">
        <f>SUMPRODUCT((UPPER(L493:L497)&lt;&gt;"X")*((LEN(SUBSTITUTE(SUBSTITUTE(SUBSTITUTE(J493:J497," ",""),"0",""),"-",""))+LEN(SUBSTITUTE(SUBSTITUTE(SUBSTITUTE(K493:K497," ",""),"0",""),"-","")))&gt;(LEN(SUBSTITUTE(SUBSTITUTE(SUBSTITUTE(M493:M497," ",""),"0",""),"-",""))+LEN(SUBSTITUTE(SUBSTITUTE(SUBSTITUTE(N493:N497," ",""),"0",""),"-",""))))*1)</f>
      </c>
      <c r="K492" s="18" t="str">
        <f>SUMPRODUCT(LEN(SUBSTITUTE(SUBSTITUTE(SUBSTITUTE(J493:J497," ",""),"0",""),"-",""))+LEN(SUBSTITUTE(SUBSTITUTE(SUBSTITUTE(K493:K497," ",""),"0",""),"-","")))</f>
      </c>
      <c r="L492" s="18"/>
      <c r="M492" s="18" t="str">
        <f>SUMPRODUCT(LEN(SUBSTITUTE(SUBSTITUTE(SUBSTITUTE(M493:M497," ",""),"0",""),"-",""))+LEN(SUBSTITUTE(SUBSTITUTE(SUBSTITUTE(N493:N497," ",""),"0",""),"-","")))</f>
      </c>
      <c r="N492" s="18" t="str">
        <f>SUMPRODUCT((UPPER(L493:L497)&lt;&gt;"X")*((LEN(SUBSTITUTE(SUBSTITUTE(SUBSTITUTE(M493:M497," ",""),"0",""),"-",""))+LEN(SUBSTITUTE(SUBSTITUTE(SUBSTITUTE(N493:N497," ",""),"0",""),"-","")))&gt;(LEN(SUBSTITUTE(SUBSTITUTE(SUBSTITUTE(J493:J497," ",""),"0",""),"-",""))+LEN(SUBSTITUTE(SUBSTITUTE(SUBSTITUTE(K493:K497," ",""),"0",""),"-",""))))*1)</f>
      </c>
      <c r="O492" s="14" t="str">
        <f>data!$B$83</f>
      </c>
    </row>
    <row r="493">
      <c r="A493" s="18">
        <v>1</v>
      </c>
      <c r="B493" s="18"/>
      <c r="C493" s="18"/>
      <c r="D493" s="18"/>
      <c r="E493" s="18"/>
      <c r="F493" s="18"/>
      <c r="G493" s="18">
        <v>1</v>
      </c>
      <c r="I493" s="18">
        <v>1</v>
      </c>
      <c r="J493" s="18"/>
      <c r="K493" s="18"/>
      <c r="L493" s="18"/>
      <c r="M493" s="18"/>
      <c r="N493" s="18"/>
      <c r="O493" s="18">
        <v>1</v>
      </c>
    </row>
    <row r="494">
      <c r="A494" s="18">
        <v>2</v>
      </c>
      <c r="B494" s="18"/>
      <c r="C494" s="18"/>
      <c r="D494" s="18"/>
      <c r="E494" s="18"/>
      <c r="F494" s="18"/>
      <c r="G494" s="18">
        <v>2</v>
      </c>
      <c r="I494" s="18">
        <v>2</v>
      </c>
      <c r="J494" s="18"/>
      <c r="K494" s="18"/>
      <c r="L494" s="18"/>
      <c r="M494" s="18"/>
      <c r="N494" s="18"/>
      <c r="O494" s="18">
        <v>2</v>
      </c>
    </row>
    <row r="495">
      <c r="A495" s="18">
        <v>3</v>
      </c>
      <c r="B495" s="18"/>
      <c r="C495" s="18"/>
      <c r="D495" s="18"/>
      <c r="E495" s="18"/>
      <c r="F495" s="18"/>
      <c r="G495" s="18">
        <v>3</v>
      </c>
      <c r="I495" s="18">
        <v>3</v>
      </c>
      <c r="J495" s="18"/>
      <c r="K495" s="18"/>
      <c r="L495" s="18"/>
      <c r="M495" s="18"/>
      <c r="N495" s="18"/>
      <c r="O495" s="18">
        <v>3</v>
      </c>
    </row>
    <row r="496">
      <c r="A496" s="18">
        <v>4</v>
      </c>
      <c r="B496" s="18"/>
      <c r="C496" s="18"/>
      <c r="D496" s="18"/>
      <c r="E496" s="18"/>
      <c r="F496" s="18"/>
      <c r="G496" s="18">
        <v>4</v>
      </c>
      <c r="I496" s="18">
        <v>4</v>
      </c>
      <c r="J496" s="18"/>
      <c r="K496" s="18"/>
      <c r="L496" s="18"/>
      <c r="M496" s="18"/>
      <c r="N496" s="18"/>
      <c r="O496" s="18">
        <v>4</v>
      </c>
    </row>
    <row r="497">
      <c r="A497" s="18">
        <v>5</v>
      </c>
      <c r="B497" s="18"/>
      <c r="C497" s="18"/>
      <c r="D497" s="18"/>
      <c r="E497" s="18"/>
      <c r="F497" s="18"/>
      <c r="G497" s="18">
        <v>5</v>
      </c>
      <c r="I497" s="18">
        <v>5</v>
      </c>
      <c r="J497" s="18"/>
      <c r="K497" s="18"/>
      <c r="L497" s="18"/>
      <c r="M497" s="18"/>
      <c r="N497" s="18"/>
      <c r="O497" s="18">
        <v>5</v>
      </c>
    </row>
    <row r="500">
      <c r="A500" s="13"/>
      <c r="B500" s="13" t="s">
        <v>241</v>
      </c>
      <c r="C500" s="13" t="s">
        <v>242</v>
      </c>
      <c r="D500" s="13" t="s">
        <v>243</v>
      </c>
      <c r="I500" s="13"/>
      <c r="J500" s="13" t="s">
        <v>241</v>
      </c>
      <c r="K500" s="13" t="s">
        <v>242</v>
      </c>
      <c r="L500" s="13" t="s">
        <v>243</v>
      </c>
    </row>
    <row r="501">
      <c r="A501" t="str">
        <f>data!$B$37</f>
      </c>
      <c r="B501" s="14" t="str">
        <f>IF(OR(COUNTA(B477:C481,E477:F481)&gt;0,OR(D476="X",D476="x")),IF(OR(D476="X",D476="x"),0,IF(OR(F476&gt;B476,AND(F476=B476,E476&gt;C476)),1,0)),0)+IF(OR(COUNTA(B485:C489,E485:F489)&gt;0,OR(D484="X",D484="x")),IF(OR(D484="X",D484="x"),0,IF(OR(F484&gt;B484,AND(F484=B484,E484&gt;C484)),1,0)),0)</f>
      </c>
      <c r="C501" s="14" t="str">
        <f>IF(OR(COUNTA(B477:C481,E477:F481)&gt;0,OR(D476="X",D476="x")),IF(OR(D476="X",D476="x"),0,IF(OR(F476&lt;B476,AND(F476=B476,E476&lt;C476)),1,0)),0)+IF(OR(COUNTA(B485:C489,E485:F489)&gt;0,OR(D484="X",D484="x")),IF(OR(D484="X",D484="x"),0,IF(OR(F484&lt;B484,AND(F484=B484,E484&lt;C484)),1,0)),0)</f>
      </c>
      <c r="D501" s="14" t="str">
        <f>IF(OR(COUNTA(B477:C481,E477:F481)&gt;0,OR(D476="X",D476="x")),IF(OR(D476="X",D476="x"),1,0),0)+IF(OR(COUNTA(B485:C489,E485:F489)&gt;0,OR(D484="X",D484="x")),IF(OR(D484="X",D484="x"),1,0),0)</f>
      </c>
      <c r="I501" t="str">
        <f>data!$B$82</f>
      </c>
      <c r="J501" s="14" t="str">
        <f>IF(OR(COUNTA(J477:K481,M477:N481)&gt;0,OR(L476="X",L476="x")),IF(OR(L476="X",L476="x"),0,IF(OR(N476&gt;J476,AND(N476=J476,M476&gt;K476)),1,0)),0)+IF(OR(COUNTA(J485:K489,M485:N489)&gt;0,OR(L484="X",L484="x")),IF(OR(L484="X",L484="x"),0,IF(OR(N484&gt;J484,AND(N484=J484,M484&gt;K484)),1,0)),0)</f>
      </c>
      <c r="K501" s="14" t="str">
        <f>IF(OR(COUNTA(J477:K481,M477:N481)&gt;0,OR(L476="X",L476="x")),IF(OR(L476="X",L476="x"),0,IF(OR(N476&lt;J476,AND(N476=J476,M476&lt;K476)),1,0)),0)+IF(OR(COUNTA(J485:K489,M485:N489)&gt;0,OR(L484="X",L484="x")),IF(OR(L484="X",L484="x"),0,IF(OR(N484&lt;J484,AND(N484=J484,M484&lt;K484)),1,0)),0)</f>
      </c>
      <c r="L501" s="14" t="str">
        <f>IF(OR(COUNTA(J477:K481,M477:N481)&gt;0,OR(L476="X",L476="x")),IF(OR(L476="X",L476="x"),1,0),0)+IF(OR(COUNTA(J485:K489,M485:N489)&gt;0,OR(L484="X",L484="x")),IF(OR(L484="X",L484="x"),1,0),0)</f>
      </c>
    </row>
    <row r="502">
      <c r="A502" t="str">
        <f>data!$B$38</f>
      </c>
      <c r="B502" s="14" t="str">
        <f>IF(OR(COUNTA(B477:C481,E477:F481)&gt;0,OR(D476="X",D476="x")),IF(OR(D476="X",D476="x"),0,IF(OR(B476&gt;F476,AND(B476=F476,C476&gt;E476)),1,0)),0)+IF(OR(COUNTA(B493:C497,E493:F497)&gt;0,OR(D492="X",D492="x")),IF(OR(D492="X",D492="x"),0,IF(OR(F492&gt;B492,AND(F492=B492,E492&gt;C492)),1,0)),0)</f>
      </c>
      <c r="C502" s="14" t="str">
        <f>IF(OR(COUNTA(B477:C481,E477:F481)&gt;0,OR(D476="X",D476="x")),IF(OR(D476="X",D476="x"),0,IF(OR(B476&lt;F476,AND(B476=F476,C476&lt;E476)),1,0)),0)+IF(OR(COUNTA(B493:C497,E493:F497)&gt;0,OR(D492="X",D492="x")),IF(OR(D492="X",D492="x"),0,IF(OR(F492&lt;B492,AND(F492=B492,E492&lt;C492)),1,0)),0)</f>
      </c>
      <c r="D502" s="14" t="str">
        <f>IF(OR(COUNTA(B477:C481,E477:F481)&gt;0,OR(D476="X",D476="x")),IF(OR(D476="X",D476="x"),1,0),0)+IF(OR(COUNTA(B493:C497,E493:F497)&gt;0,OR(D492="X",D492="x")),IF(OR(D492="X",D492="x"),1,0),0)</f>
      </c>
      <c r="I502" t="str">
        <f>data!$B$83</f>
      </c>
      <c r="J502" s="14" t="str">
        <f>IF(OR(COUNTA(J477:K481,M477:N481)&gt;0,OR(L476="X",L476="x")),IF(OR(L476="X",L476="x"),0,IF(OR(J476&gt;N476,AND(J476=N476,K476&gt;M476)),1,0)),0)+IF(OR(COUNTA(J493:K497,M493:N497)&gt;0,OR(L492="X",L492="x")),IF(OR(L492="X",L492="x"),0,IF(OR(N492&gt;J492,AND(N492=J492,M492&gt;K492)),1,0)),0)</f>
      </c>
      <c r="K502" s="14" t="str">
        <f>IF(OR(COUNTA(J477:K481,M477:N481)&gt;0,OR(L476="X",L476="x")),IF(OR(L476="X",L476="x"),0,IF(OR(J476&lt;N476,AND(J476=N476,K476&lt;M476)),1,0)),0)+IF(OR(COUNTA(J493:K497,M493:N497)&gt;0,OR(L492="X",L492="x")),IF(OR(L492="X",L492="x"),0,IF(OR(N492&lt;J492,AND(N492=J492,M492&lt;K492)),1,0)),0)</f>
      </c>
      <c r="L502" s="14" t="str">
        <f>IF(OR(COUNTA(J477:K481,M477:N481)&gt;0,OR(L476="X",L476="x")),IF(OR(L476="X",L476="x"),1,0),0)+IF(OR(COUNTA(J493:K497,M493:N497)&gt;0,OR(L492="X",L492="x")),IF(OR(L492="X",L492="x"),1,0),0)</f>
      </c>
    </row>
    <row r="503">
      <c r="A503" t="str">
        <f>data!$B$39</f>
      </c>
      <c r="B503" s="14" t="str">
        <f>IF(OR(COUNTA(B485:C489,E485:F489)&gt;0,OR(D484="X",D484="x")),IF(OR(D484="X",D484="x"),0,IF(OR(B484&gt;F484,AND(B484=F484,C484&gt;E484)),1,0)),0)+IF(OR(COUNTA(B493:C497,E493:F497)&gt;0,OR(D492="X",D492="x")),IF(OR(D492="X",D492="x"),0,IF(OR(B492&gt;F492,AND(B492=F492,C492&gt;E492)),1,0)),0)</f>
      </c>
      <c r="C503" s="14" t="str">
        <f>IF(OR(COUNTA(B485:C489,E485:F489)&gt;0,OR(D484="X",D484="x")),IF(OR(D484="X",D484="x"),0,IF(OR(B484&lt;F484,AND(B484=F484,C484&lt;E484)),1,0)),0)+IF(OR(COUNTA(B493:C497,E493:F497)&gt;0,OR(D492="X",D492="x")),IF(OR(D492="X",D492="x"),0,IF(OR(B492&lt;F492,AND(B492=F492,C492&lt;E492)),1,0)),0)</f>
      </c>
      <c r="D503" s="14" t="str">
        <f>IF(OR(COUNTA(B485:C489,E485:F489)&gt;0,OR(D484="X",D484="x")),IF(OR(D484="X",D484="x"),1,0),0)+IF(OR(COUNTA(B493:C497,E493:F497)&gt;0,OR(D492="X",D492="x")),IF(OR(D492="X",D492="x"),1,0),0)</f>
      </c>
      <c r="I503" t="str">
        <f>data!$B$84</f>
      </c>
      <c r="J503" s="14" t="str">
        <f>IF(OR(COUNTA(J485:K489,M485:N489)&gt;0,OR(L484="X",L484="x")),IF(OR(L484="X",L484="x"),0,IF(OR(J484&gt;N484,AND(J484=N484,K484&gt;M484)),1,0)),0)+IF(OR(COUNTA(J493:K497,M493:N497)&gt;0,OR(L492="X",L492="x")),IF(OR(L492="X",L492="x"),0,IF(OR(J492&gt;N492,AND(J492=N492,K492&gt;M492)),1,0)),0)</f>
      </c>
      <c r="K503" s="14" t="str">
        <f>IF(OR(COUNTA(J485:K489,M485:N489)&gt;0,OR(L484="X",L484="x")),IF(OR(L484="X",L484="x"),0,IF(OR(J484&lt;N484,AND(J484=N484,K484&lt;M484)),1,0)),0)+IF(OR(COUNTA(J493:K497,M493:N497)&gt;0,OR(L492="X",L492="x")),IF(OR(L492="X",L492="x"),0,IF(OR(J492&lt;N492,AND(J492=N492,K492&lt;M492)),1,0)),0)</f>
      </c>
      <c r="L503" s="14" t="str">
        <f>IF(OR(COUNTA(J485:K489,M485:N489)&gt;0,OR(L484="X",L484="x")),IF(OR(L484="X",L484="x"),1,0),0)+IF(OR(COUNTA(J493:K497,M493:N497)&gt;0,OR(L492="X",L492="x")),IF(OR(L492="X",L492="x"),1,0),0)</f>
      </c>
    </row>
    <row r="505">
      <c r="A505" s="13"/>
      <c r="B505" s="13" t="s">
        <v>244</v>
      </c>
      <c r="C505" s="13" t="s">
        <v>245</v>
      </c>
      <c r="D505" s="13" t="s">
        <v>246</v>
      </c>
      <c r="E505" s="13" t="s">
        <v>247</v>
      </c>
      <c r="F505" s="13" t="s">
        <v>248</v>
      </c>
      <c r="I505" s="13"/>
      <c r="J505" s="13" t="s">
        <v>244</v>
      </c>
      <c r="K505" s="13" t="s">
        <v>245</v>
      </c>
      <c r="L505" s="13" t="s">
        <v>246</v>
      </c>
      <c r="M505" s="13" t="s">
        <v>247</v>
      </c>
      <c r="N505" s="13" t="s">
        <v>248</v>
      </c>
    </row>
    <row r="506">
      <c r="A506" t="str">
        <f>data!$B$37</f>
      </c>
      <c r="B506" s="14" t="str">
        <f>IF(OR(COUNTA(B477:C481,E477:F481)&gt;0,OR(D476="X",D476="x")),F476,0)+IF(OR(COUNTA(B485:C489,E485:F489)&gt;0,OR(D484="X",D484="x")),F484,0)</f>
      </c>
      <c r="C506" s="14" t="str">
        <f>IF(OR(COUNTA(B477:C481,E477:F481)&gt;0,OR(D476="X",D476="x")),B476,0)+IF(OR(COUNTA(B485:C489,E485:F489)&gt;0,OR(D484="X",D484="x")),B484,0)</f>
      </c>
      <c r="D506" s="14" t="str">
        <f>IF(OR(COUNTA(B477:C481,E477:F481)&gt;0,OR(D476="X",D476="x")),(IF(OR(D477="X",D477="x"),1,0)+IF(OR(D478="X",D478="x"),1,0)+IF(OR(D479="X",D479="x"),1,0)+IF(OR(D480="X",D480="x"),1,0)+IF(OR(D481="X",D481="x"),1,0)),0)+IF(OR(COUNTA(B485:C489,E485:F489)&gt;0,OR(D484="X",D484="x")),(IF(OR(D485="X",D485="x"),1,0)+IF(OR(D486="X",D486="x"),1,0)+IF(OR(D487="X",D487="x"),1,0)+IF(OR(D488="X",D488="x"),1,0)+IF(OR(D489="X",D489="x"),1,0)),0)</f>
      </c>
      <c r="E506" s="14" t="str">
        <f>E476+E484</f>
      </c>
      <c r="F506" s="14" t="str">
        <f>C476+C484</f>
      </c>
      <c r="I506" t="str">
        <f>data!$B$82</f>
      </c>
      <c r="J506" s="14" t="str">
        <f>IF(OR(COUNTA(J477:K481,M477:N481)&gt;0,OR(L476="X",L476="x")),N476,0)+IF(OR(COUNTA(J485:K489,M485:N489)&gt;0,OR(L484="X",L484="x")),N484,0)</f>
      </c>
      <c r="K506" s="14" t="str">
        <f>IF(OR(COUNTA(J477:K481,M477:N481)&gt;0,OR(L476="X",L476="x")),J476,0)+IF(OR(COUNTA(J485:K489,M485:N489)&gt;0,OR(L484="X",L484="x")),J484,0)</f>
      </c>
      <c r="L506" s="14" t="str">
        <f>IF(OR(COUNTA(J477:K481,M477:N481)&gt;0,OR(L476="X",L476="x")),(IF(OR(L477="X",L477="x"),1,0)+IF(OR(L478="X",L478="x"),1,0)+IF(OR(L479="X",L479="x"),1,0)+IF(OR(L480="X",L480="x"),1,0)+IF(OR(L481="X",L481="x"),1,0)),0)+IF(OR(COUNTA(J485:K489,M485:N489)&gt;0,OR(L484="X",L484="x")),(IF(OR(L485="X",L485="x"),1,0)+IF(OR(L486="X",L486="x"),1,0)+IF(OR(L487="X",L487="x"),1,0)+IF(OR(L488="X",L488="x"),1,0)+IF(OR(L489="X",L489="x"),1,0)),0)</f>
      </c>
      <c r="M506" s="14" t="str">
        <f>M476+M484</f>
      </c>
      <c r="N506" s="14" t="str">
        <f>K476+K484</f>
      </c>
    </row>
    <row r="507">
      <c r="A507" t="str">
        <f>data!$B$38</f>
      </c>
      <c r="B507" s="14" t="str">
        <f>IF(OR(COUNTA(B477:C481,E477:F481)&gt;0,OR(D476="X",D476="x")),B476,0)+IF(OR(COUNTA(B493:C497,E493:F497)&gt;0,OR(D492="X",D492="x")),F492,0)</f>
      </c>
      <c r="C507" s="14" t="str">
        <f>IF(OR(COUNTA(B477:C481,E477:F481)&gt;0,OR(D476="X",D476="x")),F476,0)+IF(OR(COUNTA(B493:C497,E493:F497)&gt;0,OR(D492="X",D492="x")),B492,0)</f>
      </c>
      <c r="D507" s="14" t="str">
        <f>IF(OR(COUNTA(B477:C481,E477:F481)&gt;0,OR(D476="X",D476="x")),(IF(OR(D477="X",D477="x"),1,0)+IF(OR(D478="X",D478="x"),1,0)+IF(OR(D479="X",D479="x"),1,0)+IF(OR(D480="X",D480="x"),1,0)+IF(OR(D481="X",D481="x"),1,0)),0)+IF(OR(COUNTA(B493:C497,E493:F497)&gt;0,OR(D492="X",D492="x")),(IF(OR(D493="X",D493="x"),1,0)+IF(OR(D494="X",D494="x"),1,0)+IF(OR(D495="X",D495="x"),1,0)+IF(OR(D496="X",D496="x"),1,0)+IF(OR(D497="X",D497="x"),1,0)),0)</f>
      </c>
      <c r="E507" s="14" t="str">
        <f>C476+E492</f>
      </c>
      <c r="F507" s="14" t="str">
        <f>E476+C492</f>
      </c>
      <c r="I507" t="str">
        <f>data!$B$83</f>
      </c>
      <c r="J507" s="14" t="str">
        <f>IF(OR(COUNTA(J477:K481,M477:N481)&gt;0,OR(L476="X",L476="x")),J476,0)+IF(OR(COUNTA(J493:K497,M493:N497)&gt;0,OR(L492="X",L492="x")),N492,0)</f>
      </c>
      <c r="K507" s="14" t="str">
        <f>IF(OR(COUNTA(J477:K481,M477:N481)&gt;0,OR(L476="X",L476="x")),N476,0)+IF(OR(COUNTA(J493:K497,M493:N497)&gt;0,OR(L492="X",L492="x")),J492,0)</f>
      </c>
      <c r="L507" s="14" t="str">
        <f>IF(OR(COUNTA(J477:K481,M477:N481)&gt;0,OR(L476="X",L476="x")),(IF(OR(L477="X",L477="x"),1,0)+IF(OR(L478="X",L478="x"),1,0)+IF(OR(L479="X",L479="x"),1,0)+IF(OR(L480="X",L480="x"),1,0)+IF(OR(L481="X",L481="x"),1,0)),0)+IF(OR(COUNTA(J493:K497,M493:N497)&gt;0,OR(L492="X",L492="x")),(IF(OR(L493="X",L493="x"),1,0)+IF(OR(L494="X",L494="x"),1,0)+IF(OR(L495="X",L495="x"),1,0)+IF(OR(L496="X",L496="x"),1,0)+IF(OR(L497="X",L497="x"),1,0)),0)</f>
      </c>
      <c r="M507" s="14" t="str">
        <f>K476+M492</f>
      </c>
      <c r="N507" s="14" t="str">
        <f>M476+K492</f>
      </c>
    </row>
    <row r="508">
      <c r="A508" t="str">
        <f>data!$B$39</f>
      </c>
      <c r="B508" s="14" t="str">
        <f>IF(OR(COUNTA(B485:C489,E485:F489)&gt;0,OR(D484="X",D484="x")),B484,0)+IF(OR(COUNTA(B493:C497,E493:F497)&gt;0,OR(D492="X",D492="x")),B492,0)</f>
      </c>
      <c r="C508" s="14" t="str">
        <f>IF(OR(COUNTA(B485:C489,E485:F489)&gt;0,OR(D484="X",D484="x")),F484,0)+IF(OR(COUNTA(B493:C497,E493:F497)&gt;0,OR(D492="X",D492="x")),F492,0)</f>
      </c>
      <c r="D508" s="14" t="str">
        <f>IF(OR(COUNTA(B485:C489,E485:F489)&gt;0,OR(D484="X",D484="x")),(IF(OR(D485="X",D485="x"),1,0)+IF(OR(D486="X",D486="x"),1,0)+IF(OR(D487="X",D487="x"),1,0)+IF(OR(D488="X",D488="x"),1,0)+IF(OR(D489="X",D489="x"),1,0)),0)+IF(OR(COUNTA(B493:C497,E493:F497)&gt;0,OR(D492="X",D492="x")),(IF(OR(D493="X",D493="x"),1,0)+IF(OR(D494="X",D494="x"),1,0)+IF(OR(D495="X",D495="x"),1,0)+IF(OR(D496="X",D496="x"),1,0)+IF(OR(D497="X",D497="x"),1,0)),0)</f>
      </c>
      <c r="E508" s="14" t="str">
        <f>C484+C492</f>
      </c>
      <c r="F508" s="14" t="str">
        <f>E484+E492</f>
      </c>
      <c r="I508" t="str">
        <f>data!$B$84</f>
      </c>
      <c r="J508" s="14" t="str">
        <f>IF(OR(COUNTA(J485:K489,M485:N489)&gt;0,OR(L484="X",L484="x")),J484,0)+IF(OR(COUNTA(J493:K497,M493:N497)&gt;0,OR(L492="X",L492="x")),J492,0)</f>
      </c>
      <c r="K508" s="14" t="str">
        <f>IF(OR(COUNTA(J485:K489,M485:N489)&gt;0,OR(L484="X",L484="x")),N484,0)+IF(OR(COUNTA(J493:K497,M493:N497)&gt;0,OR(L492="X",L492="x")),N492,0)</f>
      </c>
      <c r="L508" s="14" t="str">
        <f>IF(OR(COUNTA(J485:K489,M485:N489)&gt;0,OR(L484="X",L484="x")),(IF(OR(L485="X",L485="x"),1,0)+IF(OR(L486="X",L486="x"),1,0)+IF(OR(L487="X",L487="x"),1,0)+IF(OR(L488="X",L488="x"),1,0)+IF(OR(L489="X",L489="x"),1,0)),0)+IF(OR(COUNTA(J493:K497,M493:N497)&gt;0,OR(L492="X",L492="x")),(IF(OR(L493="X",L493="x"),1,0)+IF(OR(L494="X",L494="x"),1,0)+IF(OR(L495="X",L495="x"),1,0)+IF(OR(L496="X",L496="x"),1,0)+IF(OR(L497="X",L497="x"),1,0)),0)</f>
      </c>
      <c r="M508" s="14" t="str">
        <f>K484+K492</f>
      </c>
      <c r="N508" s="14" t="str">
        <f>M484+M492</f>
      </c>
    </row>
    <row r="511">
      <c r="F511" s="13"/>
      <c r="G511" s="13" t="s">
        <v>249</v>
      </c>
      <c r="N511" s="13"/>
      <c r="O511" s="13" t="s">
        <v>249</v>
      </c>
    </row>
    <row r="512">
      <c r="F512" t="s">
        <v>250</v>
      </c>
      <c r="G512" s="19"/>
      <c r="N512" t="s">
        <v>250</v>
      </c>
      <c r="O512" s="19"/>
    </row>
    <row r="513">
      <c r="F513" t="s">
        <v>251</v>
      </c>
      <c r="G513" s="19"/>
      <c r="N513" t="s">
        <v>251</v>
      </c>
      <c r="O513" s="19"/>
    </row>
    <row r="514">
      <c r="F514" t="s">
        <v>252</v>
      </c>
      <c r="G514" s="19"/>
      <c r="N514" t="s">
        <v>252</v>
      </c>
      <c r="O514" s="19"/>
    </row>
    <row r="516">
      <c r="A516" s="13" t="str">
        <f>data!$A$42</f>
      </c>
      <c r="B516" s="13"/>
      <c r="C516" s="13"/>
      <c r="D516" s="13"/>
      <c r="E516" s="13"/>
      <c r="F516" s="13"/>
      <c r="G516" s="13"/>
      <c r="I516" s="13" t="str">
        <f>data!$A$87</f>
      </c>
      <c r="J516" s="13"/>
      <c r="K516" s="13"/>
      <c r="L516" s="13"/>
      <c r="M516" s="13"/>
      <c r="N516" s="13"/>
      <c r="O516" s="13"/>
    </row>
    <row r="517">
      <c r="A517" s="17" t="s">
        <v>238</v>
      </c>
      <c r="B517" s="14"/>
      <c r="C517" s="14"/>
      <c r="D517" s="14" t="s">
        <v>239</v>
      </c>
      <c r="E517" s="14"/>
      <c r="F517" s="14"/>
      <c r="G517" s="16" t="s">
        <v>240</v>
      </c>
      <c r="I517" s="17" t="s">
        <v>238</v>
      </c>
      <c r="J517" s="14"/>
      <c r="K517" s="14"/>
      <c r="L517" s="14" t="s">
        <v>239</v>
      </c>
      <c r="M517" s="14"/>
      <c r="N517" s="14"/>
      <c r="O517" s="16" t="s">
        <v>240</v>
      </c>
    </row>
    <row r="518">
      <c r="A518" s="14" t="str">
        <f>data!$B$41</f>
      </c>
      <c r="B518" s="18" t="str">
        <f>SUMPRODUCT((UPPER(D519:D523)&lt;&gt;"X")*((LEN(SUBSTITUTE(SUBSTITUTE(SUBSTITUTE(B519:B523," ",""),"0",""),"-",""))+LEN(SUBSTITUTE(SUBSTITUTE(SUBSTITUTE(C519:C523," ",""),"0",""),"-","")))&gt;(LEN(SUBSTITUTE(SUBSTITUTE(SUBSTITUTE(E519:E523," ",""),"0",""),"-",""))+LEN(SUBSTITUTE(SUBSTITUTE(SUBSTITUTE(F519:F523," ",""),"0",""),"-",""))))*1)</f>
      </c>
      <c r="C518" s="18" t="str">
        <f>SUMPRODUCT(LEN(SUBSTITUTE(SUBSTITUTE(SUBSTITUTE(B519:B523," ",""),"0",""),"-",""))+LEN(SUBSTITUTE(SUBSTITUTE(SUBSTITUTE(C519:C523," ",""),"0",""),"-","")))</f>
      </c>
      <c r="D518" s="18"/>
      <c r="E518" s="18" t="str">
        <f>SUMPRODUCT(LEN(SUBSTITUTE(SUBSTITUTE(SUBSTITUTE(E519:E523," ",""),"0",""),"-",""))+LEN(SUBSTITUTE(SUBSTITUTE(SUBSTITUTE(F519:F523," ",""),"0",""),"-","")))</f>
      </c>
      <c r="F518" s="18" t="str">
        <f>SUMPRODUCT((UPPER(D519:D523)&lt;&gt;"X")*((LEN(SUBSTITUTE(SUBSTITUTE(SUBSTITUTE(E519:E523," ",""),"0",""),"-",""))+LEN(SUBSTITUTE(SUBSTITUTE(SUBSTITUTE(F519:F523," ",""),"0",""),"-","")))&gt;(LEN(SUBSTITUTE(SUBSTITUTE(SUBSTITUTE(B519:B523," ",""),"0",""),"-",""))+LEN(SUBSTITUTE(SUBSTITUTE(SUBSTITUTE(C519:C523," ",""),"0",""),"-",""))))*1)</f>
      </c>
      <c r="G518" s="14" t="str">
        <f>data!$B$40</f>
      </c>
      <c r="I518" s="14" t="str">
        <f>data!$B$86</f>
      </c>
      <c r="J518" s="18" t="str">
        <f>SUMPRODUCT((UPPER(L519:L523)&lt;&gt;"X")*((LEN(SUBSTITUTE(SUBSTITUTE(SUBSTITUTE(J519:J523," ",""),"0",""),"-",""))+LEN(SUBSTITUTE(SUBSTITUTE(SUBSTITUTE(K519:K523," ",""),"0",""),"-","")))&gt;(LEN(SUBSTITUTE(SUBSTITUTE(SUBSTITUTE(M519:M523," ",""),"0",""),"-",""))+LEN(SUBSTITUTE(SUBSTITUTE(SUBSTITUTE(N519:N523," ",""),"0",""),"-",""))))*1)</f>
      </c>
      <c r="K518" s="18" t="str">
        <f>SUMPRODUCT(LEN(SUBSTITUTE(SUBSTITUTE(SUBSTITUTE(J519:J523," ",""),"0",""),"-",""))+LEN(SUBSTITUTE(SUBSTITUTE(SUBSTITUTE(K519:K523," ",""),"0",""),"-","")))</f>
      </c>
      <c r="L518" s="18"/>
      <c r="M518" s="18" t="str">
        <f>SUMPRODUCT(LEN(SUBSTITUTE(SUBSTITUTE(SUBSTITUTE(M519:M523," ",""),"0",""),"-",""))+LEN(SUBSTITUTE(SUBSTITUTE(SUBSTITUTE(N519:N523," ",""),"0",""),"-","")))</f>
      </c>
      <c r="N518" s="18" t="str">
        <f>SUMPRODUCT((UPPER(L519:L523)&lt;&gt;"X")*((LEN(SUBSTITUTE(SUBSTITUTE(SUBSTITUTE(M519:M523," ",""),"0",""),"-",""))+LEN(SUBSTITUTE(SUBSTITUTE(SUBSTITUTE(N519:N523," ",""),"0",""),"-","")))&gt;(LEN(SUBSTITUTE(SUBSTITUTE(SUBSTITUTE(J519:J523," ",""),"0",""),"-",""))+LEN(SUBSTITUTE(SUBSTITUTE(SUBSTITUTE(K519:K523," ",""),"0",""),"-",""))))*1)</f>
      </c>
      <c r="O518" s="14" t="str">
        <f>data!$B$85</f>
      </c>
    </row>
    <row r="519">
      <c r="A519" s="18">
        <v>1</v>
      </c>
      <c r="B519" s="18"/>
      <c r="C519" s="18"/>
      <c r="D519" s="18"/>
      <c r="E519" s="18"/>
      <c r="F519" s="18"/>
      <c r="G519" s="18">
        <v>1</v>
      </c>
      <c r="I519" s="18">
        <v>1</v>
      </c>
      <c r="J519" s="18"/>
      <c r="K519" s="18"/>
      <c r="L519" s="18"/>
      <c r="M519" s="18"/>
      <c r="N519" s="18"/>
      <c r="O519" s="18">
        <v>1</v>
      </c>
    </row>
    <row r="520">
      <c r="A520" s="18">
        <v>2</v>
      </c>
      <c r="B520" s="18"/>
      <c r="C520" s="18"/>
      <c r="D520" s="18"/>
      <c r="E520" s="18"/>
      <c r="F520" s="18"/>
      <c r="G520" s="18">
        <v>2</v>
      </c>
      <c r="I520" s="18">
        <v>2</v>
      </c>
      <c r="J520" s="18"/>
      <c r="K520" s="18"/>
      <c r="L520" s="18"/>
      <c r="M520" s="18"/>
      <c r="N520" s="18"/>
      <c r="O520" s="18">
        <v>2</v>
      </c>
    </row>
    <row r="521">
      <c r="A521" s="18">
        <v>3</v>
      </c>
      <c r="B521" s="18"/>
      <c r="C521" s="18"/>
      <c r="D521" s="18"/>
      <c r="E521" s="18"/>
      <c r="F521" s="18"/>
      <c r="G521" s="18">
        <v>3</v>
      </c>
      <c r="I521" s="18">
        <v>3</v>
      </c>
      <c r="J521" s="18"/>
      <c r="K521" s="18"/>
      <c r="L521" s="18"/>
      <c r="M521" s="18"/>
      <c r="N521" s="18"/>
      <c r="O521" s="18">
        <v>3</v>
      </c>
    </row>
    <row r="522">
      <c r="A522" s="18">
        <v>4</v>
      </c>
      <c r="B522" s="18"/>
      <c r="C522" s="18"/>
      <c r="D522" s="18"/>
      <c r="E522" s="18"/>
      <c r="F522" s="18"/>
      <c r="G522" s="18">
        <v>4</v>
      </c>
      <c r="I522" s="18">
        <v>4</v>
      </c>
      <c r="J522" s="18"/>
      <c r="K522" s="18"/>
      <c r="L522" s="18"/>
      <c r="M522" s="18"/>
      <c r="N522" s="18"/>
      <c r="O522" s="18">
        <v>4</v>
      </c>
    </row>
    <row r="523">
      <c r="A523" s="18">
        <v>5</v>
      </c>
      <c r="B523" s="18"/>
      <c r="C523" s="18"/>
      <c r="D523" s="18"/>
      <c r="E523" s="18"/>
      <c r="F523" s="18"/>
      <c r="G523" s="18">
        <v>5</v>
      </c>
      <c r="I523" s="18">
        <v>5</v>
      </c>
      <c r="J523" s="18"/>
      <c r="K523" s="18"/>
      <c r="L523" s="18"/>
      <c r="M523" s="18"/>
      <c r="N523" s="18"/>
      <c r="O523" s="18">
        <v>5</v>
      </c>
    </row>
    <row r="525">
      <c r="A525" s="17" t="s">
        <v>238</v>
      </c>
      <c r="B525" s="14"/>
      <c r="C525" s="14"/>
      <c r="D525" s="14" t="s">
        <v>239</v>
      </c>
      <c r="E525" s="14"/>
      <c r="F525" s="14"/>
      <c r="G525" s="16" t="s">
        <v>240</v>
      </c>
      <c r="I525" s="17" t="s">
        <v>238</v>
      </c>
      <c r="J525" s="14"/>
      <c r="K525" s="14"/>
      <c r="L525" s="14" t="s">
        <v>239</v>
      </c>
      <c r="M525" s="14"/>
      <c r="N525" s="14"/>
      <c r="O525" s="16" t="s">
        <v>240</v>
      </c>
    </row>
    <row r="526">
      <c r="A526" s="14" t="str">
        <f>data!$B$42</f>
      </c>
      <c r="B526" s="18" t="str">
        <f>SUMPRODUCT((UPPER(D527:D531)&lt;&gt;"X")*((LEN(SUBSTITUTE(SUBSTITUTE(SUBSTITUTE(B527:B531," ",""),"0",""),"-",""))+LEN(SUBSTITUTE(SUBSTITUTE(SUBSTITUTE(C527:C531," ",""),"0",""),"-","")))&gt;(LEN(SUBSTITUTE(SUBSTITUTE(SUBSTITUTE(E527:E531," ",""),"0",""),"-",""))+LEN(SUBSTITUTE(SUBSTITUTE(SUBSTITUTE(F527:F531," ",""),"0",""),"-",""))))*1)</f>
      </c>
      <c r="C526" s="18" t="str">
        <f>SUMPRODUCT(LEN(SUBSTITUTE(SUBSTITUTE(SUBSTITUTE(B527:B531," ",""),"0",""),"-",""))+LEN(SUBSTITUTE(SUBSTITUTE(SUBSTITUTE(C527:C531," ",""),"0",""),"-","")))</f>
      </c>
      <c r="D526" s="18"/>
      <c r="E526" s="18" t="str">
        <f>SUMPRODUCT(LEN(SUBSTITUTE(SUBSTITUTE(SUBSTITUTE(E527:E531," ",""),"0",""),"-",""))+LEN(SUBSTITUTE(SUBSTITUTE(SUBSTITUTE(F527:F531," ",""),"0",""),"-","")))</f>
      </c>
      <c r="F526" s="18" t="str">
        <f>SUMPRODUCT((UPPER(D527:D531)&lt;&gt;"X")*((LEN(SUBSTITUTE(SUBSTITUTE(SUBSTITUTE(E527:E531," ",""),"0",""),"-",""))+LEN(SUBSTITUTE(SUBSTITUTE(SUBSTITUTE(F527:F531," ",""),"0",""),"-","")))&gt;(LEN(SUBSTITUTE(SUBSTITUTE(SUBSTITUTE(B527:B531," ",""),"0",""),"-",""))+LEN(SUBSTITUTE(SUBSTITUTE(SUBSTITUTE(C527:C531," ",""),"0",""),"-",""))))*1)</f>
      </c>
      <c r="G526" s="14" t="str">
        <f>data!$B$40</f>
      </c>
      <c r="I526" s="14" t="str">
        <f>data!$B$87</f>
      </c>
      <c r="J526" s="18" t="str">
        <f>SUMPRODUCT((UPPER(L527:L531)&lt;&gt;"X")*((LEN(SUBSTITUTE(SUBSTITUTE(SUBSTITUTE(J527:J531," ",""),"0",""),"-",""))+LEN(SUBSTITUTE(SUBSTITUTE(SUBSTITUTE(K527:K531," ",""),"0",""),"-","")))&gt;(LEN(SUBSTITUTE(SUBSTITUTE(SUBSTITUTE(M527:M531," ",""),"0",""),"-",""))+LEN(SUBSTITUTE(SUBSTITUTE(SUBSTITUTE(N527:N531," ",""),"0",""),"-",""))))*1)</f>
      </c>
      <c r="K526" s="18" t="str">
        <f>SUMPRODUCT(LEN(SUBSTITUTE(SUBSTITUTE(SUBSTITUTE(J527:J531," ",""),"0",""),"-",""))+LEN(SUBSTITUTE(SUBSTITUTE(SUBSTITUTE(K527:K531," ",""),"0",""),"-","")))</f>
      </c>
      <c r="L526" s="18"/>
      <c r="M526" s="18" t="str">
        <f>SUMPRODUCT(LEN(SUBSTITUTE(SUBSTITUTE(SUBSTITUTE(M527:M531," ",""),"0",""),"-",""))+LEN(SUBSTITUTE(SUBSTITUTE(SUBSTITUTE(N527:N531," ",""),"0",""),"-","")))</f>
      </c>
      <c r="N526" s="18" t="str">
        <f>SUMPRODUCT((UPPER(L527:L531)&lt;&gt;"X")*((LEN(SUBSTITUTE(SUBSTITUTE(SUBSTITUTE(M527:M531," ",""),"0",""),"-",""))+LEN(SUBSTITUTE(SUBSTITUTE(SUBSTITUTE(N527:N531," ",""),"0",""),"-","")))&gt;(LEN(SUBSTITUTE(SUBSTITUTE(SUBSTITUTE(J527:J531," ",""),"0",""),"-",""))+LEN(SUBSTITUTE(SUBSTITUTE(SUBSTITUTE(K527:K531," ",""),"0",""),"-",""))))*1)</f>
      </c>
      <c r="O526" s="14" t="str">
        <f>data!$B$85</f>
      </c>
    </row>
    <row r="527">
      <c r="A527" s="18">
        <v>1</v>
      </c>
      <c r="B527" s="18"/>
      <c r="C527" s="18"/>
      <c r="D527" s="18"/>
      <c r="E527" s="18"/>
      <c r="F527" s="18"/>
      <c r="G527" s="18">
        <v>1</v>
      </c>
      <c r="I527" s="18">
        <v>1</v>
      </c>
      <c r="J527" s="18"/>
      <c r="K527" s="18"/>
      <c r="L527" s="18"/>
      <c r="M527" s="18"/>
      <c r="N527" s="18"/>
      <c r="O527" s="18">
        <v>1</v>
      </c>
    </row>
    <row r="528">
      <c r="A528" s="18">
        <v>2</v>
      </c>
      <c r="B528" s="18"/>
      <c r="C528" s="18"/>
      <c r="D528" s="18"/>
      <c r="E528" s="18"/>
      <c r="F528" s="18"/>
      <c r="G528" s="18">
        <v>2</v>
      </c>
      <c r="I528" s="18">
        <v>2</v>
      </c>
      <c r="J528" s="18"/>
      <c r="K528" s="18"/>
      <c r="L528" s="18"/>
      <c r="M528" s="18"/>
      <c r="N528" s="18"/>
      <c r="O528" s="18">
        <v>2</v>
      </c>
    </row>
    <row r="529">
      <c r="A529" s="18">
        <v>3</v>
      </c>
      <c r="B529" s="18"/>
      <c r="C529" s="18"/>
      <c r="D529" s="18"/>
      <c r="E529" s="18"/>
      <c r="F529" s="18"/>
      <c r="G529" s="18">
        <v>3</v>
      </c>
      <c r="I529" s="18">
        <v>3</v>
      </c>
      <c r="J529" s="18"/>
      <c r="K529" s="18"/>
      <c r="L529" s="18"/>
      <c r="M529" s="18"/>
      <c r="N529" s="18"/>
      <c r="O529" s="18">
        <v>3</v>
      </c>
    </row>
    <row r="530">
      <c r="A530" s="18">
        <v>4</v>
      </c>
      <c r="B530" s="18"/>
      <c r="C530" s="18"/>
      <c r="D530" s="18"/>
      <c r="E530" s="18"/>
      <c r="F530" s="18"/>
      <c r="G530" s="18">
        <v>4</v>
      </c>
      <c r="I530" s="18">
        <v>4</v>
      </c>
      <c r="J530" s="18"/>
      <c r="K530" s="18"/>
      <c r="L530" s="18"/>
      <c r="M530" s="18"/>
      <c r="N530" s="18"/>
      <c r="O530" s="18">
        <v>4</v>
      </c>
    </row>
    <row r="531">
      <c r="A531" s="18">
        <v>5</v>
      </c>
      <c r="B531" s="18"/>
      <c r="C531" s="18"/>
      <c r="D531" s="18"/>
      <c r="E531" s="18"/>
      <c r="F531" s="18"/>
      <c r="G531" s="18">
        <v>5</v>
      </c>
      <c r="I531" s="18">
        <v>5</v>
      </c>
      <c r="J531" s="18"/>
      <c r="K531" s="18"/>
      <c r="L531" s="18"/>
      <c r="M531" s="18"/>
      <c r="N531" s="18"/>
      <c r="O531" s="18">
        <v>5</v>
      </c>
    </row>
    <row r="533">
      <c r="A533" s="17" t="s">
        <v>238</v>
      </c>
      <c r="B533" s="14"/>
      <c r="C533" s="14"/>
      <c r="D533" s="14" t="s">
        <v>239</v>
      </c>
      <c r="E533" s="14"/>
      <c r="F533" s="14"/>
      <c r="G533" s="16" t="s">
        <v>240</v>
      </c>
      <c r="I533" s="17" t="s">
        <v>238</v>
      </c>
      <c r="J533" s="14"/>
      <c r="K533" s="14"/>
      <c r="L533" s="14" t="s">
        <v>239</v>
      </c>
      <c r="M533" s="14"/>
      <c r="N533" s="14"/>
      <c r="O533" s="16" t="s">
        <v>240</v>
      </c>
    </row>
    <row r="534">
      <c r="A534" s="14" t="str">
        <f>data!$B$42</f>
      </c>
      <c r="B534" s="18" t="str">
        <f>SUMPRODUCT((UPPER(D535:D539)&lt;&gt;"X")*((LEN(SUBSTITUTE(SUBSTITUTE(SUBSTITUTE(B535:B539," ",""),"0",""),"-",""))+LEN(SUBSTITUTE(SUBSTITUTE(SUBSTITUTE(C535:C539," ",""),"0",""),"-","")))&gt;(LEN(SUBSTITUTE(SUBSTITUTE(SUBSTITUTE(E535:E539," ",""),"0",""),"-",""))+LEN(SUBSTITUTE(SUBSTITUTE(SUBSTITUTE(F535:F539," ",""),"0",""),"-",""))))*1)</f>
      </c>
      <c r="C534" s="18" t="str">
        <f>SUMPRODUCT(LEN(SUBSTITUTE(SUBSTITUTE(SUBSTITUTE(B535:B539," ",""),"0",""),"-",""))+LEN(SUBSTITUTE(SUBSTITUTE(SUBSTITUTE(C535:C539," ",""),"0",""),"-","")))</f>
      </c>
      <c r="D534" s="18"/>
      <c r="E534" s="18" t="str">
        <f>SUMPRODUCT(LEN(SUBSTITUTE(SUBSTITUTE(SUBSTITUTE(E535:E539," ",""),"0",""),"-",""))+LEN(SUBSTITUTE(SUBSTITUTE(SUBSTITUTE(F535:F539," ",""),"0",""),"-","")))</f>
      </c>
      <c r="F534" s="18" t="str">
        <f>SUMPRODUCT((UPPER(D535:D539)&lt;&gt;"X")*((LEN(SUBSTITUTE(SUBSTITUTE(SUBSTITUTE(E535:E539," ",""),"0",""),"-",""))+LEN(SUBSTITUTE(SUBSTITUTE(SUBSTITUTE(F535:F539," ",""),"0",""),"-","")))&gt;(LEN(SUBSTITUTE(SUBSTITUTE(SUBSTITUTE(B535:B539," ",""),"0",""),"-",""))+LEN(SUBSTITUTE(SUBSTITUTE(SUBSTITUTE(C535:C539," ",""),"0",""),"-",""))))*1)</f>
      </c>
      <c r="G534" s="14" t="str">
        <f>data!$B$41</f>
      </c>
      <c r="I534" s="14" t="str">
        <f>data!$B$87</f>
      </c>
      <c r="J534" s="18" t="str">
        <f>SUMPRODUCT((UPPER(L535:L539)&lt;&gt;"X")*((LEN(SUBSTITUTE(SUBSTITUTE(SUBSTITUTE(J535:J539," ",""),"0",""),"-",""))+LEN(SUBSTITUTE(SUBSTITUTE(SUBSTITUTE(K535:K539," ",""),"0",""),"-","")))&gt;(LEN(SUBSTITUTE(SUBSTITUTE(SUBSTITUTE(M535:M539," ",""),"0",""),"-",""))+LEN(SUBSTITUTE(SUBSTITUTE(SUBSTITUTE(N535:N539," ",""),"0",""),"-",""))))*1)</f>
      </c>
      <c r="K534" s="18" t="str">
        <f>SUMPRODUCT(LEN(SUBSTITUTE(SUBSTITUTE(SUBSTITUTE(J535:J539," ",""),"0",""),"-",""))+LEN(SUBSTITUTE(SUBSTITUTE(SUBSTITUTE(K535:K539," ",""),"0",""),"-","")))</f>
      </c>
      <c r="L534" s="18"/>
      <c r="M534" s="18" t="str">
        <f>SUMPRODUCT(LEN(SUBSTITUTE(SUBSTITUTE(SUBSTITUTE(M535:M539," ",""),"0",""),"-",""))+LEN(SUBSTITUTE(SUBSTITUTE(SUBSTITUTE(N535:N539," ",""),"0",""),"-","")))</f>
      </c>
      <c r="N534" s="18" t="str">
        <f>SUMPRODUCT((UPPER(L535:L539)&lt;&gt;"X")*((LEN(SUBSTITUTE(SUBSTITUTE(SUBSTITUTE(M535:M539," ",""),"0",""),"-",""))+LEN(SUBSTITUTE(SUBSTITUTE(SUBSTITUTE(N535:N539," ",""),"0",""),"-","")))&gt;(LEN(SUBSTITUTE(SUBSTITUTE(SUBSTITUTE(J535:J539," ",""),"0",""),"-",""))+LEN(SUBSTITUTE(SUBSTITUTE(SUBSTITUTE(K535:K539," ",""),"0",""),"-",""))))*1)</f>
      </c>
      <c r="O534" s="14" t="str">
        <f>data!$B$86</f>
      </c>
    </row>
    <row r="535">
      <c r="A535" s="18">
        <v>1</v>
      </c>
      <c r="B535" s="18"/>
      <c r="C535" s="18"/>
      <c r="D535" s="18"/>
      <c r="E535" s="18"/>
      <c r="F535" s="18"/>
      <c r="G535" s="18">
        <v>1</v>
      </c>
      <c r="I535" s="18">
        <v>1</v>
      </c>
      <c r="J535" s="18"/>
      <c r="K535" s="18"/>
      <c r="L535" s="18"/>
      <c r="M535" s="18"/>
      <c r="N535" s="18"/>
      <c r="O535" s="18">
        <v>1</v>
      </c>
    </row>
    <row r="536">
      <c r="A536" s="18">
        <v>2</v>
      </c>
      <c r="B536" s="18"/>
      <c r="C536" s="18"/>
      <c r="D536" s="18"/>
      <c r="E536" s="18"/>
      <c r="F536" s="18"/>
      <c r="G536" s="18">
        <v>2</v>
      </c>
      <c r="I536" s="18">
        <v>2</v>
      </c>
      <c r="J536" s="18"/>
      <c r="K536" s="18"/>
      <c r="L536" s="18"/>
      <c r="M536" s="18"/>
      <c r="N536" s="18"/>
      <c r="O536" s="18">
        <v>2</v>
      </c>
    </row>
    <row r="537">
      <c r="A537" s="18">
        <v>3</v>
      </c>
      <c r="B537" s="18"/>
      <c r="C537" s="18"/>
      <c r="D537" s="18"/>
      <c r="E537" s="18"/>
      <c r="F537" s="18"/>
      <c r="G537" s="18">
        <v>3</v>
      </c>
      <c r="I537" s="18">
        <v>3</v>
      </c>
      <c r="J537" s="18"/>
      <c r="K537" s="18"/>
      <c r="L537" s="18"/>
      <c r="M537" s="18"/>
      <c r="N537" s="18"/>
      <c r="O537" s="18">
        <v>3</v>
      </c>
    </row>
    <row r="538">
      <c r="A538" s="18">
        <v>4</v>
      </c>
      <c r="B538" s="18"/>
      <c r="C538" s="18"/>
      <c r="D538" s="18"/>
      <c r="E538" s="18"/>
      <c r="F538" s="18"/>
      <c r="G538" s="18">
        <v>4</v>
      </c>
      <c r="I538" s="18">
        <v>4</v>
      </c>
      <c r="J538" s="18"/>
      <c r="K538" s="18"/>
      <c r="L538" s="18"/>
      <c r="M538" s="18"/>
      <c r="N538" s="18"/>
      <c r="O538" s="18">
        <v>4</v>
      </c>
    </row>
    <row r="539">
      <c r="A539" s="18">
        <v>5</v>
      </c>
      <c r="B539" s="18"/>
      <c r="C539" s="18"/>
      <c r="D539" s="18"/>
      <c r="E539" s="18"/>
      <c r="F539" s="18"/>
      <c r="G539" s="18">
        <v>5</v>
      </c>
      <c r="I539" s="18">
        <v>5</v>
      </c>
      <c r="J539" s="18"/>
      <c r="K539" s="18"/>
      <c r="L539" s="18"/>
      <c r="M539" s="18"/>
      <c r="N539" s="18"/>
      <c r="O539" s="18">
        <v>5</v>
      </c>
    </row>
    <row r="542">
      <c r="A542" s="13"/>
      <c r="B542" s="13" t="s">
        <v>241</v>
      </c>
      <c r="C542" s="13" t="s">
        <v>242</v>
      </c>
      <c r="D542" s="13" t="s">
        <v>243</v>
      </c>
      <c r="I542" s="13"/>
      <c r="J542" s="13" t="s">
        <v>241</v>
      </c>
      <c r="K542" s="13" t="s">
        <v>242</v>
      </c>
      <c r="L542" s="13" t="s">
        <v>243</v>
      </c>
    </row>
    <row r="543">
      <c r="A543" t="str">
        <f>data!$B$40</f>
      </c>
      <c r="B543" s="14" t="str">
        <f>IF(OR(COUNTA(B519:C523,E519:F523)&gt;0,OR(D518="X",D518="x")),IF(OR(D518="X",D518="x"),0,IF(OR(F518&gt;B518,AND(F518=B518,E518&gt;C518)),1,0)),0)+IF(OR(COUNTA(B527:C531,E527:F531)&gt;0,OR(D526="X",D526="x")),IF(OR(D526="X",D526="x"),0,IF(OR(F526&gt;B526,AND(F526=B526,E526&gt;C526)),1,0)),0)</f>
      </c>
      <c r="C543" s="14" t="str">
        <f>IF(OR(COUNTA(B519:C523,E519:F523)&gt;0,OR(D518="X",D518="x")),IF(OR(D518="X",D518="x"),0,IF(OR(F518&lt;B518,AND(F518=B518,E518&lt;C518)),1,0)),0)+IF(OR(COUNTA(B527:C531,E527:F531)&gt;0,OR(D526="X",D526="x")),IF(OR(D526="X",D526="x"),0,IF(OR(F526&lt;B526,AND(F526=B526,E526&lt;C526)),1,0)),0)</f>
      </c>
      <c r="D543" s="14" t="str">
        <f>IF(OR(COUNTA(B519:C523,E519:F523)&gt;0,OR(D518="X",D518="x")),IF(OR(D518="X",D518="x"),1,0),0)+IF(OR(COUNTA(B527:C531,E527:F531)&gt;0,OR(D526="X",D526="x")),IF(OR(D526="X",D526="x"),1,0),0)</f>
      </c>
      <c r="I543" t="str">
        <f>data!$B$85</f>
      </c>
      <c r="J543" s="14" t="str">
        <f>IF(OR(COUNTA(J519:K523,M519:N523)&gt;0,OR(L518="X",L518="x")),IF(OR(L518="X",L518="x"),0,IF(OR(N518&gt;J518,AND(N518=J518,M518&gt;K518)),1,0)),0)+IF(OR(COUNTA(J527:K531,M527:N531)&gt;0,OR(L526="X",L526="x")),IF(OR(L526="X",L526="x"),0,IF(OR(N526&gt;J526,AND(N526=J526,M526&gt;K526)),1,0)),0)</f>
      </c>
      <c r="K543" s="14" t="str">
        <f>IF(OR(COUNTA(J519:K523,M519:N523)&gt;0,OR(L518="X",L518="x")),IF(OR(L518="X",L518="x"),0,IF(OR(N518&lt;J518,AND(N518=J518,M518&lt;K518)),1,0)),0)+IF(OR(COUNTA(J527:K531,M527:N531)&gt;0,OR(L526="X",L526="x")),IF(OR(L526="X",L526="x"),0,IF(OR(N526&lt;J526,AND(N526=J526,M526&lt;K526)),1,0)),0)</f>
      </c>
      <c r="L543" s="14" t="str">
        <f>IF(OR(COUNTA(J519:K523,M519:N523)&gt;0,OR(L518="X",L518="x")),IF(OR(L518="X",L518="x"),1,0),0)+IF(OR(COUNTA(J527:K531,M527:N531)&gt;0,OR(L526="X",L526="x")),IF(OR(L526="X",L526="x"),1,0),0)</f>
      </c>
    </row>
    <row r="544">
      <c r="A544" t="str">
        <f>data!$B$41</f>
      </c>
      <c r="B544" s="14" t="str">
        <f>IF(OR(COUNTA(B519:C523,E519:F523)&gt;0,OR(D518="X",D518="x")),IF(OR(D518="X",D518="x"),0,IF(OR(B518&gt;F518,AND(B518=F518,C518&gt;E518)),1,0)),0)+IF(OR(COUNTA(B535:C539,E535:F539)&gt;0,OR(D534="X",D534="x")),IF(OR(D534="X",D534="x"),0,IF(OR(F534&gt;B534,AND(F534=B534,E534&gt;C534)),1,0)),0)</f>
      </c>
      <c r="C544" s="14" t="str">
        <f>IF(OR(COUNTA(B519:C523,E519:F523)&gt;0,OR(D518="X",D518="x")),IF(OR(D518="X",D518="x"),0,IF(OR(B518&lt;F518,AND(B518=F518,C518&lt;E518)),1,0)),0)+IF(OR(COUNTA(B535:C539,E535:F539)&gt;0,OR(D534="X",D534="x")),IF(OR(D534="X",D534="x"),0,IF(OR(F534&lt;B534,AND(F534=B534,E534&lt;C534)),1,0)),0)</f>
      </c>
      <c r="D544" s="14" t="str">
        <f>IF(OR(COUNTA(B519:C523,E519:F523)&gt;0,OR(D518="X",D518="x")),IF(OR(D518="X",D518="x"),1,0),0)+IF(OR(COUNTA(B535:C539,E535:F539)&gt;0,OR(D534="X",D534="x")),IF(OR(D534="X",D534="x"),1,0),0)</f>
      </c>
      <c r="I544" t="str">
        <f>data!$B$86</f>
      </c>
      <c r="J544" s="14" t="str">
        <f>IF(OR(COUNTA(J519:K523,M519:N523)&gt;0,OR(L518="X",L518="x")),IF(OR(L518="X",L518="x"),0,IF(OR(J518&gt;N518,AND(J518=N518,K518&gt;M518)),1,0)),0)+IF(OR(COUNTA(J535:K539,M535:N539)&gt;0,OR(L534="X",L534="x")),IF(OR(L534="X",L534="x"),0,IF(OR(N534&gt;J534,AND(N534=J534,M534&gt;K534)),1,0)),0)</f>
      </c>
      <c r="K544" s="14" t="str">
        <f>IF(OR(COUNTA(J519:K523,M519:N523)&gt;0,OR(L518="X",L518="x")),IF(OR(L518="X",L518="x"),0,IF(OR(J518&lt;N518,AND(J518=N518,K518&lt;M518)),1,0)),0)+IF(OR(COUNTA(J535:K539,M535:N539)&gt;0,OR(L534="X",L534="x")),IF(OR(L534="X",L534="x"),0,IF(OR(N534&lt;J534,AND(N534=J534,M534&lt;K534)),1,0)),0)</f>
      </c>
      <c r="L544" s="14" t="str">
        <f>IF(OR(COUNTA(J519:K523,M519:N523)&gt;0,OR(L518="X",L518="x")),IF(OR(L518="X",L518="x"),1,0),0)+IF(OR(COUNTA(J535:K539,M535:N539)&gt;0,OR(L534="X",L534="x")),IF(OR(L534="X",L534="x"),1,0),0)</f>
      </c>
    </row>
    <row r="545">
      <c r="A545" t="str">
        <f>data!$B$42</f>
      </c>
      <c r="B545" s="14" t="str">
        <f>IF(OR(COUNTA(B527:C531,E527:F531)&gt;0,OR(D526="X",D526="x")),IF(OR(D526="X",D526="x"),0,IF(OR(B526&gt;F526,AND(B526=F526,C526&gt;E526)),1,0)),0)+IF(OR(COUNTA(B535:C539,E535:F539)&gt;0,OR(D534="X",D534="x")),IF(OR(D534="X",D534="x"),0,IF(OR(B534&gt;F534,AND(B534=F534,C534&gt;E534)),1,0)),0)</f>
      </c>
      <c r="C545" s="14" t="str">
        <f>IF(OR(COUNTA(B527:C531,E527:F531)&gt;0,OR(D526="X",D526="x")),IF(OR(D526="X",D526="x"),0,IF(OR(B526&lt;F526,AND(B526=F526,C526&lt;E526)),1,0)),0)+IF(OR(COUNTA(B535:C539,E535:F539)&gt;0,OR(D534="X",D534="x")),IF(OR(D534="X",D534="x"),0,IF(OR(B534&lt;F534,AND(B534=F534,C534&lt;E534)),1,0)),0)</f>
      </c>
      <c r="D545" s="14" t="str">
        <f>IF(OR(COUNTA(B527:C531,E527:F531)&gt;0,OR(D526="X",D526="x")),IF(OR(D526="X",D526="x"),1,0),0)+IF(OR(COUNTA(B535:C539,E535:F539)&gt;0,OR(D534="X",D534="x")),IF(OR(D534="X",D534="x"),1,0),0)</f>
      </c>
      <c r="I545" t="str">
        <f>data!$B$87</f>
      </c>
      <c r="J545" s="14" t="str">
        <f>IF(OR(COUNTA(J527:K531,M527:N531)&gt;0,OR(L526="X",L526="x")),IF(OR(L526="X",L526="x"),0,IF(OR(J526&gt;N526,AND(J526=N526,K526&gt;M526)),1,0)),0)+IF(OR(COUNTA(J535:K539,M535:N539)&gt;0,OR(L534="X",L534="x")),IF(OR(L534="X",L534="x"),0,IF(OR(J534&gt;N534,AND(J534=N534,K534&gt;M534)),1,0)),0)</f>
      </c>
      <c r="K545" s="14" t="str">
        <f>IF(OR(COUNTA(J527:K531,M527:N531)&gt;0,OR(L526="X",L526="x")),IF(OR(L526="X",L526="x"),0,IF(OR(J526&lt;N526,AND(J526=N526,K526&lt;M526)),1,0)),0)+IF(OR(COUNTA(J535:K539,M535:N539)&gt;0,OR(L534="X",L534="x")),IF(OR(L534="X",L534="x"),0,IF(OR(J534&lt;N534,AND(J534=N534,K534&lt;M534)),1,0)),0)</f>
      </c>
      <c r="L545" s="14" t="str">
        <f>IF(OR(COUNTA(J527:K531,M527:N531)&gt;0,OR(L526="X",L526="x")),IF(OR(L526="X",L526="x"),1,0),0)+IF(OR(COUNTA(J535:K539,M535:N539)&gt;0,OR(L534="X",L534="x")),IF(OR(L534="X",L534="x"),1,0),0)</f>
      </c>
    </row>
    <row r="547">
      <c r="A547" s="13"/>
      <c r="B547" s="13" t="s">
        <v>244</v>
      </c>
      <c r="C547" s="13" t="s">
        <v>245</v>
      </c>
      <c r="D547" s="13" t="s">
        <v>246</v>
      </c>
      <c r="E547" s="13" t="s">
        <v>247</v>
      </c>
      <c r="F547" s="13" t="s">
        <v>248</v>
      </c>
      <c r="I547" s="13"/>
      <c r="J547" s="13" t="s">
        <v>244</v>
      </c>
      <c r="K547" s="13" t="s">
        <v>245</v>
      </c>
      <c r="L547" s="13" t="s">
        <v>246</v>
      </c>
      <c r="M547" s="13" t="s">
        <v>247</v>
      </c>
      <c r="N547" s="13" t="s">
        <v>248</v>
      </c>
    </row>
    <row r="548">
      <c r="A548" t="str">
        <f>data!$B$40</f>
      </c>
      <c r="B548" s="14" t="str">
        <f>IF(OR(COUNTA(B519:C523,E519:F523)&gt;0,OR(D518="X",D518="x")),F518,0)+IF(OR(COUNTA(B527:C531,E527:F531)&gt;0,OR(D526="X",D526="x")),F526,0)</f>
      </c>
      <c r="C548" s="14" t="str">
        <f>IF(OR(COUNTA(B519:C523,E519:F523)&gt;0,OR(D518="X",D518="x")),B518,0)+IF(OR(COUNTA(B527:C531,E527:F531)&gt;0,OR(D526="X",D526="x")),B526,0)</f>
      </c>
      <c r="D548" s="14" t="str">
        <f>IF(OR(COUNTA(B519:C523,E519:F523)&gt;0,OR(D518="X",D518="x")),(IF(OR(D519="X",D519="x"),1,0)+IF(OR(D520="X",D520="x"),1,0)+IF(OR(D521="X",D521="x"),1,0)+IF(OR(D522="X",D522="x"),1,0)+IF(OR(D523="X",D523="x"),1,0)),0)+IF(OR(COUNTA(B527:C531,E527:F531)&gt;0,OR(D526="X",D526="x")),(IF(OR(D527="X",D527="x"),1,0)+IF(OR(D528="X",D528="x"),1,0)+IF(OR(D529="X",D529="x"),1,0)+IF(OR(D530="X",D530="x"),1,0)+IF(OR(D531="X",D531="x"),1,0)),0)</f>
      </c>
      <c r="E548" s="14" t="str">
        <f>E518+E526</f>
      </c>
      <c r="F548" s="14" t="str">
        <f>C518+C526</f>
      </c>
      <c r="I548" t="str">
        <f>data!$B$85</f>
      </c>
      <c r="J548" s="14" t="str">
        <f>IF(OR(COUNTA(J519:K523,M519:N523)&gt;0,OR(L518="X",L518="x")),N518,0)+IF(OR(COUNTA(J527:K531,M527:N531)&gt;0,OR(L526="X",L526="x")),N526,0)</f>
      </c>
      <c r="K548" s="14" t="str">
        <f>IF(OR(COUNTA(J519:K523,M519:N523)&gt;0,OR(L518="X",L518="x")),J518,0)+IF(OR(COUNTA(J527:K531,M527:N531)&gt;0,OR(L526="X",L526="x")),J526,0)</f>
      </c>
      <c r="L548" s="14" t="str">
        <f>IF(OR(COUNTA(J519:K523,M519:N523)&gt;0,OR(L518="X",L518="x")),(IF(OR(L519="X",L519="x"),1,0)+IF(OR(L520="X",L520="x"),1,0)+IF(OR(L521="X",L521="x"),1,0)+IF(OR(L522="X",L522="x"),1,0)+IF(OR(L523="X",L523="x"),1,0)),0)+IF(OR(COUNTA(J527:K531,M527:N531)&gt;0,OR(L526="X",L526="x")),(IF(OR(L527="X",L527="x"),1,0)+IF(OR(L528="X",L528="x"),1,0)+IF(OR(L529="X",L529="x"),1,0)+IF(OR(L530="X",L530="x"),1,0)+IF(OR(L531="X",L531="x"),1,0)),0)</f>
      </c>
      <c r="M548" s="14" t="str">
        <f>M518+M526</f>
      </c>
      <c r="N548" s="14" t="str">
        <f>K518+K526</f>
      </c>
    </row>
    <row r="549">
      <c r="A549" t="str">
        <f>data!$B$41</f>
      </c>
      <c r="B549" s="14" t="str">
        <f>IF(OR(COUNTA(B519:C523,E519:F523)&gt;0,OR(D518="X",D518="x")),B518,0)+IF(OR(COUNTA(B535:C539,E535:F539)&gt;0,OR(D534="X",D534="x")),F534,0)</f>
      </c>
      <c r="C549" s="14" t="str">
        <f>IF(OR(COUNTA(B519:C523,E519:F523)&gt;0,OR(D518="X",D518="x")),F518,0)+IF(OR(COUNTA(B535:C539,E535:F539)&gt;0,OR(D534="X",D534="x")),B534,0)</f>
      </c>
      <c r="D549" s="14" t="str">
        <f>IF(OR(COUNTA(B519:C523,E519:F523)&gt;0,OR(D518="X",D518="x")),(IF(OR(D519="X",D519="x"),1,0)+IF(OR(D520="X",D520="x"),1,0)+IF(OR(D521="X",D521="x"),1,0)+IF(OR(D522="X",D522="x"),1,0)+IF(OR(D523="X",D523="x"),1,0)),0)+IF(OR(COUNTA(B535:C539,E535:F539)&gt;0,OR(D534="X",D534="x")),(IF(OR(D535="X",D535="x"),1,0)+IF(OR(D536="X",D536="x"),1,0)+IF(OR(D537="X",D537="x"),1,0)+IF(OR(D538="X",D538="x"),1,0)+IF(OR(D539="X",D539="x"),1,0)),0)</f>
      </c>
      <c r="E549" s="14" t="str">
        <f>C518+E534</f>
      </c>
      <c r="F549" s="14" t="str">
        <f>E518+C534</f>
      </c>
      <c r="I549" t="str">
        <f>data!$B$86</f>
      </c>
      <c r="J549" s="14" t="str">
        <f>IF(OR(COUNTA(J519:K523,M519:N523)&gt;0,OR(L518="X",L518="x")),J518,0)+IF(OR(COUNTA(J535:K539,M535:N539)&gt;0,OR(L534="X",L534="x")),N534,0)</f>
      </c>
      <c r="K549" s="14" t="str">
        <f>IF(OR(COUNTA(J519:K523,M519:N523)&gt;0,OR(L518="X",L518="x")),N518,0)+IF(OR(COUNTA(J535:K539,M535:N539)&gt;0,OR(L534="X",L534="x")),J534,0)</f>
      </c>
      <c r="L549" s="14" t="str">
        <f>IF(OR(COUNTA(J519:K523,M519:N523)&gt;0,OR(L518="X",L518="x")),(IF(OR(L519="X",L519="x"),1,0)+IF(OR(L520="X",L520="x"),1,0)+IF(OR(L521="X",L521="x"),1,0)+IF(OR(L522="X",L522="x"),1,0)+IF(OR(L523="X",L523="x"),1,0)),0)+IF(OR(COUNTA(J535:K539,M535:N539)&gt;0,OR(L534="X",L534="x")),(IF(OR(L535="X",L535="x"),1,0)+IF(OR(L536="X",L536="x"),1,0)+IF(OR(L537="X",L537="x"),1,0)+IF(OR(L538="X",L538="x"),1,0)+IF(OR(L539="X",L539="x"),1,0)),0)</f>
      </c>
      <c r="M549" s="14" t="str">
        <f>K518+M534</f>
      </c>
      <c r="N549" s="14" t="str">
        <f>M518+K534</f>
      </c>
    </row>
    <row r="550">
      <c r="A550" t="str">
        <f>data!$B$42</f>
      </c>
      <c r="B550" s="14" t="str">
        <f>IF(OR(COUNTA(B527:C531,E527:F531)&gt;0,OR(D526="X",D526="x")),B526,0)+IF(OR(COUNTA(B535:C539,E535:F539)&gt;0,OR(D534="X",D534="x")),B534,0)</f>
      </c>
      <c r="C550" s="14" t="str">
        <f>IF(OR(COUNTA(B527:C531,E527:F531)&gt;0,OR(D526="X",D526="x")),F526,0)+IF(OR(COUNTA(B535:C539,E535:F539)&gt;0,OR(D534="X",D534="x")),F534,0)</f>
      </c>
      <c r="D550" s="14" t="str">
        <f>IF(OR(COUNTA(B527:C531,E527:F531)&gt;0,OR(D526="X",D526="x")),(IF(OR(D527="X",D527="x"),1,0)+IF(OR(D528="X",D528="x"),1,0)+IF(OR(D529="X",D529="x"),1,0)+IF(OR(D530="X",D530="x"),1,0)+IF(OR(D531="X",D531="x"),1,0)),0)+IF(OR(COUNTA(B535:C539,E535:F539)&gt;0,OR(D534="X",D534="x")),(IF(OR(D535="X",D535="x"),1,0)+IF(OR(D536="X",D536="x"),1,0)+IF(OR(D537="X",D537="x"),1,0)+IF(OR(D538="X",D538="x"),1,0)+IF(OR(D539="X",D539="x"),1,0)),0)</f>
      </c>
      <c r="E550" s="14" t="str">
        <f>C526+C534</f>
      </c>
      <c r="F550" s="14" t="str">
        <f>E526+E534</f>
      </c>
      <c r="I550" t="str">
        <f>data!$B$87</f>
      </c>
      <c r="J550" s="14" t="str">
        <f>IF(OR(COUNTA(J527:K531,M527:N531)&gt;0,OR(L526="X",L526="x")),J526,0)+IF(OR(COUNTA(J535:K539,M535:N539)&gt;0,OR(L534="X",L534="x")),J534,0)</f>
      </c>
      <c r="K550" s="14" t="str">
        <f>IF(OR(COUNTA(J527:K531,M527:N531)&gt;0,OR(L526="X",L526="x")),N526,0)+IF(OR(COUNTA(J535:K539,M535:N539)&gt;0,OR(L534="X",L534="x")),N534,0)</f>
      </c>
      <c r="L550" s="14" t="str">
        <f>IF(OR(COUNTA(J527:K531,M527:N531)&gt;0,OR(L526="X",L526="x")),(IF(OR(L527="X",L527="x"),1,0)+IF(OR(L528="X",L528="x"),1,0)+IF(OR(L529="X",L529="x"),1,0)+IF(OR(L530="X",L530="x"),1,0)+IF(OR(L531="X",L531="x"),1,0)),0)+IF(OR(COUNTA(J535:K539,M535:N539)&gt;0,OR(L534="X",L534="x")),(IF(OR(L535="X",L535="x"),1,0)+IF(OR(L536="X",L536="x"),1,0)+IF(OR(L537="X",L537="x"),1,0)+IF(OR(L538="X",L538="x"),1,0)+IF(OR(L539="X",L539="x"),1,0)),0)</f>
      </c>
      <c r="M550" s="14" t="str">
        <f>K526+K534</f>
      </c>
      <c r="N550" s="14" t="str">
        <f>M526+M534</f>
      </c>
    </row>
    <row r="553">
      <c r="F553" s="13"/>
      <c r="G553" s="13" t="s">
        <v>249</v>
      </c>
      <c r="N553" s="13"/>
      <c r="O553" s="13" t="s">
        <v>249</v>
      </c>
    </row>
    <row r="554">
      <c r="F554" t="s">
        <v>250</v>
      </c>
      <c r="G554" s="19"/>
      <c r="N554" t="s">
        <v>250</v>
      </c>
      <c r="O554" s="19"/>
    </row>
    <row r="555">
      <c r="F555" t="s">
        <v>251</v>
      </c>
      <c r="G555" s="19"/>
      <c r="N555" t="s">
        <v>251</v>
      </c>
      <c r="O555" s="19"/>
    </row>
    <row r="556">
      <c r="F556" t="s">
        <v>252</v>
      </c>
      <c r="G556" s="19"/>
      <c r="N556" t="s">
        <v>252</v>
      </c>
      <c r="O556" s="19"/>
    </row>
    <row r="558">
      <c r="A558" s="13" t="str">
        <f>data!$A$45</f>
      </c>
      <c r="B558" s="13"/>
      <c r="C558" s="13"/>
      <c r="D558" s="13"/>
      <c r="E558" s="13"/>
      <c r="F558" s="13"/>
      <c r="G558" s="13"/>
      <c r="I558" s="13" t="str">
        <f>data!$A$90</f>
      </c>
      <c r="J558" s="13"/>
      <c r="K558" s="13"/>
      <c r="L558" s="13"/>
      <c r="M558" s="13"/>
      <c r="N558" s="13"/>
      <c r="O558" s="13"/>
    </row>
    <row r="559">
      <c r="A559" s="17" t="s">
        <v>238</v>
      </c>
      <c r="B559" s="14"/>
      <c r="C559" s="14"/>
      <c r="D559" s="14" t="s">
        <v>239</v>
      </c>
      <c r="E559" s="14"/>
      <c r="F559" s="14"/>
      <c r="G559" s="16" t="s">
        <v>240</v>
      </c>
      <c r="I559" s="17" t="s">
        <v>238</v>
      </c>
      <c r="J559" s="14"/>
      <c r="K559" s="14"/>
      <c r="L559" s="14" t="s">
        <v>239</v>
      </c>
      <c r="M559" s="14"/>
      <c r="N559" s="14"/>
      <c r="O559" s="16" t="s">
        <v>240</v>
      </c>
    </row>
    <row r="560">
      <c r="A560" s="14" t="str">
        <f>data!$B$44</f>
      </c>
      <c r="B560" s="18" t="str">
        <f>SUMPRODUCT((UPPER(D561:D565)&lt;&gt;"X")*((LEN(SUBSTITUTE(SUBSTITUTE(SUBSTITUTE(B561:B565," ",""),"0",""),"-",""))+LEN(SUBSTITUTE(SUBSTITUTE(SUBSTITUTE(C561:C565," ",""),"0",""),"-","")))&gt;(LEN(SUBSTITUTE(SUBSTITUTE(SUBSTITUTE(E561:E565," ",""),"0",""),"-",""))+LEN(SUBSTITUTE(SUBSTITUTE(SUBSTITUTE(F561:F565," ",""),"0",""),"-",""))))*1)</f>
      </c>
      <c r="C560" s="18" t="str">
        <f>SUMPRODUCT(LEN(SUBSTITUTE(SUBSTITUTE(SUBSTITUTE(B561:B565," ",""),"0",""),"-",""))+LEN(SUBSTITUTE(SUBSTITUTE(SUBSTITUTE(C561:C565," ",""),"0",""),"-","")))</f>
      </c>
      <c r="D560" s="18"/>
      <c r="E560" s="18" t="str">
        <f>SUMPRODUCT(LEN(SUBSTITUTE(SUBSTITUTE(SUBSTITUTE(E561:E565," ",""),"0",""),"-",""))+LEN(SUBSTITUTE(SUBSTITUTE(SUBSTITUTE(F561:F565," ",""),"0",""),"-","")))</f>
      </c>
      <c r="F560" s="18" t="str">
        <f>SUMPRODUCT((UPPER(D561:D565)&lt;&gt;"X")*((LEN(SUBSTITUTE(SUBSTITUTE(SUBSTITUTE(E561:E565," ",""),"0",""),"-",""))+LEN(SUBSTITUTE(SUBSTITUTE(SUBSTITUTE(F561:F565," ",""),"0",""),"-","")))&gt;(LEN(SUBSTITUTE(SUBSTITUTE(SUBSTITUTE(B561:B565," ",""),"0",""),"-",""))+LEN(SUBSTITUTE(SUBSTITUTE(SUBSTITUTE(C561:C565," ",""),"0",""),"-",""))))*1)</f>
      </c>
      <c r="G560" s="14" t="str">
        <f>data!$B$43</f>
      </c>
      <c r="I560" s="14" t="str">
        <f>data!$B$89</f>
      </c>
      <c r="J560" s="18" t="str">
        <f>SUMPRODUCT((UPPER(L561:L565)&lt;&gt;"X")*((LEN(SUBSTITUTE(SUBSTITUTE(SUBSTITUTE(J561:J565," ",""),"0",""),"-",""))+LEN(SUBSTITUTE(SUBSTITUTE(SUBSTITUTE(K561:K565," ",""),"0",""),"-","")))&gt;(LEN(SUBSTITUTE(SUBSTITUTE(SUBSTITUTE(M561:M565," ",""),"0",""),"-",""))+LEN(SUBSTITUTE(SUBSTITUTE(SUBSTITUTE(N561:N565," ",""),"0",""),"-",""))))*1)</f>
      </c>
      <c r="K560" s="18" t="str">
        <f>SUMPRODUCT(LEN(SUBSTITUTE(SUBSTITUTE(SUBSTITUTE(J561:J565," ",""),"0",""),"-",""))+LEN(SUBSTITUTE(SUBSTITUTE(SUBSTITUTE(K561:K565," ",""),"0",""),"-","")))</f>
      </c>
      <c r="L560" s="18"/>
      <c r="M560" s="18" t="str">
        <f>SUMPRODUCT(LEN(SUBSTITUTE(SUBSTITUTE(SUBSTITUTE(M561:M565," ",""),"0",""),"-",""))+LEN(SUBSTITUTE(SUBSTITUTE(SUBSTITUTE(N561:N565," ",""),"0",""),"-","")))</f>
      </c>
      <c r="N560" s="18" t="str">
        <f>SUMPRODUCT((UPPER(L561:L565)&lt;&gt;"X")*((LEN(SUBSTITUTE(SUBSTITUTE(SUBSTITUTE(M561:M565," ",""),"0",""),"-",""))+LEN(SUBSTITUTE(SUBSTITUTE(SUBSTITUTE(N561:N565," ",""),"0",""),"-","")))&gt;(LEN(SUBSTITUTE(SUBSTITUTE(SUBSTITUTE(J561:J565," ",""),"0",""),"-",""))+LEN(SUBSTITUTE(SUBSTITUTE(SUBSTITUTE(K561:K565," ",""),"0",""),"-",""))))*1)</f>
      </c>
      <c r="O560" s="14" t="str">
        <f>data!$B$88</f>
      </c>
    </row>
    <row r="561">
      <c r="A561" s="18">
        <v>1</v>
      </c>
      <c r="B561" s="18"/>
      <c r="C561" s="18"/>
      <c r="D561" s="18"/>
      <c r="E561" s="18"/>
      <c r="F561" s="18"/>
      <c r="G561" s="18">
        <v>1</v>
      </c>
      <c r="I561" s="18">
        <v>1</v>
      </c>
      <c r="J561" s="18"/>
      <c r="K561" s="18"/>
      <c r="L561" s="18"/>
      <c r="M561" s="18"/>
      <c r="N561" s="18"/>
      <c r="O561" s="18">
        <v>1</v>
      </c>
    </row>
    <row r="562">
      <c r="A562" s="18">
        <v>2</v>
      </c>
      <c r="B562" s="18"/>
      <c r="C562" s="18"/>
      <c r="D562" s="18"/>
      <c r="E562" s="18"/>
      <c r="F562" s="18"/>
      <c r="G562" s="18">
        <v>2</v>
      </c>
      <c r="I562" s="18">
        <v>2</v>
      </c>
      <c r="J562" s="18"/>
      <c r="K562" s="18"/>
      <c r="L562" s="18"/>
      <c r="M562" s="18"/>
      <c r="N562" s="18"/>
      <c r="O562" s="18">
        <v>2</v>
      </c>
    </row>
    <row r="563">
      <c r="A563" s="18">
        <v>3</v>
      </c>
      <c r="B563" s="18"/>
      <c r="C563" s="18"/>
      <c r="D563" s="18"/>
      <c r="E563" s="18"/>
      <c r="F563" s="18"/>
      <c r="G563" s="18">
        <v>3</v>
      </c>
      <c r="I563" s="18">
        <v>3</v>
      </c>
      <c r="J563" s="18"/>
      <c r="K563" s="18"/>
      <c r="L563" s="18"/>
      <c r="M563" s="18"/>
      <c r="N563" s="18"/>
      <c r="O563" s="18">
        <v>3</v>
      </c>
    </row>
    <row r="564">
      <c r="A564" s="18">
        <v>4</v>
      </c>
      <c r="B564" s="18"/>
      <c r="C564" s="18"/>
      <c r="D564" s="18"/>
      <c r="E564" s="18"/>
      <c r="F564" s="18"/>
      <c r="G564" s="18">
        <v>4</v>
      </c>
      <c r="I564" s="18">
        <v>4</v>
      </c>
      <c r="J564" s="18"/>
      <c r="K564" s="18"/>
      <c r="L564" s="18"/>
      <c r="M564" s="18"/>
      <c r="N564" s="18"/>
      <c r="O564" s="18">
        <v>4</v>
      </c>
    </row>
    <row r="565">
      <c r="A565" s="18">
        <v>5</v>
      </c>
      <c r="B565" s="18"/>
      <c r="C565" s="18"/>
      <c r="D565" s="18"/>
      <c r="E565" s="18"/>
      <c r="F565" s="18"/>
      <c r="G565" s="18">
        <v>5</v>
      </c>
      <c r="I565" s="18">
        <v>5</v>
      </c>
      <c r="J565" s="18"/>
      <c r="K565" s="18"/>
      <c r="L565" s="18"/>
      <c r="M565" s="18"/>
      <c r="N565" s="18"/>
      <c r="O565" s="18">
        <v>5</v>
      </c>
    </row>
    <row r="567">
      <c r="A567" s="17" t="s">
        <v>238</v>
      </c>
      <c r="B567" s="14"/>
      <c r="C567" s="14"/>
      <c r="D567" s="14" t="s">
        <v>239</v>
      </c>
      <c r="E567" s="14"/>
      <c r="F567" s="14"/>
      <c r="G567" s="16" t="s">
        <v>240</v>
      </c>
      <c r="I567" s="17" t="s">
        <v>238</v>
      </c>
      <c r="J567" s="14"/>
      <c r="K567" s="14"/>
      <c r="L567" s="14" t="s">
        <v>239</v>
      </c>
      <c r="M567" s="14"/>
      <c r="N567" s="14"/>
      <c r="O567" s="16" t="s">
        <v>240</v>
      </c>
    </row>
    <row r="568">
      <c r="A568" s="14" t="str">
        <f>data!$B$45</f>
      </c>
      <c r="B568" s="18" t="str">
        <f>SUMPRODUCT((UPPER(D569:D573)&lt;&gt;"X")*((LEN(SUBSTITUTE(SUBSTITUTE(SUBSTITUTE(B569:B573," ",""),"0",""),"-",""))+LEN(SUBSTITUTE(SUBSTITUTE(SUBSTITUTE(C569:C573," ",""),"0",""),"-","")))&gt;(LEN(SUBSTITUTE(SUBSTITUTE(SUBSTITUTE(E569:E573," ",""),"0",""),"-",""))+LEN(SUBSTITUTE(SUBSTITUTE(SUBSTITUTE(F569:F573," ",""),"0",""),"-",""))))*1)</f>
      </c>
      <c r="C568" s="18" t="str">
        <f>SUMPRODUCT(LEN(SUBSTITUTE(SUBSTITUTE(SUBSTITUTE(B569:B573," ",""),"0",""),"-",""))+LEN(SUBSTITUTE(SUBSTITUTE(SUBSTITUTE(C569:C573," ",""),"0",""),"-","")))</f>
      </c>
      <c r="D568" s="18"/>
      <c r="E568" s="18" t="str">
        <f>SUMPRODUCT(LEN(SUBSTITUTE(SUBSTITUTE(SUBSTITUTE(E569:E573," ",""),"0",""),"-",""))+LEN(SUBSTITUTE(SUBSTITUTE(SUBSTITUTE(F569:F573," ",""),"0",""),"-","")))</f>
      </c>
      <c r="F568" s="18" t="str">
        <f>SUMPRODUCT((UPPER(D569:D573)&lt;&gt;"X")*((LEN(SUBSTITUTE(SUBSTITUTE(SUBSTITUTE(E569:E573," ",""),"0",""),"-",""))+LEN(SUBSTITUTE(SUBSTITUTE(SUBSTITUTE(F569:F573," ",""),"0",""),"-","")))&gt;(LEN(SUBSTITUTE(SUBSTITUTE(SUBSTITUTE(B569:B573," ",""),"0",""),"-",""))+LEN(SUBSTITUTE(SUBSTITUTE(SUBSTITUTE(C569:C573," ",""),"0",""),"-",""))))*1)</f>
      </c>
      <c r="G568" s="14" t="str">
        <f>data!$B$43</f>
      </c>
      <c r="I568" s="14" t="str">
        <f>data!$B$90</f>
      </c>
      <c r="J568" s="18" t="str">
        <f>SUMPRODUCT((UPPER(L569:L573)&lt;&gt;"X")*((LEN(SUBSTITUTE(SUBSTITUTE(SUBSTITUTE(J569:J573," ",""),"0",""),"-",""))+LEN(SUBSTITUTE(SUBSTITUTE(SUBSTITUTE(K569:K573," ",""),"0",""),"-","")))&gt;(LEN(SUBSTITUTE(SUBSTITUTE(SUBSTITUTE(M569:M573," ",""),"0",""),"-",""))+LEN(SUBSTITUTE(SUBSTITUTE(SUBSTITUTE(N569:N573," ",""),"0",""),"-",""))))*1)</f>
      </c>
      <c r="K568" s="18" t="str">
        <f>SUMPRODUCT(LEN(SUBSTITUTE(SUBSTITUTE(SUBSTITUTE(J569:J573," ",""),"0",""),"-",""))+LEN(SUBSTITUTE(SUBSTITUTE(SUBSTITUTE(K569:K573," ",""),"0",""),"-","")))</f>
      </c>
      <c r="L568" s="18"/>
      <c r="M568" s="18" t="str">
        <f>SUMPRODUCT(LEN(SUBSTITUTE(SUBSTITUTE(SUBSTITUTE(M569:M573," ",""),"0",""),"-",""))+LEN(SUBSTITUTE(SUBSTITUTE(SUBSTITUTE(N569:N573," ",""),"0",""),"-","")))</f>
      </c>
      <c r="N568" s="18" t="str">
        <f>SUMPRODUCT((UPPER(L569:L573)&lt;&gt;"X")*((LEN(SUBSTITUTE(SUBSTITUTE(SUBSTITUTE(M569:M573," ",""),"0",""),"-",""))+LEN(SUBSTITUTE(SUBSTITUTE(SUBSTITUTE(N569:N573," ",""),"0",""),"-","")))&gt;(LEN(SUBSTITUTE(SUBSTITUTE(SUBSTITUTE(J569:J573," ",""),"0",""),"-",""))+LEN(SUBSTITUTE(SUBSTITUTE(SUBSTITUTE(K569:K573," ",""),"0",""),"-",""))))*1)</f>
      </c>
      <c r="O568" s="14" t="str">
        <f>data!$B$88</f>
      </c>
    </row>
    <row r="569">
      <c r="A569" s="18">
        <v>1</v>
      </c>
      <c r="B569" s="18"/>
      <c r="C569" s="18"/>
      <c r="D569" s="18"/>
      <c r="E569" s="18"/>
      <c r="F569" s="18"/>
      <c r="G569" s="18">
        <v>1</v>
      </c>
      <c r="I569" s="18">
        <v>1</v>
      </c>
      <c r="J569" s="18"/>
      <c r="K569" s="18"/>
      <c r="L569" s="18"/>
      <c r="M569" s="18"/>
      <c r="N569" s="18"/>
      <c r="O569" s="18">
        <v>1</v>
      </c>
    </row>
    <row r="570">
      <c r="A570" s="18">
        <v>2</v>
      </c>
      <c r="B570" s="18"/>
      <c r="C570" s="18"/>
      <c r="D570" s="18"/>
      <c r="E570" s="18"/>
      <c r="F570" s="18"/>
      <c r="G570" s="18">
        <v>2</v>
      </c>
      <c r="I570" s="18">
        <v>2</v>
      </c>
      <c r="J570" s="18"/>
      <c r="K570" s="18"/>
      <c r="L570" s="18"/>
      <c r="M570" s="18"/>
      <c r="N570" s="18"/>
      <c r="O570" s="18">
        <v>2</v>
      </c>
    </row>
    <row r="571">
      <c r="A571" s="18">
        <v>3</v>
      </c>
      <c r="B571" s="18"/>
      <c r="C571" s="18"/>
      <c r="D571" s="18"/>
      <c r="E571" s="18"/>
      <c r="F571" s="18"/>
      <c r="G571" s="18">
        <v>3</v>
      </c>
      <c r="I571" s="18">
        <v>3</v>
      </c>
      <c r="J571" s="18"/>
      <c r="K571" s="18"/>
      <c r="L571" s="18"/>
      <c r="M571" s="18"/>
      <c r="N571" s="18"/>
      <c r="O571" s="18">
        <v>3</v>
      </c>
    </row>
    <row r="572">
      <c r="A572" s="18">
        <v>4</v>
      </c>
      <c r="B572" s="18"/>
      <c r="C572" s="18"/>
      <c r="D572" s="18"/>
      <c r="E572" s="18"/>
      <c r="F572" s="18"/>
      <c r="G572" s="18">
        <v>4</v>
      </c>
      <c r="I572" s="18">
        <v>4</v>
      </c>
      <c r="J572" s="18"/>
      <c r="K572" s="18"/>
      <c r="L572" s="18"/>
      <c r="M572" s="18"/>
      <c r="N572" s="18"/>
      <c r="O572" s="18">
        <v>4</v>
      </c>
    </row>
    <row r="573">
      <c r="A573" s="18">
        <v>5</v>
      </c>
      <c r="B573" s="18"/>
      <c r="C573" s="18"/>
      <c r="D573" s="18"/>
      <c r="E573" s="18"/>
      <c r="F573" s="18"/>
      <c r="G573" s="18">
        <v>5</v>
      </c>
      <c r="I573" s="18">
        <v>5</v>
      </c>
      <c r="J573" s="18"/>
      <c r="K573" s="18"/>
      <c r="L573" s="18"/>
      <c r="M573" s="18"/>
      <c r="N573" s="18"/>
      <c r="O573" s="18">
        <v>5</v>
      </c>
    </row>
    <row r="575">
      <c r="A575" s="17" t="s">
        <v>238</v>
      </c>
      <c r="B575" s="14"/>
      <c r="C575" s="14"/>
      <c r="D575" s="14" t="s">
        <v>239</v>
      </c>
      <c r="E575" s="14"/>
      <c r="F575" s="14"/>
      <c r="G575" s="16" t="s">
        <v>240</v>
      </c>
      <c r="I575" s="17" t="s">
        <v>238</v>
      </c>
      <c r="J575" s="14"/>
      <c r="K575" s="14"/>
      <c r="L575" s="14" t="s">
        <v>239</v>
      </c>
      <c r="M575" s="14"/>
      <c r="N575" s="14"/>
      <c r="O575" s="16" t="s">
        <v>240</v>
      </c>
    </row>
    <row r="576">
      <c r="A576" s="14" t="str">
        <f>data!$B$45</f>
      </c>
      <c r="B576" s="18" t="str">
        <f>SUMPRODUCT((UPPER(D577:D581)&lt;&gt;"X")*((LEN(SUBSTITUTE(SUBSTITUTE(SUBSTITUTE(B577:B581," ",""),"0",""),"-",""))+LEN(SUBSTITUTE(SUBSTITUTE(SUBSTITUTE(C577:C581," ",""),"0",""),"-","")))&gt;(LEN(SUBSTITUTE(SUBSTITUTE(SUBSTITUTE(E577:E581," ",""),"0",""),"-",""))+LEN(SUBSTITUTE(SUBSTITUTE(SUBSTITUTE(F577:F581," ",""),"0",""),"-",""))))*1)</f>
      </c>
      <c r="C576" s="18" t="str">
        <f>SUMPRODUCT(LEN(SUBSTITUTE(SUBSTITUTE(SUBSTITUTE(B577:B581," ",""),"0",""),"-",""))+LEN(SUBSTITUTE(SUBSTITUTE(SUBSTITUTE(C577:C581," ",""),"0",""),"-","")))</f>
      </c>
      <c r="D576" s="18"/>
      <c r="E576" s="18" t="str">
        <f>SUMPRODUCT(LEN(SUBSTITUTE(SUBSTITUTE(SUBSTITUTE(E577:E581," ",""),"0",""),"-",""))+LEN(SUBSTITUTE(SUBSTITUTE(SUBSTITUTE(F577:F581," ",""),"0",""),"-","")))</f>
      </c>
      <c r="F576" s="18" t="str">
        <f>SUMPRODUCT((UPPER(D577:D581)&lt;&gt;"X")*((LEN(SUBSTITUTE(SUBSTITUTE(SUBSTITUTE(E577:E581," ",""),"0",""),"-",""))+LEN(SUBSTITUTE(SUBSTITUTE(SUBSTITUTE(F577:F581," ",""),"0",""),"-","")))&gt;(LEN(SUBSTITUTE(SUBSTITUTE(SUBSTITUTE(B577:B581," ",""),"0",""),"-",""))+LEN(SUBSTITUTE(SUBSTITUTE(SUBSTITUTE(C577:C581," ",""),"0",""),"-",""))))*1)</f>
      </c>
      <c r="G576" s="14" t="str">
        <f>data!$B$44</f>
      </c>
      <c r="I576" s="14" t="str">
        <f>data!$B$90</f>
      </c>
      <c r="J576" s="18" t="str">
        <f>SUMPRODUCT((UPPER(L577:L581)&lt;&gt;"X")*((LEN(SUBSTITUTE(SUBSTITUTE(SUBSTITUTE(J577:J581," ",""),"0",""),"-",""))+LEN(SUBSTITUTE(SUBSTITUTE(SUBSTITUTE(K577:K581," ",""),"0",""),"-","")))&gt;(LEN(SUBSTITUTE(SUBSTITUTE(SUBSTITUTE(M577:M581," ",""),"0",""),"-",""))+LEN(SUBSTITUTE(SUBSTITUTE(SUBSTITUTE(N577:N581," ",""),"0",""),"-",""))))*1)</f>
      </c>
      <c r="K576" s="18" t="str">
        <f>SUMPRODUCT(LEN(SUBSTITUTE(SUBSTITUTE(SUBSTITUTE(J577:J581," ",""),"0",""),"-",""))+LEN(SUBSTITUTE(SUBSTITUTE(SUBSTITUTE(K577:K581," ",""),"0",""),"-","")))</f>
      </c>
      <c r="L576" s="18"/>
      <c r="M576" s="18" t="str">
        <f>SUMPRODUCT(LEN(SUBSTITUTE(SUBSTITUTE(SUBSTITUTE(M577:M581," ",""),"0",""),"-",""))+LEN(SUBSTITUTE(SUBSTITUTE(SUBSTITUTE(N577:N581," ",""),"0",""),"-","")))</f>
      </c>
      <c r="N576" s="18" t="str">
        <f>SUMPRODUCT((UPPER(L577:L581)&lt;&gt;"X")*((LEN(SUBSTITUTE(SUBSTITUTE(SUBSTITUTE(M577:M581," ",""),"0",""),"-",""))+LEN(SUBSTITUTE(SUBSTITUTE(SUBSTITUTE(N577:N581," ",""),"0",""),"-","")))&gt;(LEN(SUBSTITUTE(SUBSTITUTE(SUBSTITUTE(J577:J581," ",""),"0",""),"-",""))+LEN(SUBSTITUTE(SUBSTITUTE(SUBSTITUTE(K577:K581," ",""),"0",""),"-",""))))*1)</f>
      </c>
      <c r="O576" s="14" t="str">
        <f>data!$B$89</f>
      </c>
    </row>
    <row r="577">
      <c r="A577" s="18">
        <v>1</v>
      </c>
      <c r="B577" s="18"/>
      <c r="C577" s="18"/>
      <c r="D577" s="18"/>
      <c r="E577" s="18"/>
      <c r="F577" s="18"/>
      <c r="G577" s="18">
        <v>1</v>
      </c>
      <c r="I577" s="18">
        <v>1</v>
      </c>
      <c r="J577" s="18"/>
      <c r="K577" s="18"/>
      <c r="L577" s="18"/>
      <c r="M577" s="18"/>
      <c r="N577" s="18"/>
      <c r="O577" s="18">
        <v>1</v>
      </c>
    </row>
    <row r="578">
      <c r="A578" s="18">
        <v>2</v>
      </c>
      <c r="B578" s="18"/>
      <c r="C578" s="18"/>
      <c r="D578" s="18"/>
      <c r="E578" s="18"/>
      <c r="F578" s="18"/>
      <c r="G578" s="18">
        <v>2</v>
      </c>
      <c r="I578" s="18">
        <v>2</v>
      </c>
      <c r="J578" s="18"/>
      <c r="K578" s="18"/>
      <c r="L578" s="18"/>
      <c r="M578" s="18"/>
      <c r="N578" s="18"/>
      <c r="O578" s="18">
        <v>2</v>
      </c>
    </row>
    <row r="579">
      <c r="A579" s="18">
        <v>3</v>
      </c>
      <c r="B579" s="18"/>
      <c r="C579" s="18"/>
      <c r="D579" s="18"/>
      <c r="E579" s="18"/>
      <c r="F579" s="18"/>
      <c r="G579" s="18">
        <v>3</v>
      </c>
      <c r="I579" s="18">
        <v>3</v>
      </c>
      <c r="J579" s="18"/>
      <c r="K579" s="18"/>
      <c r="L579" s="18"/>
      <c r="M579" s="18"/>
      <c r="N579" s="18"/>
      <c r="O579" s="18">
        <v>3</v>
      </c>
    </row>
    <row r="580">
      <c r="A580" s="18">
        <v>4</v>
      </c>
      <c r="B580" s="18"/>
      <c r="C580" s="18"/>
      <c r="D580" s="18"/>
      <c r="E580" s="18"/>
      <c r="F580" s="18"/>
      <c r="G580" s="18">
        <v>4</v>
      </c>
      <c r="I580" s="18">
        <v>4</v>
      </c>
      <c r="J580" s="18"/>
      <c r="K580" s="18"/>
      <c r="L580" s="18"/>
      <c r="M580" s="18"/>
      <c r="N580" s="18"/>
      <c r="O580" s="18">
        <v>4</v>
      </c>
    </row>
    <row r="581">
      <c r="A581" s="18">
        <v>5</v>
      </c>
      <c r="B581" s="18"/>
      <c r="C581" s="18"/>
      <c r="D581" s="18"/>
      <c r="E581" s="18"/>
      <c r="F581" s="18"/>
      <c r="G581" s="18">
        <v>5</v>
      </c>
      <c r="I581" s="18">
        <v>5</v>
      </c>
      <c r="J581" s="18"/>
      <c r="K581" s="18"/>
      <c r="L581" s="18"/>
      <c r="M581" s="18"/>
      <c r="N581" s="18"/>
      <c r="O581" s="18">
        <v>5</v>
      </c>
    </row>
    <row r="584">
      <c r="A584" s="13"/>
      <c r="B584" s="13" t="s">
        <v>241</v>
      </c>
      <c r="C584" s="13" t="s">
        <v>242</v>
      </c>
      <c r="D584" s="13" t="s">
        <v>243</v>
      </c>
      <c r="I584" s="13"/>
      <c r="J584" s="13" t="s">
        <v>241</v>
      </c>
      <c r="K584" s="13" t="s">
        <v>242</v>
      </c>
      <c r="L584" s="13" t="s">
        <v>243</v>
      </c>
    </row>
    <row r="585">
      <c r="A585" t="str">
        <f>data!$B$43</f>
      </c>
      <c r="B585" s="14" t="str">
        <f>IF(OR(COUNTA(B561:C565,E561:F565)&gt;0,OR(D560="X",D560="x")),IF(OR(D560="X",D560="x"),0,IF(OR(F560&gt;B560,AND(F560=B560,E560&gt;C560)),1,0)),0)+IF(OR(COUNTA(B569:C573,E569:F573)&gt;0,OR(D568="X",D568="x")),IF(OR(D568="X",D568="x"),0,IF(OR(F568&gt;B568,AND(F568=B568,E568&gt;C568)),1,0)),0)</f>
      </c>
      <c r="C585" s="14" t="str">
        <f>IF(OR(COUNTA(B561:C565,E561:F565)&gt;0,OR(D560="X",D560="x")),IF(OR(D560="X",D560="x"),0,IF(OR(F560&lt;B560,AND(F560=B560,E560&lt;C560)),1,0)),0)+IF(OR(COUNTA(B569:C573,E569:F573)&gt;0,OR(D568="X",D568="x")),IF(OR(D568="X",D568="x"),0,IF(OR(F568&lt;B568,AND(F568=B568,E568&lt;C568)),1,0)),0)</f>
      </c>
      <c r="D585" s="14" t="str">
        <f>IF(OR(COUNTA(B561:C565,E561:F565)&gt;0,OR(D560="X",D560="x")),IF(OR(D560="X",D560="x"),1,0),0)+IF(OR(COUNTA(B569:C573,E569:F573)&gt;0,OR(D568="X",D568="x")),IF(OR(D568="X",D568="x"),1,0),0)</f>
      </c>
      <c r="I585" t="str">
        <f>data!$B$88</f>
      </c>
      <c r="J585" s="14" t="str">
        <f>IF(OR(COUNTA(J561:K565,M561:N565)&gt;0,OR(L560="X",L560="x")),IF(OR(L560="X",L560="x"),0,IF(OR(N560&gt;J560,AND(N560=J560,M560&gt;K560)),1,0)),0)+IF(OR(COUNTA(J569:K573,M569:N573)&gt;0,OR(L568="X",L568="x")),IF(OR(L568="X",L568="x"),0,IF(OR(N568&gt;J568,AND(N568=J568,M568&gt;K568)),1,0)),0)</f>
      </c>
      <c r="K585" s="14" t="str">
        <f>IF(OR(COUNTA(J561:K565,M561:N565)&gt;0,OR(L560="X",L560="x")),IF(OR(L560="X",L560="x"),0,IF(OR(N560&lt;J560,AND(N560=J560,M560&lt;K560)),1,0)),0)+IF(OR(COUNTA(J569:K573,M569:N573)&gt;0,OR(L568="X",L568="x")),IF(OR(L568="X",L568="x"),0,IF(OR(N568&lt;J568,AND(N568=J568,M568&lt;K568)),1,0)),0)</f>
      </c>
      <c r="L585" s="14" t="str">
        <f>IF(OR(COUNTA(J561:K565,M561:N565)&gt;0,OR(L560="X",L560="x")),IF(OR(L560="X",L560="x"),1,0),0)+IF(OR(COUNTA(J569:K573,M569:N573)&gt;0,OR(L568="X",L568="x")),IF(OR(L568="X",L568="x"),1,0),0)</f>
      </c>
    </row>
    <row r="586">
      <c r="A586" t="str">
        <f>data!$B$44</f>
      </c>
      <c r="B586" s="14" t="str">
        <f>IF(OR(COUNTA(B561:C565,E561:F565)&gt;0,OR(D560="X",D560="x")),IF(OR(D560="X",D560="x"),0,IF(OR(B560&gt;F560,AND(B560=F560,C560&gt;E560)),1,0)),0)+IF(OR(COUNTA(B577:C581,E577:F581)&gt;0,OR(D576="X",D576="x")),IF(OR(D576="X",D576="x"),0,IF(OR(F576&gt;B576,AND(F576=B576,E576&gt;C576)),1,0)),0)</f>
      </c>
      <c r="C586" s="14" t="str">
        <f>IF(OR(COUNTA(B561:C565,E561:F565)&gt;0,OR(D560="X",D560="x")),IF(OR(D560="X",D560="x"),0,IF(OR(B560&lt;F560,AND(B560=F560,C560&lt;E560)),1,0)),0)+IF(OR(COUNTA(B577:C581,E577:F581)&gt;0,OR(D576="X",D576="x")),IF(OR(D576="X",D576="x"),0,IF(OR(F576&lt;B576,AND(F576=B576,E576&lt;C576)),1,0)),0)</f>
      </c>
      <c r="D586" s="14" t="str">
        <f>IF(OR(COUNTA(B561:C565,E561:F565)&gt;0,OR(D560="X",D560="x")),IF(OR(D560="X",D560="x"),1,0),0)+IF(OR(COUNTA(B577:C581,E577:F581)&gt;0,OR(D576="X",D576="x")),IF(OR(D576="X",D576="x"),1,0),0)</f>
      </c>
      <c r="I586" t="str">
        <f>data!$B$89</f>
      </c>
      <c r="J586" s="14" t="str">
        <f>IF(OR(COUNTA(J561:K565,M561:N565)&gt;0,OR(L560="X",L560="x")),IF(OR(L560="X",L560="x"),0,IF(OR(J560&gt;N560,AND(J560=N560,K560&gt;M560)),1,0)),0)+IF(OR(COUNTA(J577:K581,M577:N581)&gt;0,OR(L576="X",L576="x")),IF(OR(L576="X",L576="x"),0,IF(OR(N576&gt;J576,AND(N576=J576,M576&gt;K576)),1,0)),0)</f>
      </c>
      <c r="K586" s="14" t="str">
        <f>IF(OR(COUNTA(J561:K565,M561:N565)&gt;0,OR(L560="X",L560="x")),IF(OR(L560="X",L560="x"),0,IF(OR(J560&lt;N560,AND(J560=N560,K560&lt;M560)),1,0)),0)+IF(OR(COUNTA(J577:K581,M577:N581)&gt;0,OR(L576="X",L576="x")),IF(OR(L576="X",L576="x"),0,IF(OR(N576&lt;J576,AND(N576=J576,M576&lt;K576)),1,0)),0)</f>
      </c>
      <c r="L586" s="14" t="str">
        <f>IF(OR(COUNTA(J561:K565,M561:N565)&gt;0,OR(L560="X",L560="x")),IF(OR(L560="X",L560="x"),1,0),0)+IF(OR(COUNTA(J577:K581,M577:N581)&gt;0,OR(L576="X",L576="x")),IF(OR(L576="X",L576="x"),1,0),0)</f>
      </c>
    </row>
    <row r="587">
      <c r="A587" t="str">
        <f>data!$B$45</f>
      </c>
      <c r="B587" s="14" t="str">
        <f>IF(OR(COUNTA(B569:C573,E569:F573)&gt;0,OR(D568="X",D568="x")),IF(OR(D568="X",D568="x"),0,IF(OR(B568&gt;F568,AND(B568=F568,C568&gt;E568)),1,0)),0)+IF(OR(COUNTA(B577:C581,E577:F581)&gt;0,OR(D576="X",D576="x")),IF(OR(D576="X",D576="x"),0,IF(OR(B576&gt;F576,AND(B576=F576,C576&gt;E576)),1,0)),0)</f>
      </c>
      <c r="C587" s="14" t="str">
        <f>IF(OR(COUNTA(B569:C573,E569:F573)&gt;0,OR(D568="X",D568="x")),IF(OR(D568="X",D568="x"),0,IF(OR(B568&lt;F568,AND(B568=F568,C568&lt;E568)),1,0)),0)+IF(OR(COUNTA(B577:C581,E577:F581)&gt;0,OR(D576="X",D576="x")),IF(OR(D576="X",D576="x"),0,IF(OR(B576&lt;F576,AND(B576=F576,C576&lt;E576)),1,0)),0)</f>
      </c>
      <c r="D587" s="14" t="str">
        <f>IF(OR(COUNTA(B569:C573,E569:F573)&gt;0,OR(D568="X",D568="x")),IF(OR(D568="X",D568="x"),1,0),0)+IF(OR(COUNTA(B577:C581,E577:F581)&gt;0,OR(D576="X",D576="x")),IF(OR(D576="X",D576="x"),1,0),0)</f>
      </c>
      <c r="I587" t="str">
        <f>data!$B$90</f>
      </c>
      <c r="J587" s="14" t="str">
        <f>IF(OR(COUNTA(J569:K573,M569:N573)&gt;0,OR(L568="X",L568="x")),IF(OR(L568="X",L568="x"),0,IF(OR(J568&gt;N568,AND(J568=N568,K568&gt;M568)),1,0)),0)+IF(OR(COUNTA(J577:K581,M577:N581)&gt;0,OR(L576="X",L576="x")),IF(OR(L576="X",L576="x"),0,IF(OR(J576&gt;N576,AND(J576=N576,K576&gt;M576)),1,0)),0)</f>
      </c>
      <c r="K587" s="14" t="str">
        <f>IF(OR(COUNTA(J569:K573,M569:N573)&gt;0,OR(L568="X",L568="x")),IF(OR(L568="X",L568="x"),0,IF(OR(J568&lt;N568,AND(J568=N568,K568&lt;M568)),1,0)),0)+IF(OR(COUNTA(J577:K581,M577:N581)&gt;0,OR(L576="X",L576="x")),IF(OR(L576="X",L576="x"),0,IF(OR(J576&lt;N576,AND(J576=N576,K576&lt;M576)),1,0)),0)</f>
      </c>
      <c r="L587" s="14" t="str">
        <f>IF(OR(COUNTA(J569:K573,M569:N573)&gt;0,OR(L568="X",L568="x")),IF(OR(L568="X",L568="x"),1,0),0)+IF(OR(COUNTA(J577:K581,M577:N581)&gt;0,OR(L576="X",L576="x")),IF(OR(L576="X",L576="x"),1,0),0)</f>
      </c>
    </row>
    <row r="589">
      <c r="A589" s="13"/>
      <c r="B589" s="13" t="s">
        <v>244</v>
      </c>
      <c r="C589" s="13" t="s">
        <v>245</v>
      </c>
      <c r="D589" s="13" t="s">
        <v>246</v>
      </c>
      <c r="E589" s="13" t="s">
        <v>247</v>
      </c>
      <c r="F589" s="13" t="s">
        <v>248</v>
      </c>
      <c r="I589" s="13"/>
      <c r="J589" s="13" t="s">
        <v>244</v>
      </c>
      <c r="K589" s="13" t="s">
        <v>245</v>
      </c>
      <c r="L589" s="13" t="s">
        <v>246</v>
      </c>
      <c r="M589" s="13" t="s">
        <v>247</v>
      </c>
      <c r="N589" s="13" t="s">
        <v>248</v>
      </c>
    </row>
    <row r="590">
      <c r="A590" t="str">
        <f>data!$B$43</f>
      </c>
      <c r="B590" s="14" t="str">
        <f>IF(OR(COUNTA(B561:C565,E561:F565)&gt;0,OR(D560="X",D560="x")),F560,0)+IF(OR(COUNTA(B569:C573,E569:F573)&gt;0,OR(D568="X",D568="x")),F568,0)</f>
      </c>
      <c r="C590" s="14" t="str">
        <f>IF(OR(COUNTA(B561:C565,E561:F565)&gt;0,OR(D560="X",D560="x")),B560,0)+IF(OR(COUNTA(B569:C573,E569:F573)&gt;0,OR(D568="X",D568="x")),B568,0)</f>
      </c>
      <c r="D590" s="14" t="str">
        <f>IF(OR(COUNTA(B561:C565,E561:F565)&gt;0,OR(D560="X",D560="x")),(IF(OR(D561="X",D561="x"),1,0)+IF(OR(D562="X",D562="x"),1,0)+IF(OR(D563="X",D563="x"),1,0)+IF(OR(D564="X",D564="x"),1,0)+IF(OR(D565="X",D565="x"),1,0)),0)+IF(OR(COUNTA(B569:C573,E569:F573)&gt;0,OR(D568="X",D568="x")),(IF(OR(D569="X",D569="x"),1,0)+IF(OR(D570="X",D570="x"),1,0)+IF(OR(D571="X",D571="x"),1,0)+IF(OR(D572="X",D572="x"),1,0)+IF(OR(D573="X",D573="x"),1,0)),0)</f>
      </c>
      <c r="E590" s="14" t="str">
        <f>E560+E568</f>
      </c>
      <c r="F590" s="14" t="str">
        <f>C560+C568</f>
      </c>
      <c r="I590" t="str">
        <f>data!$B$88</f>
      </c>
      <c r="J590" s="14" t="str">
        <f>IF(OR(COUNTA(J561:K565,M561:N565)&gt;0,OR(L560="X",L560="x")),N560,0)+IF(OR(COUNTA(J569:K573,M569:N573)&gt;0,OR(L568="X",L568="x")),N568,0)</f>
      </c>
      <c r="K590" s="14" t="str">
        <f>IF(OR(COUNTA(J561:K565,M561:N565)&gt;0,OR(L560="X",L560="x")),J560,0)+IF(OR(COUNTA(J569:K573,M569:N573)&gt;0,OR(L568="X",L568="x")),J568,0)</f>
      </c>
      <c r="L590" s="14" t="str">
        <f>IF(OR(COUNTA(J561:K565,M561:N565)&gt;0,OR(L560="X",L560="x")),(IF(OR(L561="X",L561="x"),1,0)+IF(OR(L562="X",L562="x"),1,0)+IF(OR(L563="X",L563="x"),1,0)+IF(OR(L564="X",L564="x"),1,0)+IF(OR(L565="X",L565="x"),1,0)),0)+IF(OR(COUNTA(J569:K573,M569:N573)&gt;0,OR(L568="X",L568="x")),(IF(OR(L569="X",L569="x"),1,0)+IF(OR(L570="X",L570="x"),1,0)+IF(OR(L571="X",L571="x"),1,0)+IF(OR(L572="X",L572="x"),1,0)+IF(OR(L573="X",L573="x"),1,0)),0)</f>
      </c>
      <c r="M590" s="14" t="str">
        <f>M560+M568</f>
      </c>
      <c r="N590" s="14" t="str">
        <f>K560+K568</f>
      </c>
    </row>
    <row r="591">
      <c r="A591" t="str">
        <f>data!$B$44</f>
      </c>
      <c r="B591" s="14" t="str">
        <f>IF(OR(COUNTA(B561:C565,E561:F565)&gt;0,OR(D560="X",D560="x")),B560,0)+IF(OR(COUNTA(B577:C581,E577:F581)&gt;0,OR(D576="X",D576="x")),F576,0)</f>
      </c>
      <c r="C591" s="14" t="str">
        <f>IF(OR(COUNTA(B561:C565,E561:F565)&gt;0,OR(D560="X",D560="x")),F560,0)+IF(OR(COUNTA(B577:C581,E577:F581)&gt;0,OR(D576="X",D576="x")),B576,0)</f>
      </c>
      <c r="D591" s="14" t="str">
        <f>IF(OR(COUNTA(B561:C565,E561:F565)&gt;0,OR(D560="X",D560="x")),(IF(OR(D561="X",D561="x"),1,0)+IF(OR(D562="X",D562="x"),1,0)+IF(OR(D563="X",D563="x"),1,0)+IF(OR(D564="X",D564="x"),1,0)+IF(OR(D565="X",D565="x"),1,0)),0)+IF(OR(COUNTA(B577:C581,E577:F581)&gt;0,OR(D576="X",D576="x")),(IF(OR(D577="X",D577="x"),1,0)+IF(OR(D578="X",D578="x"),1,0)+IF(OR(D579="X",D579="x"),1,0)+IF(OR(D580="X",D580="x"),1,0)+IF(OR(D581="X",D581="x"),1,0)),0)</f>
      </c>
      <c r="E591" s="14" t="str">
        <f>C560+E576</f>
      </c>
      <c r="F591" s="14" t="str">
        <f>E560+C576</f>
      </c>
      <c r="I591" t="str">
        <f>data!$B$89</f>
      </c>
      <c r="J591" s="14" t="str">
        <f>IF(OR(COUNTA(J561:K565,M561:N565)&gt;0,OR(L560="X",L560="x")),J560,0)+IF(OR(COUNTA(J577:K581,M577:N581)&gt;0,OR(L576="X",L576="x")),N576,0)</f>
      </c>
      <c r="K591" s="14" t="str">
        <f>IF(OR(COUNTA(J561:K565,M561:N565)&gt;0,OR(L560="X",L560="x")),N560,0)+IF(OR(COUNTA(J577:K581,M577:N581)&gt;0,OR(L576="X",L576="x")),J576,0)</f>
      </c>
      <c r="L591" s="14" t="str">
        <f>IF(OR(COUNTA(J561:K565,M561:N565)&gt;0,OR(L560="X",L560="x")),(IF(OR(L561="X",L561="x"),1,0)+IF(OR(L562="X",L562="x"),1,0)+IF(OR(L563="X",L563="x"),1,0)+IF(OR(L564="X",L564="x"),1,0)+IF(OR(L565="X",L565="x"),1,0)),0)+IF(OR(COUNTA(J577:K581,M577:N581)&gt;0,OR(L576="X",L576="x")),(IF(OR(L577="X",L577="x"),1,0)+IF(OR(L578="X",L578="x"),1,0)+IF(OR(L579="X",L579="x"),1,0)+IF(OR(L580="X",L580="x"),1,0)+IF(OR(L581="X",L581="x"),1,0)),0)</f>
      </c>
      <c r="M591" s="14" t="str">
        <f>K560+M576</f>
      </c>
      <c r="N591" s="14" t="str">
        <f>M560+K576</f>
      </c>
    </row>
    <row r="592">
      <c r="A592" t="str">
        <f>data!$B$45</f>
      </c>
      <c r="B592" s="14" t="str">
        <f>IF(OR(COUNTA(B569:C573,E569:F573)&gt;0,OR(D568="X",D568="x")),B568,0)+IF(OR(COUNTA(B577:C581,E577:F581)&gt;0,OR(D576="X",D576="x")),B576,0)</f>
      </c>
      <c r="C592" s="14" t="str">
        <f>IF(OR(COUNTA(B569:C573,E569:F573)&gt;0,OR(D568="X",D568="x")),F568,0)+IF(OR(COUNTA(B577:C581,E577:F581)&gt;0,OR(D576="X",D576="x")),F576,0)</f>
      </c>
      <c r="D592" s="14" t="str">
        <f>IF(OR(COUNTA(B569:C573,E569:F573)&gt;0,OR(D568="X",D568="x")),(IF(OR(D569="X",D569="x"),1,0)+IF(OR(D570="X",D570="x"),1,0)+IF(OR(D571="X",D571="x"),1,0)+IF(OR(D572="X",D572="x"),1,0)+IF(OR(D573="X",D573="x"),1,0)),0)+IF(OR(COUNTA(B577:C581,E577:F581)&gt;0,OR(D576="X",D576="x")),(IF(OR(D577="X",D577="x"),1,0)+IF(OR(D578="X",D578="x"),1,0)+IF(OR(D579="X",D579="x"),1,0)+IF(OR(D580="X",D580="x"),1,0)+IF(OR(D581="X",D581="x"),1,0)),0)</f>
      </c>
      <c r="E592" s="14" t="str">
        <f>C568+C576</f>
      </c>
      <c r="F592" s="14" t="str">
        <f>E568+E576</f>
      </c>
      <c r="I592" t="str">
        <f>data!$B$90</f>
      </c>
      <c r="J592" s="14" t="str">
        <f>IF(OR(COUNTA(J569:K573,M569:N573)&gt;0,OR(L568="X",L568="x")),J568,0)+IF(OR(COUNTA(J577:K581,M577:N581)&gt;0,OR(L576="X",L576="x")),J576,0)</f>
      </c>
      <c r="K592" s="14" t="str">
        <f>IF(OR(COUNTA(J569:K573,M569:N573)&gt;0,OR(L568="X",L568="x")),N568,0)+IF(OR(COUNTA(J577:K581,M577:N581)&gt;0,OR(L576="X",L576="x")),N576,0)</f>
      </c>
      <c r="L592" s="14" t="str">
        <f>IF(OR(COUNTA(J569:K573,M569:N573)&gt;0,OR(L568="X",L568="x")),(IF(OR(L569="X",L569="x"),1,0)+IF(OR(L570="X",L570="x"),1,0)+IF(OR(L571="X",L571="x"),1,0)+IF(OR(L572="X",L572="x"),1,0)+IF(OR(L573="X",L573="x"),1,0)),0)+IF(OR(COUNTA(J577:K581,M577:N581)&gt;0,OR(L576="X",L576="x")),(IF(OR(L577="X",L577="x"),1,0)+IF(OR(L578="X",L578="x"),1,0)+IF(OR(L579="X",L579="x"),1,0)+IF(OR(L580="X",L580="x"),1,0)+IF(OR(L581="X",L581="x"),1,0)),0)</f>
      </c>
      <c r="M592" s="14" t="str">
        <f>K568+K576</f>
      </c>
      <c r="N592" s="14" t="str">
        <f>M568+M576</f>
      </c>
    </row>
    <row r="595">
      <c r="F595" s="13"/>
      <c r="G595" s="13" t="s">
        <v>249</v>
      </c>
      <c r="N595" s="13"/>
      <c r="O595" s="13" t="s">
        <v>249</v>
      </c>
    </row>
    <row r="596">
      <c r="F596" t="s">
        <v>250</v>
      </c>
      <c r="G596" s="19"/>
      <c r="N596" t="s">
        <v>250</v>
      </c>
      <c r="O596" s="19"/>
    </row>
    <row r="597">
      <c r="F597" t="s">
        <v>251</v>
      </c>
      <c r="G597" s="19"/>
      <c r="N597" t="s">
        <v>251</v>
      </c>
      <c r="O597" s="19"/>
    </row>
    <row r="598">
      <c r="F598" t="s">
        <v>252</v>
      </c>
      <c r="G598" s="19"/>
      <c r="N598" t="s">
        <v>252</v>
      </c>
      <c r="O598" s="19"/>
    </row>
    <row r="600">
      <c r="A600" s="13" t="str">
        <f>data!$A$48</f>
      </c>
      <c r="B600" s="13"/>
      <c r="C600" s="13"/>
      <c r="D600" s="13"/>
      <c r="E600" s="13"/>
      <c r="F600" s="13"/>
      <c r="G600" s="13"/>
      <c r="I600" s="13" t="str">
        <f>data!$A$93</f>
      </c>
      <c r="J600" s="13"/>
      <c r="K600" s="13"/>
      <c r="L600" s="13"/>
      <c r="M600" s="13"/>
      <c r="N600" s="13"/>
      <c r="O600" s="13"/>
    </row>
    <row r="601">
      <c r="A601" s="17" t="s">
        <v>238</v>
      </c>
      <c r="B601" s="14"/>
      <c r="C601" s="14"/>
      <c r="D601" s="14" t="s">
        <v>239</v>
      </c>
      <c r="E601" s="14"/>
      <c r="F601" s="14"/>
      <c r="G601" s="16" t="s">
        <v>240</v>
      </c>
      <c r="I601" s="17" t="s">
        <v>238</v>
      </c>
      <c r="J601" s="14"/>
      <c r="K601" s="14"/>
      <c r="L601" s="14" t="s">
        <v>239</v>
      </c>
      <c r="M601" s="14"/>
      <c r="N601" s="14"/>
      <c r="O601" s="16" t="s">
        <v>240</v>
      </c>
    </row>
    <row r="602">
      <c r="A602" s="14" t="str">
        <f>data!$B$47</f>
      </c>
      <c r="B602" s="18" t="str">
        <f>SUMPRODUCT((UPPER(D603:D607)&lt;&gt;"X")*((LEN(SUBSTITUTE(SUBSTITUTE(SUBSTITUTE(B603:B607," ",""),"0",""),"-",""))+LEN(SUBSTITUTE(SUBSTITUTE(SUBSTITUTE(C603:C607," ",""),"0",""),"-","")))&gt;(LEN(SUBSTITUTE(SUBSTITUTE(SUBSTITUTE(E603:E607," ",""),"0",""),"-",""))+LEN(SUBSTITUTE(SUBSTITUTE(SUBSTITUTE(F603:F607," ",""),"0",""),"-",""))))*1)</f>
      </c>
      <c r="C602" s="18" t="str">
        <f>SUMPRODUCT(LEN(SUBSTITUTE(SUBSTITUTE(SUBSTITUTE(B603:B607," ",""),"0",""),"-",""))+LEN(SUBSTITUTE(SUBSTITUTE(SUBSTITUTE(C603:C607," ",""),"0",""),"-","")))</f>
      </c>
      <c r="D602" s="18"/>
      <c r="E602" s="18" t="str">
        <f>SUMPRODUCT(LEN(SUBSTITUTE(SUBSTITUTE(SUBSTITUTE(E603:E607," ",""),"0",""),"-",""))+LEN(SUBSTITUTE(SUBSTITUTE(SUBSTITUTE(F603:F607," ",""),"0",""),"-","")))</f>
      </c>
      <c r="F602" s="18" t="str">
        <f>SUMPRODUCT((UPPER(D603:D607)&lt;&gt;"X")*((LEN(SUBSTITUTE(SUBSTITUTE(SUBSTITUTE(E603:E607," ",""),"0",""),"-",""))+LEN(SUBSTITUTE(SUBSTITUTE(SUBSTITUTE(F603:F607," ",""),"0",""),"-","")))&gt;(LEN(SUBSTITUTE(SUBSTITUTE(SUBSTITUTE(B603:B607," ",""),"0",""),"-",""))+LEN(SUBSTITUTE(SUBSTITUTE(SUBSTITUTE(C603:C607," ",""),"0",""),"-",""))))*1)</f>
      </c>
      <c r="G602" s="14" t="str">
        <f>data!$B$46</f>
      </c>
      <c r="I602" s="14" t="str">
        <f>data!$B$92</f>
      </c>
      <c r="J602" s="18" t="str">
        <f>SUMPRODUCT((UPPER(L603:L607)&lt;&gt;"X")*((LEN(SUBSTITUTE(SUBSTITUTE(SUBSTITUTE(J603:J607," ",""),"0",""),"-",""))+LEN(SUBSTITUTE(SUBSTITUTE(SUBSTITUTE(K603:K607," ",""),"0",""),"-","")))&gt;(LEN(SUBSTITUTE(SUBSTITUTE(SUBSTITUTE(M603:M607," ",""),"0",""),"-",""))+LEN(SUBSTITUTE(SUBSTITUTE(SUBSTITUTE(N603:N607," ",""),"0",""),"-",""))))*1)</f>
      </c>
      <c r="K602" s="18" t="str">
        <f>SUMPRODUCT(LEN(SUBSTITUTE(SUBSTITUTE(SUBSTITUTE(J603:J607," ",""),"0",""),"-",""))+LEN(SUBSTITUTE(SUBSTITUTE(SUBSTITUTE(K603:K607," ",""),"0",""),"-","")))</f>
      </c>
      <c r="L602" s="18"/>
      <c r="M602" s="18" t="str">
        <f>SUMPRODUCT(LEN(SUBSTITUTE(SUBSTITUTE(SUBSTITUTE(M603:M607," ",""),"0",""),"-",""))+LEN(SUBSTITUTE(SUBSTITUTE(SUBSTITUTE(N603:N607," ",""),"0",""),"-","")))</f>
      </c>
      <c r="N602" s="18" t="str">
        <f>SUMPRODUCT((UPPER(L603:L607)&lt;&gt;"X")*((LEN(SUBSTITUTE(SUBSTITUTE(SUBSTITUTE(M603:M607," ",""),"0",""),"-",""))+LEN(SUBSTITUTE(SUBSTITUTE(SUBSTITUTE(N603:N607," ",""),"0",""),"-","")))&gt;(LEN(SUBSTITUTE(SUBSTITUTE(SUBSTITUTE(J603:J607," ",""),"0",""),"-",""))+LEN(SUBSTITUTE(SUBSTITUTE(SUBSTITUTE(K603:K607," ",""),"0",""),"-",""))))*1)</f>
      </c>
      <c r="O602" s="14" t="str">
        <f>data!$B$91</f>
      </c>
    </row>
    <row r="603">
      <c r="A603" s="18">
        <v>1</v>
      </c>
      <c r="B603" s="18"/>
      <c r="C603" s="18"/>
      <c r="D603" s="18"/>
      <c r="E603" s="18"/>
      <c r="F603" s="18"/>
      <c r="G603" s="18">
        <v>1</v>
      </c>
      <c r="I603" s="18">
        <v>1</v>
      </c>
      <c r="J603" s="18"/>
      <c r="K603" s="18"/>
      <c r="L603" s="18"/>
      <c r="M603" s="18"/>
      <c r="N603" s="18"/>
      <c r="O603" s="18">
        <v>1</v>
      </c>
    </row>
    <row r="604">
      <c r="A604" s="18">
        <v>2</v>
      </c>
      <c r="B604" s="18"/>
      <c r="C604" s="18"/>
      <c r="D604" s="18"/>
      <c r="E604" s="18"/>
      <c r="F604" s="18"/>
      <c r="G604" s="18">
        <v>2</v>
      </c>
      <c r="I604" s="18">
        <v>2</v>
      </c>
      <c r="J604" s="18"/>
      <c r="K604" s="18"/>
      <c r="L604" s="18"/>
      <c r="M604" s="18"/>
      <c r="N604" s="18"/>
      <c r="O604" s="18">
        <v>2</v>
      </c>
    </row>
    <row r="605">
      <c r="A605" s="18">
        <v>3</v>
      </c>
      <c r="B605" s="18"/>
      <c r="C605" s="18"/>
      <c r="D605" s="18"/>
      <c r="E605" s="18"/>
      <c r="F605" s="18"/>
      <c r="G605" s="18">
        <v>3</v>
      </c>
      <c r="I605" s="18">
        <v>3</v>
      </c>
      <c r="J605" s="18"/>
      <c r="K605" s="18"/>
      <c r="L605" s="18"/>
      <c r="M605" s="18"/>
      <c r="N605" s="18"/>
      <c r="O605" s="18">
        <v>3</v>
      </c>
    </row>
    <row r="606">
      <c r="A606" s="18">
        <v>4</v>
      </c>
      <c r="B606" s="18"/>
      <c r="C606" s="18"/>
      <c r="D606" s="18"/>
      <c r="E606" s="18"/>
      <c r="F606" s="18"/>
      <c r="G606" s="18">
        <v>4</v>
      </c>
      <c r="I606" s="18">
        <v>4</v>
      </c>
      <c r="J606" s="18"/>
      <c r="K606" s="18"/>
      <c r="L606" s="18"/>
      <c r="M606" s="18"/>
      <c r="N606" s="18"/>
      <c r="O606" s="18">
        <v>4</v>
      </c>
    </row>
    <row r="607">
      <c r="A607" s="18">
        <v>5</v>
      </c>
      <c r="B607" s="18"/>
      <c r="C607" s="18"/>
      <c r="D607" s="18"/>
      <c r="E607" s="18"/>
      <c r="F607" s="18"/>
      <c r="G607" s="18">
        <v>5</v>
      </c>
      <c r="I607" s="18">
        <v>5</v>
      </c>
      <c r="J607" s="18"/>
      <c r="K607" s="18"/>
      <c r="L607" s="18"/>
      <c r="M607" s="18"/>
      <c r="N607" s="18"/>
      <c r="O607" s="18">
        <v>5</v>
      </c>
    </row>
    <row r="609">
      <c r="A609" s="17" t="s">
        <v>238</v>
      </c>
      <c r="B609" s="14"/>
      <c r="C609" s="14"/>
      <c r="D609" s="14" t="s">
        <v>239</v>
      </c>
      <c r="E609" s="14"/>
      <c r="F609" s="14"/>
      <c r="G609" s="16" t="s">
        <v>240</v>
      </c>
      <c r="I609" s="17" t="s">
        <v>238</v>
      </c>
      <c r="J609" s="14"/>
      <c r="K609" s="14"/>
      <c r="L609" s="14" t="s">
        <v>239</v>
      </c>
      <c r="M609" s="14"/>
      <c r="N609" s="14"/>
      <c r="O609" s="16" t="s">
        <v>240</v>
      </c>
    </row>
    <row r="610">
      <c r="A610" s="14" t="str">
        <f>data!$B$48</f>
      </c>
      <c r="B610" s="18" t="str">
        <f>SUMPRODUCT((UPPER(D611:D615)&lt;&gt;"X")*((LEN(SUBSTITUTE(SUBSTITUTE(SUBSTITUTE(B611:B615," ",""),"0",""),"-",""))+LEN(SUBSTITUTE(SUBSTITUTE(SUBSTITUTE(C611:C615," ",""),"0",""),"-","")))&gt;(LEN(SUBSTITUTE(SUBSTITUTE(SUBSTITUTE(E611:E615," ",""),"0",""),"-",""))+LEN(SUBSTITUTE(SUBSTITUTE(SUBSTITUTE(F611:F615," ",""),"0",""),"-",""))))*1)</f>
      </c>
      <c r="C610" s="18" t="str">
        <f>SUMPRODUCT(LEN(SUBSTITUTE(SUBSTITUTE(SUBSTITUTE(B611:B615," ",""),"0",""),"-",""))+LEN(SUBSTITUTE(SUBSTITUTE(SUBSTITUTE(C611:C615," ",""),"0",""),"-","")))</f>
      </c>
      <c r="D610" s="18"/>
      <c r="E610" s="18" t="str">
        <f>SUMPRODUCT(LEN(SUBSTITUTE(SUBSTITUTE(SUBSTITUTE(E611:E615," ",""),"0",""),"-",""))+LEN(SUBSTITUTE(SUBSTITUTE(SUBSTITUTE(F611:F615," ",""),"0",""),"-","")))</f>
      </c>
      <c r="F610" s="18" t="str">
        <f>SUMPRODUCT((UPPER(D611:D615)&lt;&gt;"X")*((LEN(SUBSTITUTE(SUBSTITUTE(SUBSTITUTE(E611:E615," ",""),"0",""),"-",""))+LEN(SUBSTITUTE(SUBSTITUTE(SUBSTITUTE(F611:F615," ",""),"0",""),"-","")))&gt;(LEN(SUBSTITUTE(SUBSTITUTE(SUBSTITUTE(B611:B615," ",""),"0",""),"-",""))+LEN(SUBSTITUTE(SUBSTITUTE(SUBSTITUTE(C611:C615," ",""),"0",""),"-",""))))*1)</f>
      </c>
      <c r="G610" s="14" t="str">
        <f>data!$B$46</f>
      </c>
      <c r="I610" s="14" t="str">
        <f>data!$B$93</f>
      </c>
      <c r="J610" s="18" t="str">
        <f>SUMPRODUCT((UPPER(L611:L615)&lt;&gt;"X")*((LEN(SUBSTITUTE(SUBSTITUTE(SUBSTITUTE(J611:J615," ",""),"0",""),"-",""))+LEN(SUBSTITUTE(SUBSTITUTE(SUBSTITUTE(K611:K615," ",""),"0",""),"-","")))&gt;(LEN(SUBSTITUTE(SUBSTITUTE(SUBSTITUTE(M611:M615," ",""),"0",""),"-",""))+LEN(SUBSTITUTE(SUBSTITUTE(SUBSTITUTE(N611:N615," ",""),"0",""),"-",""))))*1)</f>
      </c>
      <c r="K610" s="18" t="str">
        <f>SUMPRODUCT(LEN(SUBSTITUTE(SUBSTITUTE(SUBSTITUTE(J611:J615," ",""),"0",""),"-",""))+LEN(SUBSTITUTE(SUBSTITUTE(SUBSTITUTE(K611:K615," ",""),"0",""),"-","")))</f>
      </c>
      <c r="L610" s="18"/>
      <c r="M610" s="18" t="str">
        <f>SUMPRODUCT(LEN(SUBSTITUTE(SUBSTITUTE(SUBSTITUTE(M611:M615," ",""),"0",""),"-",""))+LEN(SUBSTITUTE(SUBSTITUTE(SUBSTITUTE(N611:N615," ",""),"0",""),"-","")))</f>
      </c>
      <c r="N610" s="18" t="str">
        <f>SUMPRODUCT((UPPER(L611:L615)&lt;&gt;"X")*((LEN(SUBSTITUTE(SUBSTITUTE(SUBSTITUTE(M611:M615," ",""),"0",""),"-",""))+LEN(SUBSTITUTE(SUBSTITUTE(SUBSTITUTE(N611:N615," ",""),"0",""),"-","")))&gt;(LEN(SUBSTITUTE(SUBSTITUTE(SUBSTITUTE(J611:J615," ",""),"0",""),"-",""))+LEN(SUBSTITUTE(SUBSTITUTE(SUBSTITUTE(K611:K615," ",""),"0",""),"-",""))))*1)</f>
      </c>
      <c r="O610" s="14" t="str">
        <f>data!$B$91</f>
      </c>
    </row>
    <row r="611">
      <c r="A611" s="18">
        <v>1</v>
      </c>
      <c r="B611" s="18"/>
      <c r="C611" s="18"/>
      <c r="D611" s="18"/>
      <c r="E611" s="18"/>
      <c r="F611" s="18"/>
      <c r="G611" s="18">
        <v>1</v>
      </c>
      <c r="I611" s="18">
        <v>1</v>
      </c>
      <c r="J611" s="18"/>
      <c r="K611" s="18"/>
      <c r="L611" s="18"/>
      <c r="M611" s="18"/>
      <c r="N611" s="18"/>
      <c r="O611" s="18">
        <v>1</v>
      </c>
    </row>
    <row r="612">
      <c r="A612" s="18">
        <v>2</v>
      </c>
      <c r="B612" s="18"/>
      <c r="C612" s="18"/>
      <c r="D612" s="18"/>
      <c r="E612" s="18"/>
      <c r="F612" s="18"/>
      <c r="G612" s="18">
        <v>2</v>
      </c>
      <c r="I612" s="18">
        <v>2</v>
      </c>
      <c r="J612" s="18"/>
      <c r="K612" s="18"/>
      <c r="L612" s="18"/>
      <c r="M612" s="18"/>
      <c r="N612" s="18"/>
      <c r="O612" s="18">
        <v>2</v>
      </c>
    </row>
    <row r="613">
      <c r="A613" s="18">
        <v>3</v>
      </c>
      <c r="B613" s="18"/>
      <c r="C613" s="18"/>
      <c r="D613" s="18"/>
      <c r="E613" s="18"/>
      <c r="F613" s="18"/>
      <c r="G613" s="18">
        <v>3</v>
      </c>
      <c r="I613" s="18">
        <v>3</v>
      </c>
      <c r="J613" s="18"/>
      <c r="K613" s="18"/>
      <c r="L613" s="18"/>
      <c r="M613" s="18"/>
      <c r="N613" s="18"/>
      <c r="O613" s="18">
        <v>3</v>
      </c>
    </row>
    <row r="614">
      <c r="A614" s="18">
        <v>4</v>
      </c>
      <c r="B614" s="18"/>
      <c r="C614" s="18"/>
      <c r="D614" s="18"/>
      <c r="E614" s="18"/>
      <c r="F614" s="18"/>
      <c r="G614" s="18">
        <v>4</v>
      </c>
      <c r="I614" s="18">
        <v>4</v>
      </c>
      <c r="J614" s="18"/>
      <c r="K614" s="18"/>
      <c r="L614" s="18"/>
      <c r="M614" s="18"/>
      <c r="N614" s="18"/>
      <c r="O614" s="18">
        <v>4</v>
      </c>
    </row>
    <row r="615">
      <c r="A615" s="18">
        <v>5</v>
      </c>
      <c r="B615" s="18"/>
      <c r="C615" s="18"/>
      <c r="D615" s="18"/>
      <c r="E615" s="18"/>
      <c r="F615" s="18"/>
      <c r="G615" s="18">
        <v>5</v>
      </c>
      <c r="I615" s="18">
        <v>5</v>
      </c>
      <c r="J615" s="18"/>
      <c r="K615" s="18"/>
      <c r="L615" s="18"/>
      <c r="M615" s="18"/>
      <c r="N615" s="18"/>
      <c r="O615" s="18">
        <v>5</v>
      </c>
    </row>
    <row r="617">
      <c r="A617" s="17" t="s">
        <v>238</v>
      </c>
      <c r="B617" s="14"/>
      <c r="C617" s="14"/>
      <c r="D617" s="14" t="s">
        <v>239</v>
      </c>
      <c r="E617" s="14"/>
      <c r="F617" s="14"/>
      <c r="G617" s="16" t="s">
        <v>240</v>
      </c>
      <c r="I617" s="17" t="s">
        <v>238</v>
      </c>
      <c r="J617" s="14"/>
      <c r="K617" s="14"/>
      <c r="L617" s="14" t="s">
        <v>239</v>
      </c>
      <c r="M617" s="14"/>
      <c r="N617" s="14"/>
      <c r="O617" s="16" t="s">
        <v>240</v>
      </c>
    </row>
    <row r="618">
      <c r="A618" s="14" t="str">
        <f>data!$B$48</f>
      </c>
      <c r="B618" s="18" t="str">
        <f>SUMPRODUCT((UPPER(D619:D623)&lt;&gt;"X")*((LEN(SUBSTITUTE(SUBSTITUTE(SUBSTITUTE(B619:B623," ",""),"0",""),"-",""))+LEN(SUBSTITUTE(SUBSTITUTE(SUBSTITUTE(C619:C623," ",""),"0",""),"-","")))&gt;(LEN(SUBSTITUTE(SUBSTITUTE(SUBSTITUTE(E619:E623," ",""),"0",""),"-",""))+LEN(SUBSTITUTE(SUBSTITUTE(SUBSTITUTE(F619:F623," ",""),"0",""),"-",""))))*1)</f>
      </c>
      <c r="C618" s="18" t="str">
        <f>SUMPRODUCT(LEN(SUBSTITUTE(SUBSTITUTE(SUBSTITUTE(B619:B623," ",""),"0",""),"-",""))+LEN(SUBSTITUTE(SUBSTITUTE(SUBSTITUTE(C619:C623," ",""),"0",""),"-","")))</f>
      </c>
      <c r="D618" s="18"/>
      <c r="E618" s="18" t="str">
        <f>SUMPRODUCT(LEN(SUBSTITUTE(SUBSTITUTE(SUBSTITUTE(E619:E623," ",""),"0",""),"-",""))+LEN(SUBSTITUTE(SUBSTITUTE(SUBSTITUTE(F619:F623," ",""),"0",""),"-","")))</f>
      </c>
      <c r="F618" s="18" t="str">
        <f>SUMPRODUCT((UPPER(D619:D623)&lt;&gt;"X")*((LEN(SUBSTITUTE(SUBSTITUTE(SUBSTITUTE(E619:E623," ",""),"0",""),"-",""))+LEN(SUBSTITUTE(SUBSTITUTE(SUBSTITUTE(F619:F623," ",""),"0",""),"-","")))&gt;(LEN(SUBSTITUTE(SUBSTITUTE(SUBSTITUTE(B619:B623," ",""),"0",""),"-",""))+LEN(SUBSTITUTE(SUBSTITUTE(SUBSTITUTE(C619:C623," ",""),"0",""),"-",""))))*1)</f>
      </c>
      <c r="G618" s="14" t="str">
        <f>data!$B$47</f>
      </c>
      <c r="I618" s="14" t="str">
        <f>data!$B$93</f>
      </c>
      <c r="J618" s="18" t="str">
        <f>SUMPRODUCT((UPPER(L619:L623)&lt;&gt;"X")*((LEN(SUBSTITUTE(SUBSTITUTE(SUBSTITUTE(J619:J623," ",""),"0",""),"-",""))+LEN(SUBSTITUTE(SUBSTITUTE(SUBSTITUTE(K619:K623," ",""),"0",""),"-","")))&gt;(LEN(SUBSTITUTE(SUBSTITUTE(SUBSTITUTE(M619:M623," ",""),"0",""),"-",""))+LEN(SUBSTITUTE(SUBSTITUTE(SUBSTITUTE(N619:N623," ",""),"0",""),"-",""))))*1)</f>
      </c>
      <c r="K618" s="18" t="str">
        <f>SUMPRODUCT(LEN(SUBSTITUTE(SUBSTITUTE(SUBSTITUTE(J619:J623," ",""),"0",""),"-",""))+LEN(SUBSTITUTE(SUBSTITUTE(SUBSTITUTE(K619:K623," ",""),"0",""),"-","")))</f>
      </c>
      <c r="L618" s="18"/>
      <c r="M618" s="18" t="str">
        <f>SUMPRODUCT(LEN(SUBSTITUTE(SUBSTITUTE(SUBSTITUTE(M619:M623," ",""),"0",""),"-",""))+LEN(SUBSTITUTE(SUBSTITUTE(SUBSTITUTE(N619:N623," ",""),"0",""),"-","")))</f>
      </c>
      <c r="N618" s="18" t="str">
        <f>SUMPRODUCT((UPPER(L619:L623)&lt;&gt;"X")*((LEN(SUBSTITUTE(SUBSTITUTE(SUBSTITUTE(M619:M623," ",""),"0",""),"-",""))+LEN(SUBSTITUTE(SUBSTITUTE(SUBSTITUTE(N619:N623," ",""),"0",""),"-","")))&gt;(LEN(SUBSTITUTE(SUBSTITUTE(SUBSTITUTE(J619:J623," ",""),"0",""),"-",""))+LEN(SUBSTITUTE(SUBSTITUTE(SUBSTITUTE(K619:K623," ",""),"0",""),"-",""))))*1)</f>
      </c>
      <c r="O618" s="14" t="str">
        <f>data!$B$92</f>
      </c>
    </row>
    <row r="619">
      <c r="A619" s="18">
        <v>1</v>
      </c>
      <c r="B619" s="18"/>
      <c r="C619" s="18"/>
      <c r="D619" s="18"/>
      <c r="E619" s="18"/>
      <c r="F619" s="18"/>
      <c r="G619" s="18">
        <v>1</v>
      </c>
      <c r="I619" s="18">
        <v>1</v>
      </c>
      <c r="J619" s="18"/>
      <c r="K619" s="18"/>
      <c r="L619" s="18"/>
      <c r="M619" s="18"/>
      <c r="N619" s="18"/>
      <c r="O619" s="18">
        <v>1</v>
      </c>
    </row>
    <row r="620">
      <c r="A620" s="18">
        <v>2</v>
      </c>
      <c r="B620" s="18"/>
      <c r="C620" s="18"/>
      <c r="D620" s="18"/>
      <c r="E620" s="18"/>
      <c r="F620" s="18"/>
      <c r="G620" s="18">
        <v>2</v>
      </c>
      <c r="I620" s="18">
        <v>2</v>
      </c>
      <c r="J620" s="18"/>
      <c r="K620" s="18"/>
      <c r="L620" s="18"/>
      <c r="M620" s="18"/>
      <c r="N620" s="18"/>
      <c r="O620" s="18">
        <v>2</v>
      </c>
    </row>
    <row r="621">
      <c r="A621" s="18">
        <v>3</v>
      </c>
      <c r="B621" s="18"/>
      <c r="C621" s="18"/>
      <c r="D621" s="18"/>
      <c r="E621" s="18"/>
      <c r="F621" s="18"/>
      <c r="G621" s="18">
        <v>3</v>
      </c>
      <c r="I621" s="18">
        <v>3</v>
      </c>
      <c r="J621" s="18"/>
      <c r="K621" s="18"/>
      <c r="L621" s="18"/>
      <c r="M621" s="18"/>
      <c r="N621" s="18"/>
      <c r="O621" s="18">
        <v>3</v>
      </c>
    </row>
    <row r="622">
      <c r="A622" s="18">
        <v>4</v>
      </c>
      <c r="B622" s="18"/>
      <c r="C622" s="18"/>
      <c r="D622" s="18"/>
      <c r="E622" s="18"/>
      <c r="F622" s="18"/>
      <c r="G622" s="18">
        <v>4</v>
      </c>
      <c r="I622" s="18">
        <v>4</v>
      </c>
      <c r="J622" s="18"/>
      <c r="K622" s="18"/>
      <c r="L622" s="18"/>
      <c r="M622" s="18"/>
      <c r="N622" s="18"/>
      <c r="O622" s="18">
        <v>4</v>
      </c>
    </row>
    <row r="623">
      <c r="A623" s="18">
        <v>5</v>
      </c>
      <c r="B623" s="18"/>
      <c r="C623" s="18"/>
      <c r="D623" s="18"/>
      <c r="E623" s="18"/>
      <c r="F623" s="18"/>
      <c r="G623" s="18">
        <v>5</v>
      </c>
      <c r="I623" s="18">
        <v>5</v>
      </c>
      <c r="J623" s="18"/>
      <c r="K623" s="18"/>
      <c r="L623" s="18"/>
      <c r="M623" s="18"/>
      <c r="N623" s="18"/>
      <c r="O623" s="18">
        <v>5</v>
      </c>
    </row>
    <row r="626">
      <c r="A626" s="13"/>
      <c r="B626" s="13" t="s">
        <v>241</v>
      </c>
      <c r="C626" s="13" t="s">
        <v>242</v>
      </c>
      <c r="D626" s="13" t="s">
        <v>243</v>
      </c>
      <c r="I626" s="13"/>
      <c r="J626" s="13" t="s">
        <v>241</v>
      </c>
      <c r="K626" s="13" t="s">
        <v>242</v>
      </c>
      <c r="L626" s="13" t="s">
        <v>243</v>
      </c>
    </row>
    <row r="627">
      <c r="A627" t="str">
        <f>data!$B$46</f>
      </c>
      <c r="B627" s="14" t="str">
        <f>IF(OR(COUNTA(B603:C607,E603:F607)&gt;0,OR(D602="X",D602="x")),IF(OR(D602="X",D602="x"),0,IF(OR(F602&gt;B602,AND(F602=B602,E602&gt;C602)),1,0)),0)+IF(OR(COUNTA(B611:C615,E611:F615)&gt;0,OR(D610="X",D610="x")),IF(OR(D610="X",D610="x"),0,IF(OR(F610&gt;B610,AND(F610=B610,E610&gt;C610)),1,0)),0)</f>
      </c>
      <c r="C627" s="14" t="str">
        <f>IF(OR(COUNTA(B603:C607,E603:F607)&gt;0,OR(D602="X",D602="x")),IF(OR(D602="X",D602="x"),0,IF(OR(F602&lt;B602,AND(F602=B602,E602&lt;C602)),1,0)),0)+IF(OR(COUNTA(B611:C615,E611:F615)&gt;0,OR(D610="X",D610="x")),IF(OR(D610="X",D610="x"),0,IF(OR(F610&lt;B610,AND(F610=B610,E610&lt;C610)),1,0)),0)</f>
      </c>
      <c r="D627" s="14" t="str">
        <f>IF(OR(COUNTA(B603:C607,E603:F607)&gt;0,OR(D602="X",D602="x")),IF(OR(D602="X",D602="x"),1,0),0)+IF(OR(COUNTA(B611:C615,E611:F615)&gt;0,OR(D610="X",D610="x")),IF(OR(D610="X",D610="x"),1,0),0)</f>
      </c>
      <c r="I627" t="str">
        <f>data!$B$91</f>
      </c>
      <c r="J627" s="14" t="str">
        <f>IF(OR(COUNTA(J603:K607,M603:N607)&gt;0,OR(L602="X",L602="x")),IF(OR(L602="X",L602="x"),0,IF(OR(N602&gt;J602,AND(N602=J602,M602&gt;K602)),1,0)),0)+IF(OR(COUNTA(J611:K615,M611:N615)&gt;0,OR(L610="X",L610="x")),IF(OR(L610="X",L610="x"),0,IF(OR(N610&gt;J610,AND(N610=J610,M610&gt;K610)),1,0)),0)</f>
      </c>
      <c r="K627" s="14" t="str">
        <f>IF(OR(COUNTA(J603:K607,M603:N607)&gt;0,OR(L602="X",L602="x")),IF(OR(L602="X",L602="x"),0,IF(OR(N602&lt;J602,AND(N602=J602,M602&lt;K602)),1,0)),0)+IF(OR(COUNTA(J611:K615,M611:N615)&gt;0,OR(L610="X",L610="x")),IF(OR(L610="X",L610="x"),0,IF(OR(N610&lt;J610,AND(N610=J610,M610&lt;K610)),1,0)),0)</f>
      </c>
      <c r="L627" s="14" t="str">
        <f>IF(OR(COUNTA(J603:K607,M603:N607)&gt;0,OR(L602="X",L602="x")),IF(OR(L602="X",L602="x"),1,0),0)+IF(OR(COUNTA(J611:K615,M611:N615)&gt;0,OR(L610="X",L610="x")),IF(OR(L610="X",L610="x"),1,0),0)</f>
      </c>
    </row>
    <row r="628">
      <c r="A628" t="str">
        <f>data!$B$47</f>
      </c>
      <c r="B628" s="14" t="str">
        <f>IF(OR(COUNTA(B603:C607,E603:F607)&gt;0,OR(D602="X",D602="x")),IF(OR(D602="X",D602="x"),0,IF(OR(B602&gt;F602,AND(B602=F602,C602&gt;E602)),1,0)),0)+IF(OR(COUNTA(B619:C623,E619:F623)&gt;0,OR(D618="X",D618="x")),IF(OR(D618="X",D618="x"),0,IF(OR(F618&gt;B618,AND(F618=B618,E618&gt;C618)),1,0)),0)</f>
      </c>
      <c r="C628" s="14" t="str">
        <f>IF(OR(COUNTA(B603:C607,E603:F607)&gt;0,OR(D602="X",D602="x")),IF(OR(D602="X",D602="x"),0,IF(OR(B602&lt;F602,AND(B602=F602,C602&lt;E602)),1,0)),0)+IF(OR(COUNTA(B619:C623,E619:F623)&gt;0,OR(D618="X",D618="x")),IF(OR(D618="X",D618="x"),0,IF(OR(F618&lt;B618,AND(F618=B618,E618&lt;C618)),1,0)),0)</f>
      </c>
      <c r="D628" s="14" t="str">
        <f>IF(OR(COUNTA(B603:C607,E603:F607)&gt;0,OR(D602="X",D602="x")),IF(OR(D602="X",D602="x"),1,0),0)+IF(OR(COUNTA(B619:C623,E619:F623)&gt;0,OR(D618="X",D618="x")),IF(OR(D618="X",D618="x"),1,0),0)</f>
      </c>
      <c r="I628" t="str">
        <f>data!$B$92</f>
      </c>
      <c r="J628" s="14" t="str">
        <f>IF(OR(COUNTA(J603:K607,M603:N607)&gt;0,OR(L602="X",L602="x")),IF(OR(L602="X",L602="x"),0,IF(OR(J602&gt;N602,AND(J602=N602,K602&gt;M602)),1,0)),0)+IF(OR(COUNTA(J619:K623,M619:N623)&gt;0,OR(L618="X",L618="x")),IF(OR(L618="X",L618="x"),0,IF(OR(N618&gt;J618,AND(N618=J618,M618&gt;K618)),1,0)),0)</f>
      </c>
      <c r="K628" s="14" t="str">
        <f>IF(OR(COUNTA(J603:K607,M603:N607)&gt;0,OR(L602="X",L602="x")),IF(OR(L602="X",L602="x"),0,IF(OR(J602&lt;N602,AND(J602=N602,K602&lt;M602)),1,0)),0)+IF(OR(COUNTA(J619:K623,M619:N623)&gt;0,OR(L618="X",L618="x")),IF(OR(L618="X",L618="x"),0,IF(OR(N618&lt;J618,AND(N618=J618,M618&lt;K618)),1,0)),0)</f>
      </c>
      <c r="L628" s="14" t="str">
        <f>IF(OR(COUNTA(J603:K607,M603:N607)&gt;0,OR(L602="X",L602="x")),IF(OR(L602="X",L602="x"),1,0),0)+IF(OR(COUNTA(J619:K623,M619:N623)&gt;0,OR(L618="X",L618="x")),IF(OR(L618="X",L618="x"),1,0),0)</f>
      </c>
    </row>
    <row r="629">
      <c r="A629" t="str">
        <f>data!$B$48</f>
      </c>
      <c r="B629" s="14" t="str">
        <f>IF(OR(COUNTA(B611:C615,E611:F615)&gt;0,OR(D610="X",D610="x")),IF(OR(D610="X",D610="x"),0,IF(OR(B610&gt;F610,AND(B610=F610,C610&gt;E610)),1,0)),0)+IF(OR(COUNTA(B619:C623,E619:F623)&gt;0,OR(D618="X",D618="x")),IF(OR(D618="X",D618="x"),0,IF(OR(B618&gt;F618,AND(B618=F618,C618&gt;E618)),1,0)),0)</f>
      </c>
      <c r="C629" s="14" t="str">
        <f>IF(OR(COUNTA(B611:C615,E611:F615)&gt;0,OR(D610="X",D610="x")),IF(OR(D610="X",D610="x"),0,IF(OR(B610&lt;F610,AND(B610=F610,C610&lt;E610)),1,0)),0)+IF(OR(COUNTA(B619:C623,E619:F623)&gt;0,OR(D618="X",D618="x")),IF(OR(D618="X",D618="x"),0,IF(OR(B618&lt;F618,AND(B618=F618,C618&lt;E618)),1,0)),0)</f>
      </c>
      <c r="D629" s="14" t="str">
        <f>IF(OR(COUNTA(B611:C615,E611:F615)&gt;0,OR(D610="X",D610="x")),IF(OR(D610="X",D610="x"),1,0),0)+IF(OR(COUNTA(B619:C623,E619:F623)&gt;0,OR(D618="X",D618="x")),IF(OR(D618="X",D618="x"),1,0),0)</f>
      </c>
      <c r="I629" t="str">
        <f>data!$B$93</f>
      </c>
      <c r="J629" s="14" t="str">
        <f>IF(OR(COUNTA(J611:K615,M611:N615)&gt;0,OR(L610="X",L610="x")),IF(OR(L610="X",L610="x"),0,IF(OR(J610&gt;N610,AND(J610=N610,K610&gt;M610)),1,0)),0)+IF(OR(COUNTA(J619:K623,M619:N623)&gt;0,OR(L618="X",L618="x")),IF(OR(L618="X",L618="x"),0,IF(OR(J618&gt;N618,AND(J618=N618,K618&gt;M618)),1,0)),0)</f>
      </c>
      <c r="K629" s="14" t="str">
        <f>IF(OR(COUNTA(J611:K615,M611:N615)&gt;0,OR(L610="X",L610="x")),IF(OR(L610="X",L610="x"),0,IF(OR(J610&lt;N610,AND(J610=N610,K610&lt;M610)),1,0)),0)+IF(OR(COUNTA(J619:K623,M619:N623)&gt;0,OR(L618="X",L618="x")),IF(OR(L618="X",L618="x"),0,IF(OR(J618&lt;N618,AND(J618=N618,K618&lt;M618)),1,0)),0)</f>
      </c>
      <c r="L629" s="14" t="str">
        <f>IF(OR(COUNTA(J611:K615,M611:N615)&gt;0,OR(L610="X",L610="x")),IF(OR(L610="X",L610="x"),1,0),0)+IF(OR(COUNTA(J619:K623,M619:N623)&gt;0,OR(L618="X",L618="x")),IF(OR(L618="X",L618="x"),1,0),0)</f>
      </c>
    </row>
    <row r="631">
      <c r="A631" s="13"/>
      <c r="B631" s="13" t="s">
        <v>244</v>
      </c>
      <c r="C631" s="13" t="s">
        <v>245</v>
      </c>
      <c r="D631" s="13" t="s">
        <v>246</v>
      </c>
      <c r="E631" s="13" t="s">
        <v>247</v>
      </c>
      <c r="F631" s="13" t="s">
        <v>248</v>
      </c>
      <c r="I631" s="13"/>
      <c r="J631" s="13" t="s">
        <v>244</v>
      </c>
      <c r="K631" s="13" t="s">
        <v>245</v>
      </c>
      <c r="L631" s="13" t="s">
        <v>246</v>
      </c>
      <c r="M631" s="13" t="s">
        <v>247</v>
      </c>
      <c r="N631" s="13" t="s">
        <v>248</v>
      </c>
    </row>
    <row r="632">
      <c r="A632" t="str">
        <f>data!$B$46</f>
      </c>
      <c r="B632" s="14" t="str">
        <f>IF(OR(COUNTA(B603:C607,E603:F607)&gt;0,OR(D602="X",D602="x")),F602,0)+IF(OR(COUNTA(B611:C615,E611:F615)&gt;0,OR(D610="X",D610="x")),F610,0)</f>
      </c>
      <c r="C632" s="14" t="str">
        <f>IF(OR(COUNTA(B603:C607,E603:F607)&gt;0,OR(D602="X",D602="x")),B602,0)+IF(OR(COUNTA(B611:C615,E611:F615)&gt;0,OR(D610="X",D610="x")),B610,0)</f>
      </c>
      <c r="D632" s="14" t="str">
        <f>IF(OR(COUNTA(B603:C607,E603:F607)&gt;0,OR(D602="X",D602="x")),(IF(OR(D603="X",D603="x"),1,0)+IF(OR(D604="X",D604="x"),1,0)+IF(OR(D605="X",D605="x"),1,0)+IF(OR(D606="X",D606="x"),1,0)+IF(OR(D607="X",D607="x"),1,0)),0)+IF(OR(COUNTA(B611:C615,E611:F615)&gt;0,OR(D610="X",D610="x")),(IF(OR(D611="X",D611="x"),1,0)+IF(OR(D612="X",D612="x"),1,0)+IF(OR(D613="X",D613="x"),1,0)+IF(OR(D614="X",D614="x"),1,0)+IF(OR(D615="X",D615="x"),1,0)),0)</f>
      </c>
      <c r="E632" s="14" t="str">
        <f>E602+E610</f>
      </c>
      <c r="F632" s="14" t="str">
        <f>C602+C610</f>
      </c>
      <c r="I632" t="str">
        <f>data!$B$91</f>
      </c>
      <c r="J632" s="14" t="str">
        <f>IF(OR(COUNTA(J603:K607,M603:N607)&gt;0,OR(L602="X",L602="x")),N602,0)+IF(OR(COUNTA(J611:K615,M611:N615)&gt;0,OR(L610="X",L610="x")),N610,0)</f>
      </c>
      <c r="K632" s="14" t="str">
        <f>IF(OR(COUNTA(J603:K607,M603:N607)&gt;0,OR(L602="X",L602="x")),J602,0)+IF(OR(COUNTA(J611:K615,M611:N615)&gt;0,OR(L610="X",L610="x")),J610,0)</f>
      </c>
      <c r="L632" s="14" t="str">
        <f>IF(OR(COUNTA(J603:K607,M603:N607)&gt;0,OR(L602="X",L602="x")),(IF(OR(L603="X",L603="x"),1,0)+IF(OR(L604="X",L604="x"),1,0)+IF(OR(L605="X",L605="x"),1,0)+IF(OR(L606="X",L606="x"),1,0)+IF(OR(L607="X",L607="x"),1,0)),0)+IF(OR(COUNTA(J611:K615,M611:N615)&gt;0,OR(L610="X",L610="x")),(IF(OR(L611="X",L611="x"),1,0)+IF(OR(L612="X",L612="x"),1,0)+IF(OR(L613="X",L613="x"),1,0)+IF(OR(L614="X",L614="x"),1,0)+IF(OR(L615="X",L615="x"),1,0)),0)</f>
      </c>
      <c r="M632" s="14" t="str">
        <f>M602+M610</f>
      </c>
      <c r="N632" s="14" t="str">
        <f>K602+K610</f>
      </c>
    </row>
    <row r="633">
      <c r="A633" t="str">
        <f>data!$B$47</f>
      </c>
      <c r="B633" s="14" t="str">
        <f>IF(OR(COUNTA(B603:C607,E603:F607)&gt;0,OR(D602="X",D602="x")),B602,0)+IF(OR(COUNTA(B619:C623,E619:F623)&gt;0,OR(D618="X",D618="x")),F618,0)</f>
      </c>
      <c r="C633" s="14" t="str">
        <f>IF(OR(COUNTA(B603:C607,E603:F607)&gt;0,OR(D602="X",D602="x")),F602,0)+IF(OR(COUNTA(B619:C623,E619:F623)&gt;0,OR(D618="X",D618="x")),B618,0)</f>
      </c>
      <c r="D633" s="14" t="str">
        <f>IF(OR(COUNTA(B603:C607,E603:F607)&gt;0,OR(D602="X",D602="x")),(IF(OR(D603="X",D603="x"),1,0)+IF(OR(D604="X",D604="x"),1,0)+IF(OR(D605="X",D605="x"),1,0)+IF(OR(D606="X",D606="x"),1,0)+IF(OR(D607="X",D607="x"),1,0)),0)+IF(OR(COUNTA(B619:C623,E619:F623)&gt;0,OR(D618="X",D618="x")),(IF(OR(D619="X",D619="x"),1,0)+IF(OR(D620="X",D620="x"),1,0)+IF(OR(D621="X",D621="x"),1,0)+IF(OR(D622="X",D622="x"),1,0)+IF(OR(D623="X",D623="x"),1,0)),0)</f>
      </c>
      <c r="E633" s="14" t="str">
        <f>C602+E618</f>
      </c>
      <c r="F633" s="14" t="str">
        <f>E602+C618</f>
      </c>
      <c r="I633" t="str">
        <f>data!$B$92</f>
      </c>
      <c r="J633" s="14" t="str">
        <f>IF(OR(COUNTA(J603:K607,M603:N607)&gt;0,OR(L602="X",L602="x")),J602,0)+IF(OR(COUNTA(J619:K623,M619:N623)&gt;0,OR(L618="X",L618="x")),N618,0)</f>
      </c>
      <c r="K633" s="14" t="str">
        <f>IF(OR(COUNTA(J603:K607,M603:N607)&gt;0,OR(L602="X",L602="x")),N602,0)+IF(OR(COUNTA(J619:K623,M619:N623)&gt;0,OR(L618="X",L618="x")),J618,0)</f>
      </c>
      <c r="L633" s="14" t="str">
        <f>IF(OR(COUNTA(J603:K607,M603:N607)&gt;0,OR(L602="X",L602="x")),(IF(OR(L603="X",L603="x"),1,0)+IF(OR(L604="X",L604="x"),1,0)+IF(OR(L605="X",L605="x"),1,0)+IF(OR(L606="X",L606="x"),1,0)+IF(OR(L607="X",L607="x"),1,0)),0)+IF(OR(COUNTA(J619:K623,M619:N623)&gt;0,OR(L618="X",L618="x")),(IF(OR(L619="X",L619="x"),1,0)+IF(OR(L620="X",L620="x"),1,0)+IF(OR(L621="X",L621="x"),1,0)+IF(OR(L622="X",L622="x"),1,0)+IF(OR(L623="X",L623="x"),1,0)),0)</f>
      </c>
      <c r="M633" s="14" t="str">
        <f>K602+M618</f>
      </c>
      <c r="N633" s="14" t="str">
        <f>M602+K618</f>
      </c>
    </row>
    <row r="634">
      <c r="A634" t="str">
        <f>data!$B$48</f>
      </c>
      <c r="B634" s="14" t="str">
        <f>IF(OR(COUNTA(B611:C615,E611:F615)&gt;0,OR(D610="X",D610="x")),B610,0)+IF(OR(COUNTA(B619:C623,E619:F623)&gt;0,OR(D618="X",D618="x")),B618,0)</f>
      </c>
      <c r="C634" s="14" t="str">
        <f>IF(OR(COUNTA(B611:C615,E611:F615)&gt;0,OR(D610="X",D610="x")),F610,0)+IF(OR(COUNTA(B619:C623,E619:F623)&gt;0,OR(D618="X",D618="x")),F618,0)</f>
      </c>
      <c r="D634" s="14" t="str">
        <f>IF(OR(COUNTA(B611:C615,E611:F615)&gt;0,OR(D610="X",D610="x")),(IF(OR(D611="X",D611="x"),1,0)+IF(OR(D612="X",D612="x"),1,0)+IF(OR(D613="X",D613="x"),1,0)+IF(OR(D614="X",D614="x"),1,0)+IF(OR(D615="X",D615="x"),1,0)),0)+IF(OR(COUNTA(B619:C623,E619:F623)&gt;0,OR(D618="X",D618="x")),(IF(OR(D619="X",D619="x"),1,0)+IF(OR(D620="X",D620="x"),1,0)+IF(OR(D621="X",D621="x"),1,0)+IF(OR(D622="X",D622="x"),1,0)+IF(OR(D623="X",D623="x"),1,0)),0)</f>
      </c>
      <c r="E634" s="14" t="str">
        <f>C610+C618</f>
      </c>
      <c r="F634" s="14" t="str">
        <f>E610+E618</f>
      </c>
      <c r="I634" t="str">
        <f>data!$B$93</f>
      </c>
      <c r="J634" s="14" t="str">
        <f>IF(OR(COUNTA(J611:K615,M611:N615)&gt;0,OR(L610="X",L610="x")),J610,0)+IF(OR(COUNTA(J619:K623,M619:N623)&gt;0,OR(L618="X",L618="x")),J618,0)</f>
      </c>
      <c r="K634" s="14" t="str">
        <f>IF(OR(COUNTA(J611:K615,M611:N615)&gt;0,OR(L610="X",L610="x")),N610,0)+IF(OR(COUNTA(J619:K623,M619:N623)&gt;0,OR(L618="X",L618="x")),N618,0)</f>
      </c>
      <c r="L634" s="14" t="str">
        <f>IF(OR(COUNTA(J611:K615,M611:N615)&gt;0,OR(L610="X",L610="x")),(IF(OR(L611="X",L611="x"),1,0)+IF(OR(L612="X",L612="x"),1,0)+IF(OR(L613="X",L613="x"),1,0)+IF(OR(L614="X",L614="x"),1,0)+IF(OR(L615="X",L615="x"),1,0)),0)+IF(OR(COUNTA(J619:K623,M619:N623)&gt;0,OR(L618="X",L618="x")),(IF(OR(L619="X",L619="x"),1,0)+IF(OR(L620="X",L620="x"),1,0)+IF(OR(L621="X",L621="x"),1,0)+IF(OR(L622="X",L622="x"),1,0)+IF(OR(L623="X",L623="x"),1,0)),0)</f>
      </c>
      <c r="M634" s="14" t="str">
        <f>K610+K618</f>
      </c>
      <c r="N634" s="14" t="str">
        <f>M610+M618</f>
      </c>
    </row>
    <row r="637">
      <c r="F637" s="13"/>
      <c r="G637" s="13" t="s">
        <v>249</v>
      </c>
      <c r="N637" s="13"/>
      <c r="O637" s="13" t="s">
        <v>249</v>
      </c>
    </row>
    <row r="638">
      <c r="F638" t="s">
        <v>250</v>
      </c>
      <c r="G638" s="19"/>
      <c r="N638" t="s">
        <v>250</v>
      </c>
      <c r="O638" s="19"/>
    </row>
    <row r="639">
      <c r="F639" t="s">
        <v>251</v>
      </c>
      <c r="G639" s="19"/>
      <c r="N639" t="s">
        <v>251</v>
      </c>
      <c r="O639" s="19"/>
    </row>
    <row r="640">
      <c r="F640" t="s">
        <v>252</v>
      </c>
      <c r="G640" s="19"/>
      <c r="N640" t="s">
        <v>252</v>
      </c>
      <c r="O640"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4:G54"/>
    <mergeCell ref="I54:O54"/>
    <mergeCell ref="A96:G96"/>
    <mergeCell ref="I96:O96"/>
    <mergeCell ref="A138:G138"/>
    <mergeCell ref="I138:O138"/>
    <mergeCell ref="A180:G180"/>
    <mergeCell ref="I180:O180"/>
    <mergeCell ref="A222:G222"/>
    <mergeCell ref="I222:O222"/>
    <mergeCell ref="A264:G264"/>
    <mergeCell ref="I264:O264"/>
    <mergeCell ref="A306:G306"/>
    <mergeCell ref="I306:O306"/>
    <mergeCell ref="A348:G348"/>
    <mergeCell ref="I348:O348"/>
    <mergeCell ref="A390:G390"/>
    <mergeCell ref="I390:O390"/>
    <mergeCell ref="A432:G432"/>
    <mergeCell ref="I432:O432"/>
    <mergeCell ref="A474:G474"/>
    <mergeCell ref="I474:O474"/>
    <mergeCell ref="A516:G516"/>
    <mergeCell ref="I516:O516"/>
    <mergeCell ref="A558:G558"/>
    <mergeCell ref="I558:O558"/>
    <mergeCell ref="A600:G600"/>
    <mergeCell ref="I600:O600"/>
  </mergeCells>
  <printOptions horizontalCentered="true" verticalCentered="true"/>
  <pageSetup fitToHeight="0" fitToWidth="2" orientation="portrait" pageOrder="downThenOver" paperSize="9"/>
  <rowBreaks count="16" manualBreakCount="16">
    <brk id="1" max="16383" man="true"/>
    <brk id="30" max="16383" man="true"/>
    <brk id="53" max="16383" man="true"/>
    <brk id="95" max="16383" man="true"/>
    <brk id="137" max="16383" man="true"/>
    <brk id="179" max="16383" man="true"/>
    <brk id="221" max="16383" man="true"/>
    <brk id="263" max="16383" man="true"/>
    <brk id="305" max="16383" man="true"/>
    <brk id="347" max="16383" man="true"/>
    <brk id="389" max="16383" man="true"/>
    <brk id="431" max="16383" man="true"/>
    <brk id="473" max="16383" man="true"/>
    <brk id="515" max="16383" man="true"/>
    <brk id="557" max="16383" man="true"/>
    <brk id="59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3" t="s">
        <v>236</v>
      </c>
      <c r="B1" s="13"/>
      <c r="C1" s="13"/>
      <c r="D1" s="13"/>
      <c r="E1" s="13"/>
      <c r="F1" s="13"/>
      <c r="G1" s="13"/>
      <c r="I1" s="13" t="s">
        <v>237</v>
      </c>
      <c r="J1" s="13"/>
      <c r="K1" s="13"/>
      <c r="L1" s="13"/>
      <c r="M1" s="13"/>
      <c r="N1" s="13"/>
      <c r="O1" s="13"/>
    </row>
    <row r="2">
      <c r="A2" s="13" t="s">
        <v>345</v>
      </c>
      <c r="B2" s="13"/>
      <c r="C2" s="13"/>
      <c r="D2" s="13"/>
      <c r="E2" s="13"/>
      <c r="F2" s="13"/>
      <c r="G2" s="13"/>
      <c r="M2" s="13" t="s">
        <v>349</v>
      </c>
      <c r="N2" s="13"/>
      <c r="O2" s="13"/>
      <c r="P2" s="13"/>
      <c r="Q2" s="13"/>
      <c r="R2" s="13"/>
      <c r="S2" s="13"/>
    </row>
    <row r="3">
      <c r="A3" s="17" t="s">
        <v>238</v>
      </c>
      <c r="D3" s="14" t="s">
        <v>239</v>
      </c>
      <c r="G3" s="16" t="s">
        <v>240</v>
      </c>
      <c r="M3" s="17" t="s">
        <v>238</v>
      </c>
      <c r="P3" s="14" t="s">
        <v>239</v>
      </c>
      <c r="S3" s="16" t="s">
        <v>240</v>
      </c>
    </row>
    <row r="4">
      <c r="A4" s="14" t="str">
        <f>CONCATENATE("Pool B-2nd ",'Pool Matches'!G93)</f>
      </c>
      <c r="B4" s="18"/>
      <c r="C4" s="18"/>
      <c r="D4" s="18"/>
      <c r="E4" s="18"/>
      <c r="F4" s="18"/>
      <c r="G4" s="14" t="str">
        <f>CONCATENATE("Pool C-1st ",'Pool Matches'!G134)</f>
      </c>
      <c r="M4" s="14" t="str">
        <f>CONCATENATE("Pool C-2nd ",'Pool Matches'!G135)</f>
      </c>
      <c r="N4" s="18"/>
      <c r="O4" s="18"/>
      <c r="P4" s="18"/>
      <c r="Q4" s="18"/>
      <c r="R4" s="18"/>
      <c r="S4" s="14" t="str">
        <f>CONCATENATE("Pool A-2nd ",'Pool Matches'!G51)</f>
      </c>
    </row>
    <row r="5">
      <c r="A5" s="14">
        <v>1</v>
      </c>
      <c r="B5" s="18"/>
      <c r="C5" s="18"/>
      <c r="D5" s="18"/>
      <c r="E5" s="18"/>
      <c r="F5" s="18"/>
      <c r="G5" s="14">
        <v>1</v>
      </c>
      <c r="M5" s="14">
        <v>1</v>
      </c>
      <c r="N5" s="18"/>
      <c r="O5" s="18"/>
      <c r="P5" s="18"/>
      <c r="Q5" s="18"/>
      <c r="R5" s="18"/>
      <c r="S5" s="14">
        <v>1</v>
      </c>
    </row>
    <row r="6">
      <c r="A6" s="14">
        <v>2</v>
      </c>
      <c r="B6" s="18"/>
      <c r="C6" s="18"/>
      <c r="D6" s="18"/>
      <c r="E6" s="18"/>
      <c r="F6" s="18"/>
      <c r="G6" s="14">
        <v>2</v>
      </c>
      <c r="M6" s="14">
        <v>2</v>
      </c>
      <c r="N6" s="18"/>
      <c r="O6" s="18"/>
      <c r="P6" s="18"/>
      <c r="Q6" s="18"/>
      <c r="R6" s="18"/>
      <c r="S6" s="14">
        <v>2</v>
      </c>
    </row>
    <row r="7">
      <c r="A7" s="14">
        <v>3</v>
      </c>
      <c r="B7" s="18"/>
      <c r="C7" s="18"/>
      <c r="D7" s="18"/>
      <c r="E7" s="18"/>
      <c r="F7" s="18"/>
      <c r="G7" s="14">
        <v>3</v>
      </c>
      <c r="M7" s="14">
        <v>3</v>
      </c>
      <c r="N7" s="18"/>
      <c r="O7" s="18"/>
      <c r="P7" s="18"/>
      <c r="Q7" s="18"/>
      <c r="R7" s="18"/>
      <c r="S7" s="14">
        <v>3</v>
      </c>
    </row>
    <row r="8">
      <c r="A8" s="14">
        <v>4</v>
      </c>
      <c r="B8" s="18"/>
      <c r="C8" s="18"/>
      <c r="D8" s="18"/>
      <c r="E8" s="18"/>
      <c r="F8" s="18"/>
      <c r="G8" s="14">
        <v>4</v>
      </c>
      <c r="M8" s="14">
        <v>4</v>
      </c>
      <c r="N8" s="18"/>
      <c r="O8" s="18"/>
      <c r="P8" s="18"/>
      <c r="Q8" s="18"/>
      <c r="R8" s="18"/>
      <c r="S8" s="14">
        <v>4</v>
      </c>
    </row>
    <row r="9">
      <c r="A9" s="14">
        <v>5</v>
      </c>
      <c r="B9" s="18"/>
      <c r="C9" s="18"/>
      <c r="D9" s="18"/>
      <c r="E9" s="18"/>
      <c r="F9" s="18"/>
      <c r="G9" s="14">
        <v>5</v>
      </c>
      <c r="M9" s="14">
        <v>5</v>
      </c>
      <c r="N9" s="18"/>
      <c r="O9" s="18"/>
      <c r="P9" s="18"/>
      <c r="Q9" s="18"/>
      <c r="R9" s="18"/>
      <c r="S9" s="14">
        <v>5</v>
      </c>
    </row>
    <row r="11">
      <c r="A11" s="14" t="str">
        <f>CONCATENATE("Pool B-2nd ",'Pool Matches'!G93)</f>
      </c>
      <c r="B11" s="18" t="str">
        <f>SUMPRODUCT((UPPER(D5:D9)&lt;&gt;"X")*((LEN(SUBSTITUTE(SUBSTITUTE(SUBSTITUTE(B5:B9," ",""),"0",""),"-",""))+LEN(SUBSTITUTE(SUBSTITUTE(SUBSTITUTE(C5:C9," ",""),"0",""),"-","")))&gt;(LEN(SUBSTITUTE(SUBSTITUTE(SUBSTITUTE(E5:E9," ",""),"0",""),"-",""))+LEN(SUBSTITUTE(SUBSTITUTE(SUBSTITUTE(F5:F9," ",""),"0",""),"-",""))))*1)</f>
      </c>
      <c r="C11" s="18" t="str">
        <f>SUMPRODUCT(LEN(SUBSTITUTE(SUBSTITUTE(SUBSTITUTE(B5:B9," ",""),"0",""),"-",""))+LEN(SUBSTITUTE(SUBSTITUTE(SUBSTITUTE(C5:C9," ",""),"0",""),"-","")))</f>
      </c>
      <c r="D11" s="14"/>
      <c r="E11" s="18" t="str">
        <f>SUMPRODUCT(LEN(SUBSTITUTE(SUBSTITUTE(SUBSTITUTE(E5:E9," ",""),"0",""),"-",""))+LEN(SUBSTITUTE(SUBSTITUTE(SUBSTITUTE(F5:F9," ",""),"0",""),"-","")))</f>
      </c>
      <c r="F11" s="18" t="str">
        <f>SUMPRODUCT((UPPER(D5:D9)&lt;&gt;"X")*((LEN(SUBSTITUTE(SUBSTITUTE(SUBSTITUTE(E5:E9," ",""),"0",""),"-",""))+LEN(SUBSTITUTE(SUBSTITUTE(SUBSTITUTE(F5:F9," ",""),"0",""),"-","")))&gt;(LEN(SUBSTITUTE(SUBSTITUTE(SUBSTITUTE(B5:B9," ",""),"0",""),"-",""))+LEN(SUBSTITUTE(SUBSTITUTE(SUBSTITUTE(C5:C9," ",""),"0",""),"-",""))))*1)</f>
      </c>
      <c r="G11" s="14" t="str">
        <f>CONCATENATE("Pool C-1st ",'Pool Matches'!G134)</f>
      </c>
      <c r="M11" s="14" t="str">
        <f>CONCATENATE("Pool C-2nd ",'Pool Matches'!G135)</f>
      </c>
      <c r="N11" s="18" t="str">
        <f>SUMPRODUCT((UPPER(P5:P9)&lt;&gt;"X")*((LEN(SUBSTITUTE(SUBSTITUTE(SUBSTITUTE(N5:N9," ",""),"0",""),"-",""))+LEN(SUBSTITUTE(SUBSTITUTE(SUBSTITUTE(O5:O9," ",""),"0",""),"-","")))&gt;(LEN(SUBSTITUTE(SUBSTITUTE(SUBSTITUTE(Q5:Q9," ",""),"0",""),"-",""))+LEN(SUBSTITUTE(SUBSTITUTE(SUBSTITUTE(R5:R9," ",""),"0",""),"-",""))))*1)</f>
      </c>
      <c r="O11" s="18" t="str">
        <f>SUMPRODUCT(LEN(SUBSTITUTE(SUBSTITUTE(SUBSTITUTE(N5:N9," ",""),"0",""),"-",""))+LEN(SUBSTITUTE(SUBSTITUTE(SUBSTITUTE(O5:O9," ",""),"0",""),"-","")))</f>
      </c>
      <c r="P11" s="14"/>
      <c r="Q11" s="18" t="str">
        <f>SUMPRODUCT(LEN(SUBSTITUTE(SUBSTITUTE(SUBSTITUTE(Q5:Q9," ",""),"0",""),"-",""))+LEN(SUBSTITUTE(SUBSTITUTE(SUBSTITUTE(R5:R9," ",""),"0",""),"-","")))</f>
      </c>
      <c r="R11" s="18" t="str">
        <f>SUMPRODUCT((UPPER(P5:P9)&lt;&gt;"X")*((LEN(SUBSTITUTE(SUBSTITUTE(SUBSTITUTE(Q5:Q9," ",""),"0",""),"-",""))+LEN(SUBSTITUTE(SUBSTITUTE(SUBSTITUTE(R5:R9," ",""),"0",""),"-","")))&gt;(LEN(SUBSTITUTE(SUBSTITUTE(SUBSTITUTE(N5:N9," ",""),"0",""),"-",""))+LEN(SUBSTITUTE(SUBSTITUTE(SUBSTITUTE(O5:O9," ",""),"0",""),"-",""))))*1)</f>
      </c>
      <c r="S11" s="14" t="str">
        <f>CONCATENATE("Pool A-2nd ",'Pool Matches'!G51)</f>
      </c>
    </row>
    <row r="12">
      <c r="A12" s="14" t="s">
        <v>346</v>
      </c>
      <c r="B12" s="14"/>
      <c r="C12" s="14"/>
      <c r="D12" s="14"/>
      <c r="E12" s="14"/>
      <c r="F12" s="14"/>
      <c r="G12" s="14" t="s">
        <v>346</v>
      </c>
      <c r="M12" s="14" t="s">
        <v>346</v>
      </c>
      <c r="N12" s="14"/>
      <c r="O12" s="14"/>
      <c r="P12" s="14"/>
      <c r="Q12" s="14"/>
      <c r="R12" s="14"/>
      <c r="S12" s="14" t="s">
        <v>346</v>
      </c>
    </row>
    <row r="15">
      <c r="F15" t="s">
        <v>347</v>
      </c>
      <c r="G15" s="19"/>
      <c r="R15" t="s">
        <v>347</v>
      </c>
      <c r="S15" s="19"/>
    </row>
    <row r="16">
      <c r="F16" t="s">
        <v>348</v>
      </c>
      <c r="G16" s="19"/>
      <c r="R16" t="s">
        <v>348</v>
      </c>
      <c r="S16" s="19"/>
    </row>
    <row r="18">
      <c r="A18" s="13" t="s">
        <v>350</v>
      </c>
      <c r="B18" s="13"/>
      <c r="C18" s="13"/>
      <c r="D18" s="13"/>
      <c r="E18" s="13"/>
      <c r="F18" s="13"/>
      <c r="G18" s="13"/>
      <c r="M18" s="13" t="s">
        <v>351</v>
      </c>
      <c r="N18" s="13"/>
      <c r="O18" s="13"/>
      <c r="P18" s="13"/>
      <c r="Q18" s="13"/>
      <c r="R18" s="13"/>
      <c r="S18" s="13"/>
    </row>
    <row r="19">
      <c r="A19" s="17" t="s">
        <v>238</v>
      </c>
      <c r="D19" s="14" t="s">
        <v>239</v>
      </c>
      <c r="G19" s="16" t="s">
        <v>240</v>
      </c>
      <c r="M19" s="17" t="s">
        <v>238</v>
      </c>
      <c r="P19" s="14" t="s">
        <v>239</v>
      </c>
      <c r="S19" s="16" t="s">
        <v>240</v>
      </c>
    </row>
    <row r="20">
      <c r="A20" s="14" t="str">
        <f>CONCATENATE("Pool D-2nd ",'Pool Matches'!G177)</f>
      </c>
      <c r="B20" s="18"/>
      <c r="C20" s="18"/>
      <c r="D20" s="18"/>
      <c r="E20" s="18"/>
      <c r="F20" s="18"/>
      <c r="G20" s="14" t="str">
        <f>CONCATENATE("Pool E-1st ",'Pool Matches'!G218)</f>
      </c>
      <c r="M20" s="14" t="str">
        <f>CONCATENATE("Pool E-2nd ",'Pool Matches'!G219)</f>
      </c>
      <c r="N20" s="18"/>
      <c r="O20" s="18"/>
      <c r="P20" s="18"/>
      <c r="Q20" s="18"/>
      <c r="R20" s="18"/>
      <c r="S20" s="14" t="str">
        <f>CONCATENATE("Pool D-1st ",'Pool Matches'!G176)</f>
      </c>
    </row>
    <row r="21">
      <c r="A21" s="14">
        <v>1</v>
      </c>
      <c r="B21" s="18"/>
      <c r="C21" s="18"/>
      <c r="D21" s="18"/>
      <c r="E21" s="18"/>
      <c r="F21" s="18"/>
      <c r="G21" s="14">
        <v>1</v>
      </c>
      <c r="M21" s="14">
        <v>1</v>
      </c>
      <c r="N21" s="18"/>
      <c r="O21" s="18"/>
      <c r="P21" s="18"/>
      <c r="Q21" s="18"/>
      <c r="R21" s="18"/>
      <c r="S21" s="14">
        <v>1</v>
      </c>
    </row>
    <row r="22">
      <c r="A22" s="14">
        <v>2</v>
      </c>
      <c r="B22" s="18"/>
      <c r="C22" s="18"/>
      <c r="D22" s="18"/>
      <c r="E22" s="18"/>
      <c r="F22" s="18"/>
      <c r="G22" s="14">
        <v>2</v>
      </c>
      <c r="M22" s="14">
        <v>2</v>
      </c>
      <c r="N22" s="18"/>
      <c r="O22" s="18"/>
      <c r="P22" s="18"/>
      <c r="Q22" s="18"/>
      <c r="R22" s="18"/>
      <c r="S22" s="14">
        <v>2</v>
      </c>
    </row>
    <row r="23">
      <c r="A23" s="14">
        <v>3</v>
      </c>
      <c r="B23" s="18"/>
      <c r="C23" s="18"/>
      <c r="D23" s="18"/>
      <c r="E23" s="18"/>
      <c r="F23" s="18"/>
      <c r="G23" s="14">
        <v>3</v>
      </c>
      <c r="M23" s="14">
        <v>3</v>
      </c>
      <c r="N23" s="18"/>
      <c r="O23" s="18"/>
      <c r="P23" s="18"/>
      <c r="Q23" s="18"/>
      <c r="R23" s="18"/>
      <c r="S23" s="14">
        <v>3</v>
      </c>
    </row>
    <row r="24">
      <c r="A24" s="14">
        <v>4</v>
      </c>
      <c r="B24" s="18"/>
      <c r="C24" s="18"/>
      <c r="D24" s="18"/>
      <c r="E24" s="18"/>
      <c r="F24" s="18"/>
      <c r="G24" s="14">
        <v>4</v>
      </c>
      <c r="M24" s="14">
        <v>4</v>
      </c>
      <c r="N24" s="18"/>
      <c r="O24" s="18"/>
      <c r="P24" s="18"/>
      <c r="Q24" s="18"/>
      <c r="R24" s="18"/>
      <c r="S24" s="14">
        <v>4</v>
      </c>
    </row>
    <row r="25">
      <c r="A25" s="14">
        <v>5</v>
      </c>
      <c r="B25" s="18"/>
      <c r="C25" s="18"/>
      <c r="D25" s="18"/>
      <c r="E25" s="18"/>
      <c r="F25" s="18"/>
      <c r="G25" s="14">
        <v>5</v>
      </c>
      <c r="M25" s="14">
        <v>5</v>
      </c>
      <c r="N25" s="18"/>
      <c r="O25" s="18"/>
      <c r="P25" s="18"/>
      <c r="Q25" s="18"/>
      <c r="R25" s="18"/>
      <c r="S25" s="14">
        <v>5</v>
      </c>
    </row>
    <row r="27">
      <c r="A27" s="14" t="str">
        <f>CONCATENATE("Pool D-2nd ",'Pool Matches'!G177)</f>
      </c>
      <c r="B27" s="18" t="str">
        <f>SUMPRODUCT((UPPER(D21:D25)&lt;&gt;"X")*((LEN(SUBSTITUTE(SUBSTITUTE(SUBSTITUTE(B21:B25," ",""),"0",""),"-",""))+LEN(SUBSTITUTE(SUBSTITUTE(SUBSTITUTE(C21:C25," ",""),"0",""),"-","")))&gt;(LEN(SUBSTITUTE(SUBSTITUTE(SUBSTITUTE(E21:E25," ",""),"0",""),"-",""))+LEN(SUBSTITUTE(SUBSTITUTE(SUBSTITUTE(F21:F25," ",""),"0",""),"-",""))))*1)</f>
      </c>
      <c r="C27" s="18" t="str">
        <f>SUMPRODUCT(LEN(SUBSTITUTE(SUBSTITUTE(SUBSTITUTE(B21:B25," ",""),"0",""),"-",""))+LEN(SUBSTITUTE(SUBSTITUTE(SUBSTITUTE(C21:C25," ",""),"0",""),"-","")))</f>
      </c>
      <c r="D27" s="14"/>
      <c r="E27" s="18" t="str">
        <f>SUMPRODUCT(LEN(SUBSTITUTE(SUBSTITUTE(SUBSTITUTE(E21:E25," ",""),"0",""),"-",""))+LEN(SUBSTITUTE(SUBSTITUTE(SUBSTITUTE(F21:F25," ",""),"0",""),"-","")))</f>
      </c>
      <c r="F27" s="18" t="str">
        <f>SUMPRODUCT((UPPER(D21:D25)&lt;&gt;"X")*((LEN(SUBSTITUTE(SUBSTITUTE(SUBSTITUTE(E21:E25," ",""),"0",""),"-",""))+LEN(SUBSTITUTE(SUBSTITUTE(SUBSTITUTE(F21:F25," ",""),"0",""),"-","")))&gt;(LEN(SUBSTITUTE(SUBSTITUTE(SUBSTITUTE(B21:B25," ",""),"0",""),"-",""))+LEN(SUBSTITUTE(SUBSTITUTE(SUBSTITUTE(C21:C25," ",""),"0",""),"-",""))))*1)</f>
      </c>
      <c r="G27" s="14" t="str">
        <f>CONCATENATE("Pool E-1st ",'Pool Matches'!G218)</f>
      </c>
      <c r="M27" s="14" t="str">
        <f>CONCATENATE("Pool E-2nd ",'Pool Matches'!G219)</f>
      </c>
      <c r="N27" s="18" t="str">
        <f>SUMPRODUCT((UPPER(P21:P25)&lt;&gt;"X")*((LEN(SUBSTITUTE(SUBSTITUTE(SUBSTITUTE(N21:N25," ",""),"0",""),"-",""))+LEN(SUBSTITUTE(SUBSTITUTE(SUBSTITUTE(O21:O25," ",""),"0",""),"-","")))&gt;(LEN(SUBSTITUTE(SUBSTITUTE(SUBSTITUTE(Q21:Q25," ",""),"0",""),"-",""))+LEN(SUBSTITUTE(SUBSTITUTE(SUBSTITUTE(R21:R25," ",""),"0",""),"-",""))))*1)</f>
      </c>
      <c r="O27" s="18" t="str">
        <f>SUMPRODUCT(LEN(SUBSTITUTE(SUBSTITUTE(SUBSTITUTE(N21:N25," ",""),"0",""),"-",""))+LEN(SUBSTITUTE(SUBSTITUTE(SUBSTITUTE(O21:O25," ",""),"0",""),"-","")))</f>
      </c>
      <c r="P27" s="14"/>
      <c r="Q27" s="18" t="str">
        <f>SUMPRODUCT(LEN(SUBSTITUTE(SUBSTITUTE(SUBSTITUTE(Q21:Q25," ",""),"0",""),"-",""))+LEN(SUBSTITUTE(SUBSTITUTE(SUBSTITUTE(R21:R25," ",""),"0",""),"-","")))</f>
      </c>
      <c r="R27" s="18" t="str">
        <f>SUMPRODUCT((UPPER(P21:P25)&lt;&gt;"X")*((LEN(SUBSTITUTE(SUBSTITUTE(SUBSTITUTE(Q21:Q25," ",""),"0",""),"-",""))+LEN(SUBSTITUTE(SUBSTITUTE(SUBSTITUTE(R21:R25," ",""),"0",""),"-","")))&gt;(LEN(SUBSTITUTE(SUBSTITUTE(SUBSTITUTE(N21:N25," ",""),"0",""),"-",""))+LEN(SUBSTITUTE(SUBSTITUTE(SUBSTITUTE(O21:O25," ",""),"0",""),"-",""))))*1)</f>
      </c>
      <c r="S27" s="14" t="str">
        <f>CONCATENATE("Pool D-1st ",'Pool Matches'!G176)</f>
      </c>
    </row>
    <row r="28">
      <c r="A28" s="14" t="s">
        <v>346</v>
      </c>
      <c r="B28" s="14"/>
      <c r="C28" s="14"/>
      <c r="D28" s="14"/>
      <c r="E28" s="14"/>
      <c r="F28" s="14"/>
      <c r="G28" s="14" t="s">
        <v>346</v>
      </c>
      <c r="M28" s="14" t="s">
        <v>346</v>
      </c>
      <c r="N28" s="14"/>
      <c r="O28" s="14"/>
      <c r="P28" s="14"/>
      <c r="Q28" s="14"/>
      <c r="R28" s="14"/>
      <c r="S28" s="14" t="s">
        <v>346</v>
      </c>
    </row>
    <row r="31">
      <c r="F31" t="s">
        <v>347</v>
      </c>
      <c r="G31" s="19"/>
      <c r="R31" t="s">
        <v>347</v>
      </c>
      <c r="S31" s="19"/>
    </row>
    <row r="32">
      <c r="F32" t="s">
        <v>348</v>
      </c>
      <c r="G32" s="19"/>
      <c r="R32" t="s">
        <v>348</v>
      </c>
      <c r="S32" s="19"/>
    </row>
    <row r="34">
      <c r="A34" s="13" t="s">
        <v>352</v>
      </c>
      <c r="B34" s="13"/>
      <c r="C34" s="13"/>
      <c r="D34" s="13"/>
      <c r="E34" s="13"/>
      <c r="F34" s="13"/>
      <c r="G34" s="13"/>
      <c r="M34" s="13" t="s">
        <v>353</v>
      </c>
      <c r="N34" s="13"/>
      <c r="O34" s="13"/>
      <c r="P34" s="13"/>
      <c r="Q34" s="13"/>
      <c r="R34" s="13"/>
      <c r="S34" s="13"/>
    </row>
    <row r="35">
      <c r="A35" s="17" t="s">
        <v>238</v>
      </c>
      <c r="D35" s="14" t="s">
        <v>239</v>
      </c>
      <c r="G35" s="16" t="s">
        <v>240</v>
      </c>
      <c r="M35" s="17" t="s">
        <v>238</v>
      </c>
      <c r="P35" s="14" t="s">
        <v>239</v>
      </c>
      <c r="S35" s="16" t="s">
        <v>240</v>
      </c>
    </row>
    <row r="36">
      <c r="A36" s="14" t="str">
        <f>CONCATENATE("Pool F-2nd ",'Pool Matches'!G261)</f>
      </c>
      <c r="B36" s="18"/>
      <c r="C36" s="18"/>
      <c r="D36" s="18"/>
      <c r="E36" s="18"/>
      <c r="F36" s="18"/>
      <c r="G36" s="14" t="str">
        <f>CONCATENATE("Pool G-1st ",'Pool Matches'!G302)</f>
      </c>
      <c r="M36" s="14" t="str">
        <f>CONCATENATE("Pool G-2nd ",'Pool Matches'!G303)</f>
      </c>
      <c r="N36" s="18"/>
      <c r="O36" s="18"/>
      <c r="P36" s="18"/>
      <c r="Q36" s="18"/>
      <c r="R36" s="18"/>
      <c r="S36" s="14" t="str">
        <f>CONCATENATE("Pool F-1st ",'Pool Matches'!G260)</f>
      </c>
    </row>
    <row r="37">
      <c r="A37" s="14">
        <v>1</v>
      </c>
      <c r="B37" s="18"/>
      <c r="C37" s="18"/>
      <c r="D37" s="18"/>
      <c r="E37" s="18"/>
      <c r="F37" s="18"/>
      <c r="G37" s="14">
        <v>1</v>
      </c>
      <c r="M37" s="14">
        <v>1</v>
      </c>
      <c r="N37" s="18"/>
      <c r="O37" s="18"/>
      <c r="P37" s="18"/>
      <c r="Q37" s="18"/>
      <c r="R37" s="18"/>
      <c r="S37" s="14">
        <v>1</v>
      </c>
    </row>
    <row r="38">
      <c r="A38" s="14">
        <v>2</v>
      </c>
      <c r="B38" s="18"/>
      <c r="C38" s="18"/>
      <c r="D38" s="18"/>
      <c r="E38" s="18"/>
      <c r="F38" s="18"/>
      <c r="G38" s="14">
        <v>2</v>
      </c>
      <c r="M38" s="14">
        <v>2</v>
      </c>
      <c r="N38" s="18"/>
      <c r="O38" s="18"/>
      <c r="P38" s="18"/>
      <c r="Q38" s="18"/>
      <c r="R38" s="18"/>
      <c r="S38" s="14">
        <v>2</v>
      </c>
    </row>
    <row r="39">
      <c r="A39" s="14">
        <v>3</v>
      </c>
      <c r="B39" s="18"/>
      <c r="C39" s="18"/>
      <c r="D39" s="18"/>
      <c r="E39" s="18"/>
      <c r="F39" s="18"/>
      <c r="G39" s="14">
        <v>3</v>
      </c>
      <c r="M39" s="14">
        <v>3</v>
      </c>
      <c r="N39" s="18"/>
      <c r="O39" s="18"/>
      <c r="P39" s="18"/>
      <c r="Q39" s="18"/>
      <c r="R39" s="18"/>
      <c r="S39" s="14">
        <v>3</v>
      </c>
    </row>
    <row r="40">
      <c r="A40" s="14">
        <v>4</v>
      </c>
      <c r="B40" s="18"/>
      <c r="C40" s="18"/>
      <c r="D40" s="18"/>
      <c r="E40" s="18"/>
      <c r="F40" s="18"/>
      <c r="G40" s="14">
        <v>4</v>
      </c>
      <c r="M40" s="14">
        <v>4</v>
      </c>
      <c r="N40" s="18"/>
      <c r="O40" s="18"/>
      <c r="P40" s="18"/>
      <c r="Q40" s="18"/>
      <c r="R40" s="18"/>
      <c r="S40" s="14">
        <v>4</v>
      </c>
    </row>
    <row r="41">
      <c r="A41" s="14">
        <v>5</v>
      </c>
      <c r="B41" s="18"/>
      <c r="C41" s="18"/>
      <c r="D41" s="18"/>
      <c r="E41" s="18"/>
      <c r="F41" s="18"/>
      <c r="G41" s="14">
        <v>5</v>
      </c>
      <c r="M41" s="14">
        <v>5</v>
      </c>
      <c r="N41" s="18"/>
      <c r="O41" s="18"/>
      <c r="P41" s="18"/>
      <c r="Q41" s="18"/>
      <c r="R41" s="18"/>
      <c r="S41" s="14">
        <v>5</v>
      </c>
    </row>
    <row r="43">
      <c r="A43" s="14" t="str">
        <f>CONCATENATE("Pool F-2nd ",'Pool Matches'!G261)</f>
      </c>
      <c r="B43" s="18" t="str">
        <f>SUMPRODUCT((UPPER(D37:D41)&lt;&gt;"X")*((LEN(SUBSTITUTE(SUBSTITUTE(SUBSTITUTE(B37:B41," ",""),"0",""),"-",""))+LEN(SUBSTITUTE(SUBSTITUTE(SUBSTITUTE(C37:C41," ",""),"0",""),"-","")))&gt;(LEN(SUBSTITUTE(SUBSTITUTE(SUBSTITUTE(E37:E41," ",""),"0",""),"-",""))+LEN(SUBSTITUTE(SUBSTITUTE(SUBSTITUTE(F37:F41," ",""),"0",""),"-",""))))*1)</f>
      </c>
      <c r="C43" s="18" t="str">
        <f>SUMPRODUCT(LEN(SUBSTITUTE(SUBSTITUTE(SUBSTITUTE(B37:B41," ",""),"0",""),"-",""))+LEN(SUBSTITUTE(SUBSTITUTE(SUBSTITUTE(C37:C41," ",""),"0",""),"-","")))</f>
      </c>
      <c r="D43" s="14"/>
      <c r="E43" s="18" t="str">
        <f>SUMPRODUCT(LEN(SUBSTITUTE(SUBSTITUTE(SUBSTITUTE(E37:E41," ",""),"0",""),"-",""))+LEN(SUBSTITUTE(SUBSTITUTE(SUBSTITUTE(F37:F41," ",""),"0",""),"-","")))</f>
      </c>
      <c r="F43" s="18" t="str">
        <f>SUMPRODUCT((UPPER(D37:D41)&lt;&gt;"X")*((LEN(SUBSTITUTE(SUBSTITUTE(SUBSTITUTE(E37:E41," ",""),"0",""),"-",""))+LEN(SUBSTITUTE(SUBSTITUTE(SUBSTITUTE(F37:F41," ",""),"0",""),"-","")))&gt;(LEN(SUBSTITUTE(SUBSTITUTE(SUBSTITUTE(B37:B41," ",""),"0",""),"-",""))+LEN(SUBSTITUTE(SUBSTITUTE(SUBSTITUTE(C37:C41," ",""),"0",""),"-",""))))*1)</f>
      </c>
      <c r="G43" s="14" t="str">
        <f>CONCATENATE("Pool G-1st ",'Pool Matches'!G302)</f>
      </c>
      <c r="M43" s="14" t="str">
        <f>CONCATENATE("Pool G-2nd ",'Pool Matches'!G303)</f>
      </c>
      <c r="N43" s="18" t="str">
        <f>SUMPRODUCT((UPPER(P37:P41)&lt;&gt;"X")*((LEN(SUBSTITUTE(SUBSTITUTE(SUBSTITUTE(N37:N41," ",""),"0",""),"-",""))+LEN(SUBSTITUTE(SUBSTITUTE(SUBSTITUTE(O37:O41," ",""),"0",""),"-","")))&gt;(LEN(SUBSTITUTE(SUBSTITUTE(SUBSTITUTE(Q37:Q41," ",""),"0",""),"-",""))+LEN(SUBSTITUTE(SUBSTITUTE(SUBSTITUTE(R37:R41," ",""),"0",""),"-",""))))*1)</f>
      </c>
      <c r="O43" s="18" t="str">
        <f>SUMPRODUCT(LEN(SUBSTITUTE(SUBSTITUTE(SUBSTITUTE(N37:N41," ",""),"0",""),"-",""))+LEN(SUBSTITUTE(SUBSTITUTE(SUBSTITUTE(O37:O41," ",""),"0",""),"-","")))</f>
      </c>
      <c r="P43" s="14"/>
      <c r="Q43" s="18" t="str">
        <f>SUMPRODUCT(LEN(SUBSTITUTE(SUBSTITUTE(SUBSTITUTE(Q37:Q41," ",""),"0",""),"-",""))+LEN(SUBSTITUTE(SUBSTITUTE(SUBSTITUTE(R37:R41," ",""),"0",""),"-","")))</f>
      </c>
      <c r="R43" s="18" t="str">
        <f>SUMPRODUCT((UPPER(P37:P41)&lt;&gt;"X")*((LEN(SUBSTITUTE(SUBSTITUTE(SUBSTITUTE(Q37:Q41," ",""),"0",""),"-",""))+LEN(SUBSTITUTE(SUBSTITUTE(SUBSTITUTE(R37:R41," ",""),"0",""),"-","")))&gt;(LEN(SUBSTITUTE(SUBSTITUTE(SUBSTITUTE(N37:N41," ",""),"0",""),"-",""))+LEN(SUBSTITUTE(SUBSTITUTE(SUBSTITUTE(O37:O41," ",""),"0",""),"-",""))))*1)</f>
      </c>
      <c r="S43" s="14" t="str">
        <f>CONCATENATE("Pool F-1st ",'Pool Matches'!G260)</f>
      </c>
    </row>
    <row r="44">
      <c r="A44" s="14" t="s">
        <v>346</v>
      </c>
      <c r="B44" s="14"/>
      <c r="C44" s="14"/>
      <c r="D44" s="14"/>
      <c r="E44" s="14"/>
      <c r="F44" s="14"/>
      <c r="G44" s="14" t="s">
        <v>346</v>
      </c>
      <c r="M44" s="14" t="s">
        <v>346</v>
      </c>
      <c r="N44" s="14"/>
      <c r="O44" s="14"/>
      <c r="P44" s="14"/>
      <c r="Q44" s="14"/>
      <c r="R44" s="14"/>
      <c r="S44" s="14" t="s">
        <v>346</v>
      </c>
    </row>
    <row r="47">
      <c r="F47" t="s">
        <v>347</v>
      </c>
      <c r="G47" s="19"/>
      <c r="R47" t="s">
        <v>347</v>
      </c>
      <c r="S47" s="19"/>
    </row>
    <row r="48">
      <c r="F48" t="s">
        <v>348</v>
      </c>
      <c r="G48" s="19"/>
      <c r="R48" t="s">
        <v>348</v>
      </c>
      <c r="S48" s="19"/>
    </row>
    <row r="50">
      <c r="A50" s="13" t="s">
        <v>354</v>
      </c>
      <c r="B50" s="13"/>
      <c r="C50" s="13"/>
      <c r="D50" s="13"/>
      <c r="E50" s="13"/>
      <c r="F50" s="13"/>
      <c r="G50" s="13"/>
      <c r="M50" s="13" t="s">
        <v>355</v>
      </c>
      <c r="N50" s="13"/>
      <c r="O50" s="13"/>
      <c r="P50" s="13"/>
      <c r="Q50" s="13"/>
      <c r="R50" s="13"/>
      <c r="S50" s="13"/>
    </row>
    <row r="51">
      <c r="A51" s="17" t="s">
        <v>238</v>
      </c>
      <c r="D51" s="14" t="s">
        <v>239</v>
      </c>
      <c r="G51" s="16" t="s">
        <v>240</v>
      </c>
      <c r="M51" s="17" t="s">
        <v>238</v>
      </c>
      <c r="P51" s="14" t="s">
        <v>239</v>
      </c>
      <c r="S51" s="16" t="s">
        <v>240</v>
      </c>
    </row>
    <row r="52">
      <c r="A52" s="14" t="str">
        <f>CONCATENATE("Pool H-2nd ",'Pool Matches'!G345)</f>
      </c>
      <c r="B52" s="18"/>
      <c r="C52" s="18"/>
      <c r="D52" s="18"/>
      <c r="E52" s="18"/>
      <c r="F52" s="18"/>
      <c r="G52" s="14" t="str">
        <f>CONCATENATE("Pool I-1st ",'Pool Matches'!G386)</f>
      </c>
      <c r="M52" s="14" t="str">
        <f>CONCATENATE("Pool I-2nd ",'Pool Matches'!G387)</f>
      </c>
      <c r="N52" s="18"/>
      <c r="O52" s="18"/>
      <c r="P52" s="18"/>
      <c r="Q52" s="18"/>
      <c r="R52" s="18"/>
      <c r="S52" s="14" t="str">
        <f>CONCATENATE("Pool H-1st ",'Pool Matches'!G344)</f>
      </c>
    </row>
    <row r="53">
      <c r="A53" s="14">
        <v>1</v>
      </c>
      <c r="B53" s="18"/>
      <c r="C53" s="18"/>
      <c r="D53" s="18"/>
      <c r="E53" s="18"/>
      <c r="F53" s="18"/>
      <c r="G53" s="14">
        <v>1</v>
      </c>
      <c r="M53" s="14">
        <v>1</v>
      </c>
      <c r="N53" s="18"/>
      <c r="O53" s="18"/>
      <c r="P53" s="18"/>
      <c r="Q53" s="18"/>
      <c r="R53" s="18"/>
      <c r="S53" s="14">
        <v>1</v>
      </c>
    </row>
    <row r="54">
      <c r="A54" s="14">
        <v>2</v>
      </c>
      <c r="B54" s="18"/>
      <c r="C54" s="18"/>
      <c r="D54" s="18"/>
      <c r="E54" s="18"/>
      <c r="F54" s="18"/>
      <c r="G54" s="14">
        <v>2</v>
      </c>
      <c r="M54" s="14">
        <v>2</v>
      </c>
      <c r="N54" s="18"/>
      <c r="O54" s="18"/>
      <c r="P54" s="18"/>
      <c r="Q54" s="18"/>
      <c r="R54" s="18"/>
      <c r="S54" s="14">
        <v>2</v>
      </c>
    </row>
    <row r="55">
      <c r="A55" s="14">
        <v>3</v>
      </c>
      <c r="B55" s="18"/>
      <c r="C55" s="18"/>
      <c r="D55" s="18"/>
      <c r="E55" s="18"/>
      <c r="F55" s="18"/>
      <c r="G55" s="14">
        <v>3</v>
      </c>
      <c r="M55" s="14">
        <v>3</v>
      </c>
      <c r="N55" s="18"/>
      <c r="O55" s="18"/>
      <c r="P55" s="18"/>
      <c r="Q55" s="18"/>
      <c r="R55" s="18"/>
      <c r="S55" s="14">
        <v>3</v>
      </c>
    </row>
    <row r="56">
      <c r="A56" s="14">
        <v>4</v>
      </c>
      <c r="B56" s="18"/>
      <c r="C56" s="18"/>
      <c r="D56" s="18"/>
      <c r="E56" s="18"/>
      <c r="F56" s="18"/>
      <c r="G56" s="14">
        <v>4</v>
      </c>
      <c r="M56" s="14">
        <v>4</v>
      </c>
      <c r="N56" s="18"/>
      <c r="O56" s="18"/>
      <c r="P56" s="18"/>
      <c r="Q56" s="18"/>
      <c r="R56" s="18"/>
      <c r="S56" s="14">
        <v>4</v>
      </c>
    </row>
    <row r="57">
      <c r="A57" s="14">
        <v>5</v>
      </c>
      <c r="B57" s="18"/>
      <c r="C57" s="18"/>
      <c r="D57" s="18"/>
      <c r="E57" s="18"/>
      <c r="F57" s="18"/>
      <c r="G57" s="14">
        <v>5</v>
      </c>
      <c r="M57" s="14">
        <v>5</v>
      </c>
      <c r="N57" s="18"/>
      <c r="O57" s="18"/>
      <c r="P57" s="18"/>
      <c r="Q57" s="18"/>
      <c r="R57" s="18"/>
      <c r="S57" s="14">
        <v>5</v>
      </c>
    </row>
    <row r="59">
      <c r="A59" s="14" t="str">
        <f>CONCATENATE("Pool H-2nd ",'Pool Matches'!G345)</f>
      </c>
      <c r="B59" s="18" t="str">
        <f>SUMPRODUCT((UPPER(D53:D57)&lt;&gt;"X")*((LEN(SUBSTITUTE(SUBSTITUTE(SUBSTITUTE(B53:B57," ",""),"0",""),"-",""))+LEN(SUBSTITUTE(SUBSTITUTE(SUBSTITUTE(C53:C57," ",""),"0",""),"-","")))&gt;(LEN(SUBSTITUTE(SUBSTITUTE(SUBSTITUTE(E53:E57," ",""),"0",""),"-",""))+LEN(SUBSTITUTE(SUBSTITUTE(SUBSTITUTE(F53:F57," ",""),"0",""),"-",""))))*1)</f>
      </c>
      <c r="C59" s="18" t="str">
        <f>SUMPRODUCT(LEN(SUBSTITUTE(SUBSTITUTE(SUBSTITUTE(B53:B57," ",""),"0",""),"-",""))+LEN(SUBSTITUTE(SUBSTITUTE(SUBSTITUTE(C53:C57," ",""),"0",""),"-","")))</f>
      </c>
      <c r="D59" s="14"/>
      <c r="E59" s="18" t="str">
        <f>SUMPRODUCT(LEN(SUBSTITUTE(SUBSTITUTE(SUBSTITUTE(E53:E57," ",""),"0",""),"-",""))+LEN(SUBSTITUTE(SUBSTITUTE(SUBSTITUTE(F53:F57," ",""),"0",""),"-","")))</f>
      </c>
      <c r="F59" s="18" t="str">
        <f>SUMPRODUCT((UPPER(D53:D57)&lt;&gt;"X")*((LEN(SUBSTITUTE(SUBSTITUTE(SUBSTITUTE(E53:E57," ",""),"0",""),"-",""))+LEN(SUBSTITUTE(SUBSTITUTE(SUBSTITUTE(F53:F57," ",""),"0",""),"-","")))&gt;(LEN(SUBSTITUTE(SUBSTITUTE(SUBSTITUTE(B53:B57," ",""),"0",""),"-",""))+LEN(SUBSTITUTE(SUBSTITUTE(SUBSTITUTE(C53:C57," ",""),"0",""),"-",""))))*1)</f>
      </c>
      <c r="G59" s="14" t="str">
        <f>CONCATENATE("Pool I-1st ",'Pool Matches'!G386)</f>
      </c>
      <c r="M59" s="14" t="str">
        <f>CONCATENATE("Pool I-2nd ",'Pool Matches'!G387)</f>
      </c>
      <c r="N59" s="18" t="str">
        <f>SUMPRODUCT((UPPER(P53:P57)&lt;&gt;"X")*((LEN(SUBSTITUTE(SUBSTITUTE(SUBSTITUTE(N53:N57," ",""),"0",""),"-",""))+LEN(SUBSTITUTE(SUBSTITUTE(SUBSTITUTE(O53:O57," ",""),"0",""),"-","")))&gt;(LEN(SUBSTITUTE(SUBSTITUTE(SUBSTITUTE(Q53:Q57," ",""),"0",""),"-",""))+LEN(SUBSTITUTE(SUBSTITUTE(SUBSTITUTE(R53:R57," ",""),"0",""),"-",""))))*1)</f>
      </c>
      <c r="O59" s="18" t="str">
        <f>SUMPRODUCT(LEN(SUBSTITUTE(SUBSTITUTE(SUBSTITUTE(N53:N57," ",""),"0",""),"-",""))+LEN(SUBSTITUTE(SUBSTITUTE(SUBSTITUTE(O53:O57," ",""),"0",""),"-","")))</f>
      </c>
      <c r="P59" s="14"/>
      <c r="Q59" s="18" t="str">
        <f>SUMPRODUCT(LEN(SUBSTITUTE(SUBSTITUTE(SUBSTITUTE(Q53:Q57," ",""),"0",""),"-",""))+LEN(SUBSTITUTE(SUBSTITUTE(SUBSTITUTE(R53:R57," ",""),"0",""),"-","")))</f>
      </c>
      <c r="R59" s="18" t="str">
        <f>SUMPRODUCT((UPPER(P53:P57)&lt;&gt;"X")*((LEN(SUBSTITUTE(SUBSTITUTE(SUBSTITUTE(Q53:Q57," ",""),"0",""),"-",""))+LEN(SUBSTITUTE(SUBSTITUTE(SUBSTITUTE(R53:R57," ",""),"0",""),"-","")))&gt;(LEN(SUBSTITUTE(SUBSTITUTE(SUBSTITUTE(N53:N57," ",""),"0",""),"-",""))+LEN(SUBSTITUTE(SUBSTITUTE(SUBSTITUTE(O53:O57," ",""),"0",""),"-",""))))*1)</f>
      </c>
      <c r="S59" s="14" t="str">
        <f>CONCATENATE("Pool H-1st ",'Pool Matches'!G344)</f>
      </c>
    </row>
    <row r="60">
      <c r="A60" s="14" t="s">
        <v>346</v>
      </c>
      <c r="B60" s="14"/>
      <c r="C60" s="14"/>
      <c r="D60" s="14"/>
      <c r="E60" s="14"/>
      <c r="F60" s="14"/>
      <c r="G60" s="14" t="s">
        <v>346</v>
      </c>
      <c r="M60" s="14" t="s">
        <v>346</v>
      </c>
      <c r="N60" s="14"/>
      <c r="O60" s="14"/>
      <c r="P60" s="14"/>
      <c r="Q60" s="14"/>
      <c r="R60" s="14"/>
      <c r="S60" s="14" t="s">
        <v>346</v>
      </c>
    </row>
    <row r="63">
      <c r="F63" t="s">
        <v>347</v>
      </c>
      <c r="G63" s="19"/>
      <c r="R63" t="s">
        <v>347</v>
      </c>
      <c r="S63" s="19"/>
    </row>
    <row r="64">
      <c r="F64" t="s">
        <v>348</v>
      </c>
      <c r="G64" s="19"/>
      <c r="R64" t="s">
        <v>348</v>
      </c>
      <c r="S64" s="19"/>
    </row>
    <row r="66">
      <c r="A66" s="13" t="s">
        <v>356</v>
      </c>
      <c r="B66" s="13"/>
      <c r="C66" s="13"/>
      <c r="D66" s="13"/>
      <c r="E66" s="13"/>
      <c r="F66" s="13"/>
      <c r="G66" s="13"/>
      <c r="M66" s="13" t="s">
        <v>357</v>
      </c>
      <c r="N66" s="13"/>
      <c r="O66" s="13"/>
      <c r="P66" s="13"/>
      <c r="Q66" s="13"/>
      <c r="R66" s="13"/>
      <c r="S66" s="13"/>
    </row>
    <row r="67">
      <c r="A67" s="17" t="s">
        <v>238</v>
      </c>
      <c r="D67" s="14" t="s">
        <v>239</v>
      </c>
      <c r="G67" s="16" t="s">
        <v>240</v>
      </c>
      <c r="M67" s="17" t="s">
        <v>238</v>
      </c>
      <c r="P67" s="14" t="s">
        <v>239</v>
      </c>
      <c r="S67" s="16" t="s">
        <v>240</v>
      </c>
    </row>
    <row r="68">
      <c r="A68" s="14" t="str">
        <f>CONCATENATE("Pool J-2nd ",'Pool Matches'!G429)</f>
      </c>
      <c r="B68" s="18"/>
      <c r="C68" s="18"/>
      <c r="D68" s="18"/>
      <c r="E68" s="18"/>
      <c r="F68" s="18"/>
      <c r="G68" s="14" t="str">
        <f>CONCATENATE("Pool K-1st ",'Pool Matches'!G470)</f>
      </c>
      <c r="M68" s="14" t="str">
        <f>CONCATENATE("Pool K-2nd ",'Pool Matches'!G471)</f>
      </c>
      <c r="N68" s="18"/>
      <c r="O68" s="18"/>
      <c r="P68" s="18"/>
      <c r="Q68" s="18"/>
      <c r="R68" s="18"/>
      <c r="S68" s="14" t="str">
        <f>CONCATENATE("Pool J-1st ",'Pool Matches'!G428)</f>
      </c>
    </row>
    <row r="69">
      <c r="A69" s="14">
        <v>1</v>
      </c>
      <c r="B69" s="18"/>
      <c r="C69" s="18"/>
      <c r="D69" s="18"/>
      <c r="E69" s="18"/>
      <c r="F69" s="18"/>
      <c r="G69" s="14">
        <v>1</v>
      </c>
      <c r="M69" s="14">
        <v>1</v>
      </c>
      <c r="N69" s="18"/>
      <c r="O69" s="18"/>
      <c r="P69" s="18"/>
      <c r="Q69" s="18"/>
      <c r="R69" s="18"/>
      <c r="S69" s="14">
        <v>1</v>
      </c>
    </row>
    <row r="70">
      <c r="A70" s="14">
        <v>2</v>
      </c>
      <c r="B70" s="18"/>
      <c r="C70" s="18"/>
      <c r="D70" s="18"/>
      <c r="E70" s="18"/>
      <c r="F70" s="18"/>
      <c r="G70" s="14">
        <v>2</v>
      </c>
      <c r="M70" s="14">
        <v>2</v>
      </c>
      <c r="N70" s="18"/>
      <c r="O70" s="18"/>
      <c r="P70" s="18"/>
      <c r="Q70" s="18"/>
      <c r="R70" s="18"/>
      <c r="S70" s="14">
        <v>2</v>
      </c>
    </row>
    <row r="71">
      <c r="A71" s="14">
        <v>3</v>
      </c>
      <c r="B71" s="18"/>
      <c r="C71" s="18"/>
      <c r="D71" s="18"/>
      <c r="E71" s="18"/>
      <c r="F71" s="18"/>
      <c r="G71" s="14">
        <v>3</v>
      </c>
      <c r="M71" s="14">
        <v>3</v>
      </c>
      <c r="N71" s="18"/>
      <c r="O71" s="18"/>
      <c r="P71" s="18"/>
      <c r="Q71" s="18"/>
      <c r="R71" s="18"/>
      <c r="S71" s="14">
        <v>3</v>
      </c>
    </row>
    <row r="72">
      <c r="A72" s="14">
        <v>4</v>
      </c>
      <c r="B72" s="18"/>
      <c r="C72" s="18"/>
      <c r="D72" s="18"/>
      <c r="E72" s="18"/>
      <c r="F72" s="18"/>
      <c r="G72" s="14">
        <v>4</v>
      </c>
      <c r="M72" s="14">
        <v>4</v>
      </c>
      <c r="N72" s="18"/>
      <c r="O72" s="18"/>
      <c r="P72" s="18"/>
      <c r="Q72" s="18"/>
      <c r="R72" s="18"/>
      <c r="S72" s="14">
        <v>4</v>
      </c>
    </row>
    <row r="73">
      <c r="A73" s="14">
        <v>5</v>
      </c>
      <c r="B73" s="18"/>
      <c r="C73" s="18"/>
      <c r="D73" s="18"/>
      <c r="E73" s="18"/>
      <c r="F73" s="18"/>
      <c r="G73" s="14">
        <v>5</v>
      </c>
      <c r="M73" s="14">
        <v>5</v>
      </c>
      <c r="N73" s="18"/>
      <c r="O73" s="18"/>
      <c r="P73" s="18"/>
      <c r="Q73" s="18"/>
      <c r="R73" s="18"/>
      <c r="S73" s="14">
        <v>5</v>
      </c>
    </row>
    <row r="75">
      <c r="A75" s="14" t="str">
        <f>CONCATENATE("Pool J-2nd ",'Pool Matches'!G429)</f>
      </c>
      <c r="B75" s="18" t="str">
        <f>SUMPRODUCT((UPPER(D69:D73)&lt;&gt;"X")*((LEN(SUBSTITUTE(SUBSTITUTE(SUBSTITUTE(B69:B73," ",""),"0",""),"-",""))+LEN(SUBSTITUTE(SUBSTITUTE(SUBSTITUTE(C69:C73," ",""),"0",""),"-","")))&gt;(LEN(SUBSTITUTE(SUBSTITUTE(SUBSTITUTE(E69:E73," ",""),"0",""),"-",""))+LEN(SUBSTITUTE(SUBSTITUTE(SUBSTITUTE(F69:F73," ",""),"0",""),"-",""))))*1)</f>
      </c>
      <c r="C75" s="18" t="str">
        <f>SUMPRODUCT(LEN(SUBSTITUTE(SUBSTITUTE(SUBSTITUTE(B69:B73," ",""),"0",""),"-",""))+LEN(SUBSTITUTE(SUBSTITUTE(SUBSTITUTE(C69:C73," ",""),"0",""),"-","")))</f>
      </c>
      <c r="D75" s="14"/>
      <c r="E75" s="18" t="str">
        <f>SUMPRODUCT(LEN(SUBSTITUTE(SUBSTITUTE(SUBSTITUTE(E69:E73," ",""),"0",""),"-",""))+LEN(SUBSTITUTE(SUBSTITUTE(SUBSTITUTE(F69:F73," ",""),"0",""),"-","")))</f>
      </c>
      <c r="F75" s="18" t="str">
        <f>SUMPRODUCT((UPPER(D69:D73)&lt;&gt;"X")*((LEN(SUBSTITUTE(SUBSTITUTE(SUBSTITUTE(E69:E73," ",""),"0",""),"-",""))+LEN(SUBSTITUTE(SUBSTITUTE(SUBSTITUTE(F69:F73," ",""),"0",""),"-","")))&gt;(LEN(SUBSTITUTE(SUBSTITUTE(SUBSTITUTE(B69:B73," ",""),"0",""),"-",""))+LEN(SUBSTITUTE(SUBSTITUTE(SUBSTITUTE(C69:C73," ",""),"0",""),"-",""))))*1)</f>
      </c>
      <c r="G75" s="14" t="str">
        <f>CONCATENATE("Pool K-1st ",'Pool Matches'!G470)</f>
      </c>
      <c r="M75" s="14" t="str">
        <f>CONCATENATE("Pool K-2nd ",'Pool Matches'!G471)</f>
      </c>
      <c r="N75" s="18" t="str">
        <f>SUMPRODUCT((UPPER(P69:P73)&lt;&gt;"X")*((LEN(SUBSTITUTE(SUBSTITUTE(SUBSTITUTE(N69:N73," ",""),"0",""),"-",""))+LEN(SUBSTITUTE(SUBSTITUTE(SUBSTITUTE(O69:O73," ",""),"0",""),"-","")))&gt;(LEN(SUBSTITUTE(SUBSTITUTE(SUBSTITUTE(Q69:Q73," ",""),"0",""),"-",""))+LEN(SUBSTITUTE(SUBSTITUTE(SUBSTITUTE(R69:R73," ",""),"0",""),"-",""))))*1)</f>
      </c>
      <c r="O75" s="18" t="str">
        <f>SUMPRODUCT(LEN(SUBSTITUTE(SUBSTITUTE(SUBSTITUTE(N69:N73," ",""),"0",""),"-",""))+LEN(SUBSTITUTE(SUBSTITUTE(SUBSTITUTE(O69:O73," ",""),"0",""),"-","")))</f>
      </c>
      <c r="P75" s="14"/>
      <c r="Q75" s="18" t="str">
        <f>SUMPRODUCT(LEN(SUBSTITUTE(SUBSTITUTE(SUBSTITUTE(Q69:Q73," ",""),"0",""),"-",""))+LEN(SUBSTITUTE(SUBSTITUTE(SUBSTITUTE(R69:R73," ",""),"0",""),"-","")))</f>
      </c>
      <c r="R75" s="18" t="str">
        <f>SUMPRODUCT((UPPER(P69:P73)&lt;&gt;"X")*((LEN(SUBSTITUTE(SUBSTITUTE(SUBSTITUTE(Q69:Q73," ",""),"0",""),"-",""))+LEN(SUBSTITUTE(SUBSTITUTE(SUBSTITUTE(R69:R73," ",""),"0",""),"-","")))&gt;(LEN(SUBSTITUTE(SUBSTITUTE(SUBSTITUTE(N69:N73," ",""),"0",""),"-",""))+LEN(SUBSTITUTE(SUBSTITUTE(SUBSTITUTE(O69:O73," ",""),"0",""),"-",""))))*1)</f>
      </c>
      <c r="S75" s="14" t="str">
        <f>CONCATENATE("Pool J-1st ",'Pool Matches'!G428)</f>
      </c>
    </row>
    <row r="76">
      <c r="A76" s="14" t="s">
        <v>346</v>
      </c>
      <c r="B76" s="14"/>
      <c r="C76" s="14"/>
      <c r="D76" s="14"/>
      <c r="E76" s="14"/>
      <c r="F76" s="14"/>
      <c r="G76" s="14" t="s">
        <v>346</v>
      </c>
      <c r="M76" s="14" t="s">
        <v>346</v>
      </c>
      <c r="N76" s="14"/>
      <c r="O76" s="14"/>
      <c r="P76" s="14"/>
      <c r="Q76" s="14"/>
      <c r="R76" s="14"/>
      <c r="S76" s="14" t="s">
        <v>346</v>
      </c>
    </row>
    <row r="79">
      <c r="F79" t="s">
        <v>347</v>
      </c>
      <c r="G79" s="19"/>
      <c r="R79" t="s">
        <v>347</v>
      </c>
      <c r="S79" s="19"/>
    </row>
    <row r="80">
      <c r="F80" t="s">
        <v>348</v>
      </c>
      <c r="G80" s="19"/>
      <c r="R80" t="s">
        <v>348</v>
      </c>
      <c r="S80" s="19"/>
    </row>
    <row r="82">
      <c r="A82" s="13" t="s">
        <v>358</v>
      </c>
      <c r="B82" s="13"/>
      <c r="C82" s="13"/>
      <c r="D82" s="13"/>
      <c r="E82" s="13"/>
      <c r="F82" s="13"/>
      <c r="G82" s="13"/>
      <c r="M82" s="13" t="s">
        <v>359</v>
      </c>
      <c r="N82" s="13"/>
      <c r="O82" s="13"/>
      <c r="P82" s="13"/>
      <c r="Q82" s="13"/>
      <c r="R82" s="13"/>
      <c r="S82" s="13"/>
    </row>
    <row r="83">
      <c r="A83" s="17" t="s">
        <v>238</v>
      </c>
      <c r="D83" s="14" t="s">
        <v>239</v>
      </c>
      <c r="G83" s="16" t="s">
        <v>240</v>
      </c>
      <c r="M83" s="17" t="s">
        <v>238</v>
      </c>
      <c r="P83" s="14" t="s">
        <v>239</v>
      </c>
      <c r="S83" s="16" t="s">
        <v>240</v>
      </c>
    </row>
    <row r="84">
      <c r="A84" s="14" t="str">
        <f>CONCATENATE("Pool L-2nd ",'Pool Matches'!G513)</f>
      </c>
      <c r="B84" s="18"/>
      <c r="C84" s="18"/>
      <c r="D84" s="18"/>
      <c r="E84" s="18"/>
      <c r="F84" s="18"/>
      <c r="G84" s="14" t="str">
        <f>CONCATENATE("Pool M-1st ",'Pool Matches'!G554)</f>
      </c>
      <c r="M84" s="14" t="str">
        <f>CONCATENATE("Pool M-2nd ",'Pool Matches'!G555)</f>
      </c>
      <c r="N84" s="18"/>
      <c r="O84" s="18"/>
      <c r="P84" s="18"/>
      <c r="Q84" s="18"/>
      <c r="R84" s="18"/>
      <c r="S84" s="14" t="str">
        <f>CONCATENATE("Pool L-1st ",'Pool Matches'!G512)</f>
      </c>
    </row>
    <row r="85">
      <c r="A85" s="14">
        <v>1</v>
      </c>
      <c r="B85" s="18"/>
      <c r="C85" s="18"/>
      <c r="D85" s="18"/>
      <c r="E85" s="18"/>
      <c r="F85" s="18"/>
      <c r="G85" s="14">
        <v>1</v>
      </c>
      <c r="M85" s="14">
        <v>1</v>
      </c>
      <c r="N85" s="18"/>
      <c r="O85" s="18"/>
      <c r="P85" s="18"/>
      <c r="Q85" s="18"/>
      <c r="R85" s="18"/>
      <c r="S85" s="14">
        <v>1</v>
      </c>
    </row>
    <row r="86">
      <c r="A86" s="14">
        <v>2</v>
      </c>
      <c r="B86" s="18"/>
      <c r="C86" s="18"/>
      <c r="D86" s="18"/>
      <c r="E86" s="18"/>
      <c r="F86" s="18"/>
      <c r="G86" s="14">
        <v>2</v>
      </c>
      <c r="M86" s="14">
        <v>2</v>
      </c>
      <c r="N86" s="18"/>
      <c r="O86" s="18"/>
      <c r="P86" s="18"/>
      <c r="Q86" s="18"/>
      <c r="R86" s="18"/>
      <c r="S86" s="14">
        <v>2</v>
      </c>
    </row>
    <row r="87">
      <c r="A87" s="14">
        <v>3</v>
      </c>
      <c r="B87" s="18"/>
      <c r="C87" s="18"/>
      <c r="D87" s="18"/>
      <c r="E87" s="18"/>
      <c r="F87" s="18"/>
      <c r="G87" s="14">
        <v>3</v>
      </c>
      <c r="M87" s="14">
        <v>3</v>
      </c>
      <c r="N87" s="18"/>
      <c r="O87" s="18"/>
      <c r="P87" s="18"/>
      <c r="Q87" s="18"/>
      <c r="R87" s="18"/>
      <c r="S87" s="14">
        <v>3</v>
      </c>
    </row>
    <row r="88">
      <c r="A88" s="14">
        <v>4</v>
      </c>
      <c r="B88" s="18"/>
      <c r="C88" s="18"/>
      <c r="D88" s="18"/>
      <c r="E88" s="18"/>
      <c r="F88" s="18"/>
      <c r="G88" s="14">
        <v>4</v>
      </c>
      <c r="M88" s="14">
        <v>4</v>
      </c>
      <c r="N88" s="18"/>
      <c r="O88" s="18"/>
      <c r="P88" s="18"/>
      <c r="Q88" s="18"/>
      <c r="R88" s="18"/>
      <c r="S88" s="14">
        <v>4</v>
      </c>
    </row>
    <row r="89">
      <c r="A89" s="14">
        <v>5</v>
      </c>
      <c r="B89" s="18"/>
      <c r="C89" s="18"/>
      <c r="D89" s="18"/>
      <c r="E89" s="18"/>
      <c r="F89" s="18"/>
      <c r="G89" s="14">
        <v>5</v>
      </c>
      <c r="M89" s="14">
        <v>5</v>
      </c>
      <c r="N89" s="18"/>
      <c r="O89" s="18"/>
      <c r="P89" s="18"/>
      <c r="Q89" s="18"/>
      <c r="R89" s="18"/>
      <c r="S89" s="14">
        <v>5</v>
      </c>
    </row>
    <row r="91">
      <c r="A91" s="14" t="str">
        <f>CONCATENATE("Pool L-2nd ",'Pool Matches'!G513)</f>
      </c>
      <c r="B91" s="18" t="str">
        <f>SUMPRODUCT((UPPER(D85:D89)&lt;&gt;"X")*((LEN(SUBSTITUTE(SUBSTITUTE(SUBSTITUTE(B85:B89," ",""),"0",""),"-",""))+LEN(SUBSTITUTE(SUBSTITUTE(SUBSTITUTE(C85:C89," ",""),"0",""),"-","")))&gt;(LEN(SUBSTITUTE(SUBSTITUTE(SUBSTITUTE(E85:E89," ",""),"0",""),"-",""))+LEN(SUBSTITUTE(SUBSTITUTE(SUBSTITUTE(F85:F89," ",""),"0",""),"-",""))))*1)</f>
      </c>
      <c r="C91" s="18" t="str">
        <f>SUMPRODUCT(LEN(SUBSTITUTE(SUBSTITUTE(SUBSTITUTE(B85:B89," ",""),"0",""),"-",""))+LEN(SUBSTITUTE(SUBSTITUTE(SUBSTITUTE(C85:C89," ",""),"0",""),"-","")))</f>
      </c>
      <c r="D91" s="14"/>
      <c r="E91" s="18" t="str">
        <f>SUMPRODUCT(LEN(SUBSTITUTE(SUBSTITUTE(SUBSTITUTE(E85:E89," ",""),"0",""),"-",""))+LEN(SUBSTITUTE(SUBSTITUTE(SUBSTITUTE(F85:F89," ",""),"0",""),"-","")))</f>
      </c>
      <c r="F91" s="18" t="str">
        <f>SUMPRODUCT((UPPER(D85:D89)&lt;&gt;"X")*((LEN(SUBSTITUTE(SUBSTITUTE(SUBSTITUTE(E85:E89," ",""),"0",""),"-",""))+LEN(SUBSTITUTE(SUBSTITUTE(SUBSTITUTE(F85:F89," ",""),"0",""),"-","")))&gt;(LEN(SUBSTITUTE(SUBSTITUTE(SUBSTITUTE(B85:B89," ",""),"0",""),"-",""))+LEN(SUBSTITUTE(SUBSTITUTE(SUBSTITUTE(C85:C89," ",""),"0",""),"-",""))))*1)</f>
      </c>
      <c r="G91" s="14" t="str">
        <f>CONCATENATE("Pool M-1st ",'Pool Matches'!G554)</f>
      </c>
      <c r="M91" s="14" t="str">
        <f>CONCATENATE("Pool M-2nd ",'Pool Matches'!G555)</f>
      </c>
      <c r="N91" s="18" t="str">
        <f>SUMPRODUCT((UPPER(P85:P89)&lt;&gt;"X")*((LEN(SUBSTITUTE(SUBSTITUTE(SUBSTITUTE(N85:N89," ",""),"0",""),"-",""))+LEN(SUBSTITUTE(SUBSTITUTE(SUBSTITUTE(O85:O89," ",""),"0",""),"-","")))&gt;(LEN(SUBSTITUTE(SUBSTITUTE(SUBSTITUTE(Q85:Q89," ",""),"0",""),"-",""))+LEN(SUBSTITUTE(SUBSTITUTE(SUBSTITUTE(R85:R89," ",""),"0",""),"-",""))))*1)</f>
      </c>
      <c r="O91" s="18" t="str">
        <f>SUMPRODUCT(LEN(SUBSTITUTE(SUBSTITUTE(SUBSTITUTE(N85:N89," ",""),"0",""),"-",""))+LEN(SUBSTITUTE(SUBSTITUTE(SUBSTITUTE(O85:O89," ",""),"0",""),"-","")))</f>
      </c>
      <c r="P91" s="14"/>
      <c r="Q91" s="18" t="str">
        <f>SUMPRODUCT(LEN(SUBSTITUTE(SUBSTITUTE(SUBSTITUTE(Q85:Q89," ",""),"0",""),"-",""))+LEN(SUBSTITUTE(SUBSTITUTE(SUBSTITUTE(R85:R89," ",""),"0",""),"-","")))</f>
      </c>
      <c r="R91" s="18" t="str">
        <f>SUMPRODUCT((UPPER(P85:P89)&lt;&gt;"X")*((LEN(SUBSTITUTE(SUBSTITUTE(SUBSTITUTE(Q85:Q89," ",""),"0",""),"-",""))+LEN(SUBSTITUTE(SUBSTITUTE(SUBSTITUTE(R85:R89," ",""),"0",""),"-","")))&gt;(LEN(SUBSTITUTE(SUBSTITUTE(SUBSTITUTE(N85:N89," ",""),"0",""),"-",""))+LEN(SUBSTITUTE(SUBSTITUTE(SUBSTITUTE(O85:O89," ",""),"0",""),"-",""))))*1)</f>
      </c>
      <c r="S91" s="14" t="str">
        <f>CONCATENATE("Pool L-1st ",'Pool Matches'!G512)</f>
      </c>
    </row>
    <row r="92">
      <c r="A92" s="14" t="s">
        <v>346</v>
      </c>
      <c r="B92" s="14"/>
      <c r="C92" s="14"/>
      <c r="D92" s="14"/>
      <c r="E92" s="14"/>
      <c r="F92" s="14"/>
      <c r="G92" s="14" t="s">
        <v>346</v>
      </c>
      <c r="M92" s="14" t="s">
        <v>346</v>
      </c>
      <c r="N92" s="14"/>
      <c r="O92" s="14"/>
      <c r="P92" s="14"/>
      <c r="Q92" s="14"/>
      <c r="R92" s="14"/>
      <c r="S92" s="14" t="s">
        <v>346</v>
      </c>
    </row>
    <row r="95">
      <c r="F95" t="s">
        <v>347</v>
      </c>
      <c r="G95" s="19"/>
      <c r="R95" t="s">
        <v>347</v>
      </c>
      <c r="S95" s="19"/>
    </row>
    <row r="96">
      <c r="F96" t="s">
        <v>348</v>
      </c>
      <c r="G96" s="19"/>
      <c r="R96" t="s">
        <v>348</v>
      </c>
      <c r="S96" s="19"/>
    </row>
    <row r="98">
      <c r="A98" s="13" t="s">
        <v>360</v>
      </c>
      <c r="B98" s="13"/>
      <c r="C98" s="13"/>
      <c r="D98" s="13"/>
      <c r="E98" s="13"/>
      <c r="F98" s="13"/>
      <c r="G98" s="13"/>
      <c r="M98" s="13" t="s">
        <v>361</v>
      </c>
      <c r="N98" s="13"/>
      <c r="O98" s="13"/>
      <c r="P98" s="13"/>
      <c r="Q98" s="13"/>
      <c r="R98" s="13"/>
      <c r="S98" s="13"/>
    </row>
    <row r="99">
      <c r="A99" s="17" t="s">
        <v>238</v>
      </c>
      <c r="D99" s="14" t="s">
        <v>239</v>
      </c>
      <c r="G99" s="16" t="s">
        <v>240</v>
      </c>
      <c r="M99" s="17" t="s">
        <v>238</v>
      </c>
      <c r="P99" s="14" t="s">
        <v>239</v>
      </c>
      <c r="S99" s="16" t="s">
        <v>240</v>
      </c>
    </row>
    <row r="100">
      <c r="A100" s="14" t="str">
        <f>CONCATENATE("Pool N-2nd ",'Pool Matches'!G597)</f>
      </c>
      <c r="B100" s="18"/>
      <c r="C100" s="18"/>
      <c r="D100" s="18"/>
      <c r="E100" s="18"/>
      <c r="F100" s="18"/>
      <c r="G100" s="14" t="str">
        <f>CONCATENATE("Pool O-1st ",'Pool Matches'!G638)</f>
      </c>
      <c r="M100" s="14" t="str">
        <f>CONCATENATE("Pool O-2nd ",'Pool Matches'!G639)</f>
      </c>
      <c r="N100" s="18"/>
      <c r="O100" s="18"/>
      <c r="P100" s="18"/>
      <c r="Q100" s="18"/>
      <c r="R100" s="18"/>
      <c r="S100" s="14" t="str">
        <f>CONCATENATE("Pool N-1st ",'Pool Matches'!G596)</f>
      </c>
    </row>
    <row r="101">
      <c r="A101" s="14">
        <v>1</v>
      </c>
      <c r="B101" s="18"/>
      <c r="C101" s="18"/>
      <c r="D101" s="18"/>
      <c r="E101" s="18"/>
      <c r="F101" s="18"/>
      <c r="G101" s="14">
        <v>1</v>
      </c>
      <c r="M101" s="14">
        <v>1</v>
      </c>
      <c r="N101" s="18"/>
      <c r="O101" s="18"/>
      <c r="P101" s="18"/>
      <c r="Q101" s="18"/>
      <c r="R101" s="18"/>
      <c r="S101" s="14">
        <v>1</v>
      </c>
    </row>
    <row r="102">
      <c r="A102" s="14">
        <v>2</v>
      </c>
      <c r="B102" s="18"/>
      <c r="C102" s="18"/>
      <c r="D102" s="18"/>
      <c r="E102" s="18"/>
      <c r="F102" s="18"/>
      <c r="G102" s="14">
        <v>2</v>
      </c>
      <c r="M102" s="14">
        <v>2</v>
      </c>
      <c r="N102" s="18"/>
      <c r="O102" s="18"/>
      <c r="P102" s="18"/>
      <c r="Q102" s="18"/>
      <c r="R102" s="18"/>
      <c r="S102" s="14">
        <v>2</v>
      </c>
    </row>
    <row r="103">
      <c r="A103" s="14">
        <v>3</v>
      </c>
      <c r="B103" s="18"/>
      <c r="C103" s="18"/>
      <c r="D103" s="18"/>
      <c r="E103" s="18"/>
      <c r="F103" s="18"/>
      <c r="G103" s="14">
        <v>3</v>
      </c>
      <c r="M103" s="14">
        <v>3</v>
      </c>
      <c r="N103" s="18"/>
      <c r="O103" s="18"/>
      <c r="P103" s="18"/>
      <c r="Q103" s="18"/>
      <c r="R103" s="18"/>
      <c r="S103" s="14">
        <v>3</v>
      </c>
    </row>
    <row r="104">
      <c r="A104" s="14">
        <v>4</v>
      </c>
      <c r="B104" s="18"/>
      <c r="C104" s="18"/>
      <c r="D104" s="18"/>
      <c r="E104" s="18"/>
      <c r="F104" s="18"/>
      <c r="G104" s="14">
        <v>4</v>
      </c>
      <c r="M104" s="14">
        <v>4</v>
      </c>
      <c r="N104" s="18"/>
      <c r="O104" s="18"/>
      <c r="P104" s="18"/>
      <c r="Q104" s="18"/>
      <c r="R104" s="18"/>
      <c r="S104" s="14">
        <v>4</v>
      </c>
    </row>
    <row r="105">
      <c r="A105" s="14">
        <v>5</v>
      </c>
      <c r="B105" s="18"/>
      <c r="C105" s="18"/>
      <c r="D105" s="18"/>
      <c r="E105" s="18"/>
      <c r="F105" s="18"/>
      <c r="G105" s="14">
        <v>5</v>
      </c>
      <c r="M105" s="14">
        <v>5</v>
      </c>
      <c r="N105" s="18"/>
      <c r="O105" s="18"/>
      <c r="P105" s="18"/>
      <c r="Q105" s="18"/>
      <c r="R105" s="18"/>
      <c r="S105" s="14">
        <v>5</v>
      </c>
    </row>
    <row r="107">
      <c r="A107" s="14" t="str">
        <f>CONCATENATE("Pool N-2nd ",'Pool Matches'!G597)</f>
      </c>
      <c r="B107" s="18" t="str">
        <f>SUMPRODUCT((UPPER(D101:D105)&lt;&gt;"X")*((LEN(SUBSTITUTE(SUBSTITUTE(SUBSTITUTE(B101:B105," ",""),"0",""),"-",""))+LEN(SUBSTITUTE(SUBSTITUTE(SUBSTITUTE(C101:C105," ",""),"0",""),"-","")))&gt;(LEN(SUBSTITUTE(SUBSTITUTE(SUBSTITUTE(E101:E105," ",""),"0",""),"-",""))+LEN(SUBSTITUTE(SUBSTITUTE(SUBSTITUTE(F101:F105," ",""),"0",""),"-",""))))*1)</f>
      </c>
      <c r="C107" s="18" t="str">
        <f>SUMPRODUCT(LEN(SUBSTITUTE(SUBSTITUTE(SUBSTITUTE(B101:B105," ",""),"0",""),"-",""))+LEN(SUBSTITUTE(SUBSTITUTE(SUBSTITUTE(C101:C105," ",""),"0",""),"-","")))</f>
      </c>
      <c r="D107" s="14"/>
      <c r="E107" s="18" t="str">
        <f>SUMPRODUCT(LEN(SUBSTITUTE(SUBSTITUTE(SUBSTITUTE(E101:E105," ",""),"0",""),"-",""))+LEN(SUBSTITUTE(SUBSTITUTE(SUBSTITUTE(F101:F105," ",""),"0",""),"-","")))</f>
      </c>
      <c r="F107" s="18" t="str">
        <f>SUMPRODUCT((UPPER(D101:D105)&lt;&gt;"X")*((LEN(SUBSTITUTE(SUBSTITUTE(SUBSTITUTE(E101:E105," ",""),"0",""),"-",""))+LEN(SUBSTITUTE(SUBSTITUTE(SUBSTITUTE(F101:F105," ",""),"0",""),"-","")))&gt;(LEN(SUBSTITUTE(SUBSTITUTE(SUBSTITUTE(B101:B105," ",""),"0",""),"-",""))+LEN(SUBSTITUTE(SUBSTITUTE(SUBSTITUTE(C101:C105," ",""),"0",""),"-",""))))*1)</f>
      </c>
      <c r="G107" s="14" t="str">
        <f>CONCATENATE("Pool O-1st ",'Pool Matches'!G638)</f>
      </c>
      <c r="M107" s="14" t="str">
        <f>CONCATENATE("Pool O-2nd ",'Pool Matches'!G639)</f>
      </c>
      <c r="N107" s="18" t="str">
        <f>SUMPRODUCT((UPPER(P101:P105)&lt;&gt;"X")*((LEN(SUBSTITUTE(SUBSTITUTE(SUBSTITUTE(N101:N105," ",""),"0",""),"-",""))+LEN(SUBSTITUTE(SUBSTITUTE(SUBSTITUTE(O101:O105," ",""),"0",""),"-","")))&gt;(LEN(SUBSTITUTE(SUBSTITUTE(SUBSTITUTE(Q101:Q105," ",""),"0",""),"-",""))+LEN(SUBSTITUTE(SUBSTITUTE(SUBSTITUTE(R101:R105," ",""),"0",""),"-",""))))*1)</f>
      </c>
      <c r="O107" s="18" t="str">
        <f>SUMPRODUCT(LEN(SUBSTITUTE(SUBSTITUTE(SUBSTITUTE(N101:N105," ",""),"0",""),"-",""))+LEN(SUBSTITUTE(SUBSTITUTE(SUBSTITUTE(O101:O105," ",""),"0",""),"-","")))</f>
      </c>
      <c r="P107" s="14"/>
      <c r="Q107" s="18" t="str">
        <f>SUMPRODUCT(LEN(SUBSTITUTE(SUBSTITUTE(SUBSTITUTE(Q101:Q105," ",""),"0",""),"-",""))+LEN(SUBSTITUTE(SUBSTITUTE(SUBSTITUTE(R101:R105," ",""),"0",""),"-","")))</f>
      </c>
      <c r="R107" s="18" t="str">
        <f>SUMPRODUCT((UPPER(P101:P105)&lt;&gt;"X")*((LEN(SUBSTITUTE(SUBSTITUTE(SUBSTITUTE(Q101:Q105," ",""),"0",""),"-",""))+LEN(SUBSTITUTE(SUBSTITUTE(SUBSTITUTE(R101:R105," ",""),"0",""),"-","")))&gt;(LEN(SUBSTITUTE(SUBSTITUTE(SUBSTITUTE(N101:N105," ",""),"0",""),"-",""))+LEN(SUBSTITUTE(SUBSTITUTE(SUBSTITUTE(O101:O105," ",""),"0",""),"-",""))))*1)</f>
      </c>
      <c r="S107" s="14" t="str">
        <f>CONCATENATE("Pool N-1st ",'Pool Matches'!G596)</f>
      </c>
    </row>
    <row r="108">
      <c r="A108" s="14" t="s">
        <v>346</v>
      </c>
      <c r="B108" s="14"/>
      <c r="C108" s="14"/>
      <c r="D108" s="14"/>
      <c r="E108" s="14"/>
      <c r="F108" s="14"/>
      <c r="G108" s="14" t="s">
        <v>346</v>
      </c>
      <c r="M108" s="14" t="s">
        <v>346</v>
      </c>
      <c r="N108" s="14"/>
      <c r="O108" s="14"/>
      <c r="P108" s="14"/>
      <c r="Q108" s="14"/>
      <c r="R108" s="14"/>
      <c r="S108" s="14" t="s">
        <v>346</v>
      </c>
    </row>
    <row r="111">
      <c r="F111" t="s">
        <v>347</v>
      </c>
      <c r="G111" s="19"/>
      <c r="R111" t="s">
        <v>347</v>
      </c>
      <c r="S111" s="19"/>
    </row>
    <row r="112">
      <c r="F112" t="s">
        <v>348</v>
      </c>
      <c r="G112" s="19"/>
      <c r="R112" t="s">
        <v>348</v>
      </c>
      <c r="S112" s="19"/>
    </row>
    <row r="114">
      <c r="A114" s="13" t="s">
        <v>362</v>
      </c>
      <c r="B114" s="13"/>
      <c r="C114" s="13"/>
      <c r="D114" s="13"/>
      <c r="E114" s="13"/>
      <c r="F114" s="13"/>
      <c r="G114" s="13"/>
      <c r="M114" s="13" t="s">
        <v>363</v>
      </c>
      <c r="N114" s="13"/>
      <c r="O114" s="13"/>
      <c r="P114" s="13"/>
      <c r="Q114" s="13"/>
      <c r="R114" s="13"/>
      <c r="S114" s="13"/>
    </row>
    <row r="115">
      <c r="A115" s="17" t="s">
        <v>238</v>
      </c>
      <c r="D115" s="14" t="s">
        <v>239</v>
      </c>
      <c r="G115" s="16" t="s">
        <v>240</v>
      </c>
      <c r="M115" s="17" t="s">
        <v>238</v>
      </c>
      <c r="P115" s="14" t="s">
        <v>239</v>
      </c>
      <c r="S115" s="16" t="s">
        <v>240</v>
      </c>
    </row>
    <row r="116">
      <c r="A116" s="14" t="str">
        <f>CONCATENATE("Pool R-2nd ",'Pool Matches'!O135)</f>
      </c>
      <c r="B116" s="18"/>
      <c r="C116" s="18"/>
      <c r="D116" s="18"/>
      <c r="E116" s="18"/>
      <c r="F116" s="18"/>
      <c r="G116" s="14" t="str">
        <f>CONCATENATE("Pool P-2nd ",'Pool Matches'!O49)</f>
      </c>
      <c r="M116" s="14" t="str">
        <f>CONCATENATE("Pool Q-2nd ",'Pool Matches'!O93)</f>
      </c>
      <c r="N116" s="18"/>
      <c r="O116" s="18"/>
      <c r="P116" s="18"/>
      <c r="Q116" s="18"/>
      <c r="R116" s="18"/>
      <c r="S116" s="14" t="str">
        <f>CONCATENATE("Pool R-1st ",'Pool Matches'!O134)</f>
      </c>
    </row>
    <row r="117">
      <c r="A117" s="14">
        <v>1</v>
      </c>
      <c r="B117" s="18"/>
      <c r="C117" s="18"/>
      <c r="D117" s="18"/>
      <c r="E117" s="18"/>
      <c r="F117" s="18"/>
      <c r="G117" s="14">
        <v>1</v>
      </c>
      <c r="M117" s="14">
        <v>1</v>
      </c>
      <c r="N117" s="18"/>
      <c r="O117" s="18"/>
      <c r="P117" s="18"/>
      <c r="Q117" s="18"/>
      <c r="R117" s="18"/>
      <c r="S117" s="14">
        <v>1</v>
      </c>
    </row>
    <row r="118">
      <c r="A118" s="14">
        <v>2</v>
      </c>
      <c r="B118" s="18"/>
      <c r="C118" s="18"/>
      <c r="D118" s="18"/>
      <c r="E118" s="18"/>
      <c r="F118" s="18"/>
      <c r="G118" s="14">
        <v>2</v>
      </c>
      <c r="M118" s="14">
        <v>2</v>
      </c>
      <c r="N118" s="18"/>
      <c r="O118" s="18"/>
      <c r="P118" s="18"/>
      <c r="Q118" s="18"/>
      <c r="R118" s="18"/>
      <c r="S118" s="14">
        <v>2</v>
      </c>
    </row>
    <row r="119">
      <c r="A119" s="14">
        <v>3</v>
      </c>
      <c r="B119" s="18"/>
      <c r="C119" s="18"/>
      <c r="D119" s="18"/>
      <c r="E119" s="18"/>
      <c r="F119" s="18"/>
      <c r="G119" s="14">
        <v>3</v>
      </c>
      <c r="M119" s="14">
        <v>3</v>
      </c>
      <c r="N119" s="18"/>
      <c r="O119" s="18"/>
      <c r="P119" s="18"/>
      <c r="Q119" s="18"/>
      <c r="R119" s="18"/>
      <c r="S119" s="14">
        <v>3</v>
      </c>
    </row>
    <row r="120">
      <c r="A120" s="14">
        <v>4</v>
      </c>
      <c r="B120" s="18"/>
      <c r="C120" s="18"/>
      <c r="D120" s="18"/>
      <c r="E120" s="18"/>
      <c r="F120" s="18"/>
      <c r="G120" s="14">
        <v>4</v>
      </c>
      <c r="M120" s="14">
        <v>4</v>
      </c>
      <c r="N120" s="18"/>
      <c r="O120" s="18"/>
      <c r="P120" s="18"/>
      <c r="Q120" s="18"/>
      <c r="R120" s="18"/>
      <c r="S120" s="14">
        <v>4</v>
      </c>
    </row>
    <row r="121">
      <c r="A121" s="14">
        <v>5</v>
      </c>
      <c r="B121" s="18"/>
      <c r="C121" s="18"/>
      <c r="D121" s="18"/>
      <c r="E121" s="18"/>
      <c r="F121" s="18"/>
      <c r="G121" s="14">
        <v>5</v>
      </c>
      <c r="M121" s="14">
        <v>5</v>
      </c>
      <c r="N121" s="18"/>
      <c r="O121" s="18"/>
      <c r="P121" s="18"/>
      <c r="Q121" s="18"/>
      <c r="R121" s="18"/>
      <c r="S121" s="14">
        <v>5</v>
      </c>
    </row>
    <row r="123">
      <c r="A123" s="14" t="str">
        <f>CONCATENATE("Pool R-2nd ",'Pool Matches'!O135)</f>
      </c>
      <c r="B123" s="18" t="str">
        <f>SUMPRODUCT((UPPER(D117:D121)&lt;&gt;"X")*((LEN(SUBSTITUTE(SUBSTITUTE(SUBSTITUTE(B117:B121," ",""),"0",""),"-",""))+LEN(SUBSTITUTE(SUBSTITUTE(SUBSTITUTE(C117:C121," ",""),"0",""),"-","")))&gt;(LEN(SUBSTITUTE(SUBSTITUTE(SUBSTITUTE(E117:E121," ",""),"0",""),"-",""))+LEN(SUBSTITUTE(SUBSTITUTE(SUBSTITUTE(F117:F121," ",""),"0",""),"-",""))))*1)</f>
      </c>
      <c r="C123" s="18" t="str">
        <f>SUMPRODUCT(LEN(SUBSTITUTE(SUBSTITUTE(SUBSTITUTE(B117:B121," ",""),"0",""),"-",""))+LEN(SUBSTITUTE(SUBSTITUTE(SUBSTITUTE(C117:C121," ",""),"0",""),"-","")))</f>
      </c>
      <c r="D123" s="14"/>
      <c r="E123" s="18" t="str">
        <f>SUMPRODUCT(LEN(SUBSTITUTE(SUBSTITUTE(SUBSTITUTE(E117:E121," ",""),"0",""),"-",""))+LEN(SUBSTITUTE(SUBSTITUTE(SUBSTITUTE(F117:F121," ",""),"0",""),"-","")))</f>
      </c>
      <c r="F123" s="18" t="str">
        <f>SUMPRODUCT((UPPER(D117:D121)&lt;&gt;"X")*((LEN(SUBSTITUTE(SUBSTITUTE(SUBSTITUTE(E117:E121," ",""),"0",""),"-",""))+LEN(SUBSTITUTE(SUBSTITUTE(SUBSTITUTE(F117:F121," ",""),"0",""),"-","")))&gt;(LEN(SUBSTITUTE(SUBSTITUTE(SUBSTITUTE(B117:B121," ",""),"0",""),"-",""))+LEN(SUBSTITUTE(SUBSTITUTE(SUBSTITUTE(C117:C121," ",""),"0",""),"-",""))))*1)</f>
      </c>
      <c r="G123" s="14" t="str">
        <f>CONCATENATE("Pool P-2nd ",'Pool Matches'!O49)</f>
      </c>
      <c r="M123" s="14" t="str">
        <f>CONCATENATE("Pool Q-2nd ",'Pool Matches'!O93)</f>
      </c>
      <c r="N123" s="18" t="str">
        <f>SUMPRODUCT((UPPER(P117:P121)&lt;&gt;"X")*((LEN(SUBSTITUTE(SUBSTITUTE(SUBSTITUTE(N117:N121," ",""),"0",""),"-",""))+LEN(SUBSTITUTE(SUBSTITUTE(SUBSTITUTE(O117:O121," ",""),"0",""),"-","")))&gt;(LEN(SUBSTITUTE(SUBSTITUTE(SUBSTITUTE(Q117:Q121," ",""),"0",""),"-",""))+LEN(SUBSTITUTE(SUBSTITUTE(SUBSTITUTE(R117:R121," ",""),"0",""),"-",""))))*1)</f>
      </c>
      <c r="O123" s="18" t="str">
        <f>SUMPRODUCT(LEN(SUBSTITUTE(SUBSTITUTE(SUBSTITUTE(N117:N121," ",""),"0",""),"-",""))+LEN(SUBSTITUTE(SUBSTITUTE(SUBSTITUTE(O117:O121," ",""),"0",""),"-","")))</f>
      </c>
      <c r="P123" s="14"/>
      <c r="Q123" s="18" t="str">
        <f>SUMPRODUCT(LEN(SUBSTITUTE(SUBSTITUTE(SUBSTITUTE(Q117:Q121," ",""),"0",""),"-",""))+LEN(SUBSTITUTE(SUBSTITUTE(SUBSTITUTE(R117:R121," ",""),"0",""),"-","")))</f>
      </c>
      <c r="R123" s="18" t="str">
        <f>SUMPRODUCT((UPPER(P117:P121)&lt;&gt;"X")*((LEN(SUBSTITUTE(SUBSTITUTE(SUBSTITUTE(Q117:Q121," ",""),"0",""),"-",""))+LEN(SUBSTITUTE(SUBSTITUTE(SUBSTITUTE(R117:R121," ",""),"0",""),"-","")))&gt;(LEN(SUBSTITUTE(SUBSTITUTE(SUBSTITUTE(N117:N121," ",""),"0",""),"-",""))+LEN(SUBSTITUTE(SUBSTITUTE(SUBSTITUTE(O117:O121," ",""),"0",""),"-",""))))*1)</f>
      </c>
      <c r="S123" s="14" t="str">
        <f>CONCATENATE("Pool R-1st ",'Pool Matches'!O134)</f>
      </c>
    </row>
    <row r="124">
      <c r="A124" s="14" t="s">
        <v>346</v>
      </c>
      <c r="B124" s="14"/>
      <c r="C124" s="14"/>
      <c r="D124" s="14"/>
      <c r="E124" s="14"/>
      <c r="F124" s="14"/>
      <c r="G124" s="14" t="s">
        <v>346</v>
      </c>
      <c r="M124" s="14" t="s">
        <v>346</v>
      </c>
      <c r="N124" s="14"/>
      <c r="O124" s="14"/>
      <c r="P124" s="14"/>
      <c r="Q124" s="14"/>
      <c r="R124" s="14"/>
      <c r="S124" s="14" t="s">
        <v>346</v>
      </c>
    </row>
    <row r="127">
      <c r="F127" t="s">
        <v>347</v>
      </c>
      <c r="G127" s="19"/>
      <c r="R127" t="s">
        <v>347</v>
      </c>
      <c r="S127" s="19"/>
    </row>
    <row r="128">
      <c r="F128" t="s">
        <v>348</v>
      </c>
      <c r="G128" s="19"/>
      <c r="R128" t="s">
        <v>348</v>
      </c>
      <c r="S128" s="19"/>
    </row>
    <row r="130">
      <c r="A130" s="13" t="s">
        <v>364</v>
      </c>
      <c r="B130" s="13"/>
      <c r="C130" s="13"/>
      <c r="D130" s="13"/>
      <c r="E130" s="13"/>
      <c r="F130" s="13"/>
      <c r="G130" s="13"/>
      <c r="M130" s="13" t="s">
        <v>365</v>
      </c>
      <c r="N130" s="13"/>
      <c r="O130" s="13"/>
      <c r="P130" s="13"/>
      <c r="Q130" s="13"/>
      <c r="R130" s="13"/>
      <c r="S130" s="13"/>
    </row>
    <row r="131">
      <c r="A131" s="17" t="s">
        <v>238</v>
      </c>
      <c r="D131" s="14" t="s">
        <v>239</v>
      </c>
      <c r="G131" s="16" t="s">
        <v>240</v>
      </c>
      <c r="M131" s="17" t="s">
        <v>238</v>
      </c>
      <c r="P131" s="14" t="s">
        <v>239</v>
      </c>
      <c r="S131" s="16" t="s">
        <v>240</v>
      </c>
    </row>
    <row r="132">
      <c r="A132" s="14" t="str">
        <f>CONCATENATE("Pool T-2nd ",'Pool Matches'!O219)</f>
      </c>
      <c r="B132" s="18"/>
      <c r="C132" s="18"/>
      <c r="D132" s="18"/>
      <c r="E132" s="18"/>
      <c r="F132" s="18"/>
      <c r="G132" s="14" t="str">
        <f>CONCATENATE("Pool S-1st ",'Pool Matches'!O176)</f>
      </c>
      <c r="M132" s="14" t="str">
        <f>CONCATENATE("Pool S-2nd ",'Pool Matches'!O177)</f>
      </c>
      <c r="N132" s="18"/>
      <c r="O132" s="18"/>
      <c r="P132" s="18"/>
      <c r="Q132" s="18"/>
      <c r="R132" s="18"/>
      <c r="S132" s="14" t="str">
        <f>CONCATENATE("Pool T-1st ",'Pool Matches'!O218)</f>
      </c>
    </row>
    <row r="133">
      <c r="A133" s="14">
        <v>1</v>
      </c>
      <c r="B133" s="18"/>
      <c r="C133" s="18"/>
      <c r="D133" s="18"/>
      <c r="E133" s="18"/>
      <c r="F133" s="18"/>
      <c r="G133" s="14">
        <v>1</v>
      </c>
      <c r="M133" s="14">
        <v>1</v>
      </c>
      <c r="N133" s="18"/>
      <c r="O133" s="18"/>
      <c r="P133" s="18"/>
      <c r="Q133" s="18"/>
      <c r="R133" s="18"/>
      <c r="S133" s="14">
        <v>1</v>
      </c>
    </row>
    <row r="134">
      <c r="A134" s="14">
        <v>2</v>
      </c>
      <c r="B134" s="18"/>
      <c r="C134" s="18"/>
      <c r="D134" s="18"/>
      <c r="E134" s="18"/>
      <c r="F134" s="18"/>
      <c r="G134" s="14">
        <v>2</v>
      </c>
      <c r="M134" s="14">
        <v>2</v>
      </c>
      <c r="N134" s="18"/>
      <c r="O134" s="18"/>
      <c r="P134" s="18"/>
      <c r="Q134" s="18"/>
      <c r="R134" s="18"/>
      <c r="S134" s="14">
        <v>2</v>
      </c>
    </row>
    <row r="135">
      <c r="A135" s="14">
        <v>3</v>
      </c>
      <c r="B135" s="18"/>
      <c r="C135" s="18"/>
      <c r="D135" s="18"/>
      <c r="E135" s="18"/>
      <c r="F135" s="18"/>
      <c r="G135" s="14">
        <v>3</v>
      </c>
      <c r="M135" s="14">
        <v>3</v>
      </c>
      <c r="N135" s="18"/>
      <c r="O135" s="18"/>
      <c r="P135" s="18"/>
      <c r="Q135" s="18"/>
      <c r="R135" s="18"/>
      <c r="S135" s="14">
        <v>3</v>
      </c>
    </row>
    <row r="136">
      <c r="A136" s="14">
        <v>4</v>
      </c>
      <c r="B136" s="18"/>
      <c r="C136" s="18"/>
      <c r="D136" s="18"/>
      <c r="E136" s="18"/>
      <c r="F136" s="18"/>
      <c r="G136" s="14">
        <v>4</v>
      </c>
      <c r="M136" s="14">
        <v>4</v>
      </c>
      <c r="N136" s="18"/>
      <c r="O136" s="18"/>
      <c r="P136" s="18"/>
      <c r="Q136" s="18"/>
      <c r="R136" s="18"/>
      <c r="S136" s="14">
        <v>4</v>
      </c>
    </row>
    <row r="137">
      <c r="A137" s="14">
        <v>5</v>
      </c>
      <c r="B137" s="18"/>
      <c r="C137" s="18"/>
      <c r="D137" s="18"/>
      <c r="E137" s="18"/>
      <c r="F137" s="18"/>
      <c r="G137" s="14">
        <v>5</v>
      </c>
      <c r="M137" s="14">
        <v>5</v>
      </c>
      <c r="N137" s="18"/>
      <c r="O137" s="18"/>
      <c r="P137" s="18"/>
      <c r="Q137" s="18"/>
      <c r="R137" s="18"/>
      <c r="S137" s="14">
        <v>5</v>
      </c>
    </row>
    <row r="139">
      <c r="A139" s="14" t="str">
        <f>CONCATENATE("Pool T-2nd ",'Pool Matches'!O219)</f>
      </c>
      <c r="B139" s="18" t="str">
        <f>SUMPRODUCT((UPPER(D133:D137)&lt;&gt;"X")*((LEN(SUBSTITUTE(SUBSTITUTE(SUBSTITUTE(B133:B137," ",""),"0",""),"-",""))+LEN(SUBSTITUTE(SUBSTITUTE(SUBSTITUTE(C133:C137," ",""),"0",""),"-","")))&gt;(LEN(SUBSTITUTE(SUBSTITUTE(SUBSTITUTE(E133:E137," ",""),"0",""),"-",""))+LEN(SUBSTITUTE(SUBSTITUTE(SUBSTITUTE(F133:F137," ",""),"0",""),"-",""))))*1)</f>
      </c>
      <c r="C139" s="18" t="str">
        <f>SUMPRODUCT(LEN(SUBSTITUTE(SUBSTITUTE(SUBSTITUTE(B133:B137," ",""),"0",""),"-",""))+LEN(SUBSTITUTE(SUBSTITUTE(SUBSTITUTE(C133:C137," ",""),"0",""),"-","")))</f>
      </c>
      <c r="D139" s="14"/>
      <c r="E139" s="18" t="str">
        <f>SUMPRODUCT(LEN(SUBSTITUTE(SUBSTITUTE(SUBSTITUTE(E133:E137," ",""),"0",""),"-",""))+LEN(SUBSTITUTE(SUBSTITUTE(SUBSTITUTE(F133:F137," ",""),"0",""),"-","")))</f>
      </c>
      <c r="F139" s="18" t="str">
        <f>SUMPRODUCT((UPPER(D133:D137)&lt;&gt;"X")*((LEN(SUBSTITUTE(SUBSTITUTE(SUBSTITUTE(E133:E137," ",""),"0",""),"-",""))+LEN(SUBSTITUTE(SUBSTITUTE(SUBSTITUTE(F133:F137," ",""),"0",""),"-","")))&gt;(LEN(SUBSTITUTE(SUBSTITUTE(SUBSTITUTE(B133:B137," ",""),"0",""),"-",""))+LEN(SUBSTITUTE(SUBSTITUTE(SUBSTITUTE(C133:C137," ",""),"0",""),"-",""))))*1)</f>
      </c>
      <c r="G139" s="14" t="str">
        <f>CONCATENATE("Pool S-1st ",'Pool Matches'!O176)</f>
      </c>
      <c r="M139" s="14" t="str">
        <f>CONCATENATE("Pool S-2nd ",'Pool Matches'!O177)</f>
      </c>
      <c r="N139" s="18" t="str">
        <f>SUMPRODUCT((UPPER(P133:P137)&lt;&gt;"X")*((LEN(SUBSTITUTE(SUBSTITUTE(SUBSTITUTE(N133:N137," ",""),"0",""),"-",""))+LEN(SUBSTITUTE(SUBSTITUTE(SUBSTITUTE(O133:O137," ",""),"0",""),"-","")))&gt;(LEN(SUBSTITUTE(SUBSTITUTE(SUBSTITUTE(Q133:Q137," ",""),"0",""),"-",""))+LEN(SUBSTITUTE(SUBSTITUTE(SUBSTITUTE(R133:R137," ",""),"0",""),"-",""))))*1)</f>
      </c>
      <c r="O139" s="18" t="str">
        <f>SUMPRODUCT(LEN(SUBSTITUTE(SUBSTITUTE(SUBSTITUTE(N133:N137," ",""),"0",""),"-",""))+LEN(SUBSTITUTE(SUBSTITUTE(SUBSTITUTE(O133:O137," ",""),"0",""),"-","")))</f>
      </c>
      <c r="P139" s="14"/>
      <c r="Q139" s="18" t="str">
        <f>SUMPRODUCT(LEN(SUBSTITUTE(SUBSTITUTE(SUBSTITUTE(Q133:Q137," ",""),"0",""),"-",""))+LEN(SUBSTITUTE(SUBSTITUTE(SUBSTITUTE(R133:R137," ",""),"0",""),"-","")))</f>
      </c>
      <c r="R139" s="18" t="str">
        <f>SUMPRODUCT((UPPER(P133:P137)&lt;&gt;"X")*((LEN(SUBSTITUTE(SUBSTITUTE(SUBSTITUTE(Q133:Q137," ",""),"0",""),"-",""))+LEN(SUBSTITUTE(SUBSTITUTE(SUBSTITUTE(R133:R137," ",""),"0",""),"-","")))&gt;(LEN(SUBSTITUTE(SUBSTITUTE(SUBSTITUTE(N133:N137," ",""),"0",""),"-",""))+LEN(SUBSTITUTE(SUBSTITUTE(SUBSTITUTE(O133:O137," ",""),"0",""),"-",""))))*1)</f>
      </c>
      <c r="S139" s="14" t="str">
        <f>CONCATENATE("Pool T-1st ",'Pool Matches'!O218)</f>
      </c>
    </row>
    <row r="140">
      <c r="A140" s="14" t="s">
        <v>346</v>
      </c>
      <c r="B140" s="14"/>
      <c r="C140" s="14"/>
      <c r="D140" s="14"/>
      <c r="E140" s="14"/>
      <c r="F140" s="14"/>
      <c r="G140" s="14" t="s">
        <v>346</v>
      </c>
      <c r="M140" s="14" t="s">
        <v>346</v>
      </c>
      <c r="N140" s="14"/>
      <c r="O140" s="14"/>
      <c r="P140" s="14"/>
      <c r="Q140" s="14"/>
      <c r="R140" s="14"/>
      <c r="S140" s="14" t="s">
        <v>346</v>
      </c>
    </row>
    <row r="143">
      <c r="F143" t="s">
        <v>347</v>
      </c>
      <c r="G143" s="19"/>
      <c r="R143" t="s">
        <v>347</v>
      </c>
      <c r="S143" s="19"/>
    </row>
    <row r="144">
      <c r="F144" t="s">
        <v>348</v>
      </c>
      <c r="G144" s="19"/>
      <c r="R144" t="s">
        <v>348</v>
      </c>
      <c r="S144" s="19"/>
    </row>
    <row r="146">
      <c r="A146" s="13" t="s">
        <v>366</v>
      </c>
      <c r="B146" s="13"/>
      <c r="C146" s="13"/>
      <c r="D146" s="13"/>
      <c r="E146" s="13"/>
      <c r="F146" s="13"/>
      <c r="G146" s="13"/>
      <c r="M146" s="13" t="s">
        <v>367</v>
      </c>
      <c r="N146" s="13"/>
      <c r="O146" s="13"/>
      <c r="P146" s="13"/>
      <c r="Q146" s="13"/>
      <c r="R146" s="13"/>
      <c r="S146" s="13"/>
    </row>
    <row r="147">
      <c r="A147" s="17" t="s">
        <v>238</v>
      </c>
      <c r="D147" s="14" t="s">
        <v>239</v>
      </c>
      <c r="G147" s="16" t="s">
        <v>240</v>
      </c>
      <c r="M147" s="17" t="s">
        <v>238</v>
      </c>
      <c r="P147" s="14" t="s">
        <v>239</v>
      </c>
      <c r="S147" s="16" t="s">
        <v>240</v>
      </c>
    </row>
    <row r="148">
      <c r="A148" s="14" t="str">
        <f>CONCATENATE("Pool V-2nd ",'Pool Matches'!O303)</f>
      </c>
      <c r="B148" s="18"/>
      <c r="C148" s="18"/>
      <c r="D148" s="18"/>
      <c r="E148" s="18"/>
      <c r="F148" s="18"/>
      <c r="G148" s="14" t="str">
        <f>CONCATENATE("Pool U-1st ",'Pool Matches'!O260)</f>
      </c>
      <c r="M148" s="14" t="str">
        <f>CONCATENATE("Pool U-2nd ",'Pool Matches'!O261)</f>
      </c>
      <c r="N148" s="18"/>
      <c r="O148" s="18"/>
      <c r="P148" s="18"/>
      <c r="Q148" s="18"/>
      <c r="R148" s="18"/>
      <c r="S148" s="14" t="str">
        <f>CONCATENATE("Pool V-1st ",'Pool Matches'!O302)</f>
      </c>
    </row>
    <row r="149">
      <c r="A149" s="14">
        <v>1</v>
      </c>
      <c r="B149" s="18"/>
      <c r="C149" s="18"/>
      <c r="D149" s="18"/>
      <c r="E149" s="18"/>
      <c r="F149" s="18"/>
      <c r="G149" s="14">
        <v>1</v>
      </c>
      <c r="M149" s="14">
        <v>1</v>
      </c>
      <c r="N149" s="18"/>
      <c r="O149" s="18"/>
      <c r="P149" s="18"/>
      <c r="Q149" s="18"/>
      <c r="R149" s="18"/>
      <c r="S149" s="14">
        <v>1</v>
      </c>
    </row>
    <row r="150">
      <c r="A150" s="14">
        <v>2</v>
      </c>
      <c r="B150" s="18"/>
      <c r="C150" s="18"/>
      <c r="D150" s="18"/>
      <c r="E150" s="18"/>
      <c r="F150" s="18"/>
      <c r="G150" s="14">
        <v>2</v>
      </c>
      <c r="M150" s="14">
        <v>2</v>
      </c>
      <c r="N150" s="18"/>
      <c r="O150" s="18"/>
      <c r="P150" s="18"/>
      <c r="Q150" s="18"/>
      <c r="R150" s="18"/>
      <c r="S150" s="14">
        <v>2</v>
      </c>
    </row>
    <row r="151">
      <c r="A151" s="14">
        <v>3</v>
      </c>
      <c r="B151" s="18"/>
      <c r="C151" s="18"/>
      <c r="D151" s="18"/>
      <c r="E151" s="18"/>
      <c r="F151" s="18"/>
      <c r="G151" s="14">
        <v>3</v>
      </c>
      <c r="M151" s="14">
        <v>3</v>
      </c>
      <c r="N151" s="18"/>
      <c r="O151" s="18"/>
      <c r="P151" s="18"/>
      <c r="Q151" s="18"/>
      <c r="R151" s="18"/>
      <c r="S151" s="14">
        <v>3</v>
      </c>
    </row>
    <row r="152">
      <c r="A152" s="14">
        <v>4</v>
      </c>
      <c r="B152" s="18"/>
      <c r="C152" s="18"/>
      <c r="D152" s="18"/>
      <c r="E152" s="18"/>
      <c r="F152" s="18"/>
      <c r="G152" s="14">
        <v>4</v>
      </c>
      <c r="M152" s="14">
        <v>4</v>
      </c>
      <c r="N152" s="18"/>
      <c r="O152" s="18"/>
      <c r="P152" s="18"/>
      <c r="Q152" s="18"/>
      <c r="R152" s="18"/>
      <c r="S152" s="14">
        <v>4</v>
      </c>
    </row>
    <row r="153">
      <c r="A153" s="14">
        <v>5</v>
      </c>
      <c r="B153" s="18"/>
      <c r="C153" s="18"/>
      <c r="D153" s="18"/>
      <c r="E153" s="18"/>
      <c r="F153" s="18"/>
      <c r="G153" s="14">
        <v>5</v>
      </c>
      <c r="M153" s="14">
        <v>5</v>
      </c>
      <c r="N153" s="18"/>
      <c r="O153" s="18"/>
      <c r="P153" s="18"/>
      <c r="Q153" s="18"/>
      <c r="R153" s="18"/>
      <c r="S153" s="14">
        <v>5</v>
      </c>
    </row>
    <row r="155">
      <c r="A155" s="14" t="str">
        <f>CONCATENATE("Pool V-2nd ",'Pool Matches'!O303)</f>
      </c>
      <c r="B155" s="18" t="str">
        <f>SUMPRODUCT((UPPER(D149:D153)&lt;&gt;"X")*((LEN(SUBSTITUTE(SUBSTITUTE(SUBSTITUTE(B149:B153," ",""),"0",""),"-",""))+LEN(SUBSTITUTE(SUBSTITUTE(SUBSTITUTE(C149:C153," ",""),"0",""),"-","")))&gt;(LEN(SUBSTITUTE(SUBSTITUTE(SUBSTITUTE(E149:E153," ",""),"0",""),"-",""))+LEN(SUBSTITUTE(SUBSTITUTE(SUBSTITUTE(F149:F153," ",""),"0",""),"-",""))))*1)</f>
      </c>
      <c r="C155" s="18" t="str">
        <f>SUMPRODUCT(LEN(SUBSTITUTE(SUBSTITUTE(SUBSTITUTE(B149:B153," ",""),"0",""),"-",""))+LEN(SUBSTITUTE(SUBSTITUTE(SUBSTITUTE(C149:C153," ",""),"0",""),"-","")))</f>
      </c>
      <c r="D155" s="14"/>
      <c r="E155" s="18" t="str">
        <f>SUMPRODUCT(LEN(SUBSTITUTE(SUBSTITUTE(SUBSTITUTE(E149:E153," ",""),"0",""),"-",""))+LEN(SUBSTITUTE(SUBSTITUTE(SUBSTITUTE(F149:F153," ",""),"0",""),"-","")))</f>
      </c>
      <c r="F155" s="18" t="str">
        <f>SUMPRODUCT((UPPER(D149:D153)&lt;&gt;"X")*((LEN(SUBSTITUTE(SUBSTITUTE(SUBSTITUTE(E149:E153," ",""),"0",""),"-",""))+LEN(SUBSTITUTE(SUBSTITUTE(SUBSTITUTE(F149:F153," ",""),"0",""),"-","")))&gt;(LEN(SUBSTITUTE(SUBSTITUTE(SUBSTITUTE(B149:B153," ",""),"0",""),"-",""))+LEN(SUBSTITUTE(SUBSTITUTE(SUBSTITUTE(C149:C153," ",""),"0",""),"-",""))))*1)</f>
      </c>
      <c r="G155" s="14" t="str">
        <f>CONCATENATE("Pool U-1st ",'Pool Matches'!O260)</f>
      </c>
      <c r="M155" s="14" t="str">
        <f>CONCATENATE("Pool U-2nd ",'Pool Matches'!O261)</f>
      </c>
      <c r="N155" s="18" t="str">
        <f>SUMPRODUCT((UPPER(P149:P153)&lt;&gt;"X")*((LEN(SUBSTITUTE(SUBSTITUTE(SUBSTITUTE(N149:N153," ",""),"0",""),"-",""))+LEN(SUBSTITUTE(SUBSTITUTE(SUBSTITUTE(O149:O153," ",""),"0",""),"-","")))&gt;(LEN(SUBSTITUTE(SUBSTITUTE(SUBSTITUTE(Q149:Q153," ",""),"0",""),"-",""))+LEN(SUBSTITUTE(SUBSTITUTE(SUBSTITUTE(R149:R153," ",""),"0",""),"-",""))))*1)</f>
      </c>
      <c r="O155" s="18" t="str">
        <f>SUMPRODUCT(LEN(SUBSTITUTE(SUBSTITUTE(SUBSTITUTE(N149:N153," ",""),"0",""),"-",""))+LEN(SUBSTITUTE(SUBSTITUTE(SUBSTITUTE(O149:O153," ",""),"0",""),"-","")))</f>
      </c>
      <c r="P155" s="14"/>
      <c r="Q155" s="18" t="str">
        <f>SUMPRODUCT(LEN(SUBSTITUTE(SUBSTITUTE(SUBSTITUTE(Q149:Q153," ",""),"0",""),"-",""))+LEN(SUBSTITUTE(SUBSTITUTE(SUBSTITUTE(R149:R153," ",""),"0",""),"-","")))</f>
      </c>
      <c r="R155" s="18" t="str">
        <f>SUMPRODUCT((UPPER(P149:P153)&lt;&gt;"X")*((LEN(SUBSTITUTE(SUBSTITUTE(SUBSTITUTE(Q149:Q153," ",""),"0",""),"-",""))+LEN(SUBSTITUTE(SUBSTITUTE(SUBSTITUTE(R149:R153," ",""),"0",""),"-","")))&gt;(LEN(SUBSTITUTE(SUBSTITUTE(SUBSTITUTE(N149:N153," ",""),"0",""),"-",""))+LEN(SUBSTITUTE(SUBSTITUTE(SUBSTITUTE(O149:O153," ",""),"0",""),"-",""))))*1)</f>
      </c>
      <c r="S155" s="14" t="str">
        <f>CONCATENATE("Pool V-1st ",'Pool Matches'!O302)</f>
      </c>
    </row>
    <row r="156">
      <c r="A156" s="14" t="s">
        <v>346</v>
      </c>
      <c r="B156" s="14"/>
      <c r="C156" s="14"/>
      <c r="D156" s="14"/>
      <c r="E156" s="14"/>
      <c r="F156" s="14"/>
      <c r="G156" s="14" t="s">
        <v>346</v>
      </c>
      <c r="M156" s="14" t="s">
        <v>346</v>
      </c>
      <c r="N156" s="14"/>
      <c r="O156" s="14"/>
      <c r="P156" s="14"/>
      <c r="Q156" s="14"/>
      <c r="R156" s="14"/>
      <c r="S156" s="14" t="s">
        <v>346</v>
      </c>
    </row>
    <row r="159">
      <c r="F159" t="s">
        <v>347</v>
      </c>
      <c r="G159" s="19"/>
      <c r="R159" t="s">
        <v>347</v>
      </c>
      <c r="S159" s="19"/>
    </row>
    <row r="160">
      <c r="F160" t="s">
        <v>348</v>
      </c>
      <c r="G160" s="19"/>
      <c r="R160" t="s">
        <v>348</v>
      </c>
      <c r="S160" s="19"/>
    </row>
    <row r="162">
      <c r="A162" s="13" t="s">
        <v>368</v>
      </c>
      <c r="B162" s="13"/>
      <c r="C162" s="13"/>
      <c r="D162" s="13"/>
      <c r="E162" s="13"/>
      <c r="F162" s="13"/>
      <c r="G162" s="13"/>
      <c r="M162" s="13" t="s">
        <v>369</v>
      </c>
      <c r="N162" s="13"/>
      <c r="O162" s="13"/>
      <c r="P162" s="13"/>
      <c r="Q162" s="13"/>
      <c r="R162" s="13"/>
      <c r="S162" s="13"/>
    </row>
    <row r="163">
      <c r="A163" s="17" t="s">
        <v>238</v>
      </c>
      <c r="D163" s="14" t="s">
        <v>239</v>
      </c>
      <c r="G163" s="16" t="s">
        <v>240</v>
      </c>
      <c r="M163" s="17" t="s">
        <v>238</v>
      </c>
      <c r="P163" s="14" t="s">
        <v>239</v>
      </c>
      <c r="S163" s="16" t="s">
        <v>240</v>
      </c>
    </row>
    <row r="164">
      <c r="A164" s="14" t="str">
        <f>CONCATENATE("Pool X-2nd ",'Pool Matches'!O387)</f>
      </c>
      <c r="B164" s="18"/>
      <c r="C164" s="18"/>
      <c r="D164" s="18"/>
      <c r="E164" s="18"/>
      <c r="F164" s="18"/>
      <c r="G164" s="14" t="str">
        <f>CONCATENATE("Pool W-1st ",'Pool Matches'!O344)</f>
      </c>
      <c r="M164" s="14" t="str">
        <f>CONCATENATE("Pool W-2nd ",'Pool Matches'!O345)</f>
      </c>
      <c r="N164" s="18"/>
      <c r="O164" s="18"/>
      <c r="P164" s="18"/>
      <c r="Q164" s="18"/>
      <c r="R164" s="18"/>
      <c r="S164" s="14" t="str">
        <f>CONCATENATE("Pool X-1st ",'Pool Matches'!O386)</f>
      </c>
    </row>
    <row r="165">
      <c r="A165" s="14">
        <v>1</v>
      </c>
      <c r="B165" s="18"/>
      <c r="C165" s="18"/>
      <c r="D165" s="18"/>
      <c r="E165" s="18"/>
      <c r="F165" s="18"/>
      <c r="G165" s="14">
        <v>1</v>
      </c>
      <c r="M165" s="14">
        <v>1</v>
      </c>
      <c r="N165" s="18"/>
      <c r="O165" s="18"/>
      <c r="P165" s="18"/>
      <c r="Q165" s="18"/>
      <c r="R165" s="18"/>
      <c r="S165" s="14">
        <v>1</v>
      </c>
    </row>
    <row r="166">
      <c r="A166" s="14">
        <v>2</v>
      </c>
      <c r="B166" s="18"/>
      <c r="C166" s="18"/>
      <c r="D166" s="18"/>
      <c r="E166" s="18"/>
      <c r="F166" s="18"/>
      <c r="G166" s="14">
        <v>2</v>
      </c>
      <c r="M166" s="14">
        <v>2</v>
      </c>
      <c r="N166" s="18"/>
      <c r="O166" s="18"/>
      <c r="P166" s="18"/>
      <c r="Q166" s="18"/>
      <c r="R166" s="18"/>
      <c r="S166" s="14">
        <v>2</v>
      </c>
    </row>
    <row r="167">
      <c r="A167" s="14">
        <v>3</v>
      </c>
      <c r="B167" s="18"/>
      <c r="C167" s="18"/>
      <c r="D167" s="18"/>
      <c r="E167" s="18"/>
      <c r="F167" s="18"/>
      <c r="G167" s="14">
        <v>3</v>
      </c>
      <c r="M167" s="14">
        <v>3</v>
      </c>
      <c r="N167" s="18"/>
      <c r="O167" s="18"/>
      <c r="P167" s="18"/>
      <c r="Q167" s="18"/>
      <c r="R167" s="18"/>
      <c r="S167" s="14">
        <v>3</v>
      </c>
    </row>
    <row r="168">
      <c r="A168" s="14">
        <v>4</v>
      </c>
      <c r="B168" s="18"/>
      <c r="C168" s="18"/>
      <c r="D168" s="18"/>
      <c r="E168" s="18"/>
      <c r="F168" s="18"/>
      <c r="G168" s="14">
        <v>4</v>
      </c>
      <c r="M168" s="14">
        <v>4</v>
      </c>
      <c r="N168" s="18"/>
      <c r="O168" s="18"/>
      <c r="P168" s="18"/>
      <c r="Q168" s="18"/>
      <c r="R168" s="18"/>
      <c r="S168" s="14">
        <v>4</v>
      </c>
    </row>
    <row r="169">
      <c r="A169" s="14">
        <v>5</v>
      </c>
      <c r="B169" s="18"/>
      <c r="C169" s="18"/>
      <c r="D169" s="18"/>
      <c r="E169" s="18"/>
      <c r="F169" s="18"/>
      <c r="G169" s="14">
        <v>5</v>
      </c>
      <c r="M169" s="14">
        <v>5</v>
      </c>
      <c r="N169" s="18"/>
      <c r="O169" s="18"/>
      <c r="P169" s="18"/>
      <c r="Q169" s="18"/>
      <c r="R169" s="18"/>
      <c r="S169" s="14">
        <v>5</v>
      </c>
    </row>
    <row r="171">
      <c r="A171" s="14" t="str">
        <f>CONCATENATE("Pool X-2nd ",'Pool Matches'!O387)</f>
      </c>
      <c r="B171" s="18" t="str">
        <f>SUMPRODUCT((UPPER(D165:D169)&lt;&gt;"X")*((LEN(SUBSTITUTE(SUBSTITUTE(SUBSTITUTE(B165:B169," ",""),"0",""),"-",""))+LEN(SUBSTITUTE(SUBSTITUTE(SUBSTITUTE(C165:C169," ",""),"0",""),"-","")))&gt;(LEN(SUBSTITUTE(SUBSTITUTE(SUBSTITUTE(E165:E169," ",""),"0",""),"-",""))+LEN(SUBSTITUTE(SUBSTITUTE(SUBSTITUTE(F165:F169," ",""),"0",""),"-",""))))*1)</f>
      </c>
      <c r="C171" s="18" t="str">
        <f>SUMPRODUCT(LEN(SUBSTITUTE(SUBSTITUTE(SUBSTITUTE(B165:B169," ",""),"0",""),"-",""))+LEN(SUBSTITUTE(SUBSTITUTE(SUBSTITUTE(C165:C169," ",""),"0",""),"-","")))</f>
      </c>
      <c r="D171" s="14"/>
      <c r="E171" s="18" t="str">
        <f>SUMPRODUCT(LEN(SUBSTITUTE(SUBSTITUTE(SUBSTITUTE(E165:E169," ",""),"0",""),"-",""))+LEN(SUBSTITUTE(SUBSTITUTE(SUBSTITUTE(F165:F169," ",""),"0",""),"-","")))</f>
      </c>
      <c r="F171" s="18" t="str">
        <f>SUMPRODUCT((UPPER(D165:D169)&lt;&gt;"X")*((LEN(SUBSTITUTE(SUBSTITUTE(SUBSTITUTE(E165:E169," ",""),"0",""),"-",""))+LEN(SUBSTITUTE(SUBSTITUTE(SUBSTITUTE(F165:F169," ",""),"0",""),"-","")))&gt;(LEN(SUBSTITUTE(SUBSTITUTE(SUBSTITUTE(B165:B169," ",""),"0",""),"-",""))+LEN(SUBSTITUTE(SUBSTITUTE(SUBSTITUTE(C165:C169," ",""),"0",""),"-",""))))*1)</f>
      </c>
      <c r="G171" s="14" t="str">
        <f>CONCATENATE("Pool W-1st ",'Pool Matches'!O344)</f>
      </c>
      <c r="M171" s="14" t="str">
        <f>CONCATENATE("Pool W-2nd ",'Pool Matches'!O345)</f>
      </c>
      <c r="N171" s="18" t="str">
        <f>SUMPRODUCT((UPPER(P165:P169)&lt;&gt;"X")*((LEN(SUBSTITUTE(SUBSTITUTE(SUBSTITUTE(N165:N169," ",""),"0",""),"-",""))+LEN(SUBSTITUTE(SUBSTITUTE(SUBSTITUTE(O165:O169," ",""),"0",""),"-","")))&gt;(LEN(SUBSTITUTE(SUBSTITUTE(SUBSTITUTE(Q165:Q169," ",""),"0",""),"-",""))+LEN(SUBSTITUTE(SUBSTITUTE(SUBSTITUTE(R165:R169," ",""),"0",""),"-",""))))*1)</f>
      </c>
      <c r="O171" s="18" t="str">
        <f>SUMPRODUCT(LEN(SUBSTITUTE(SUBSTITUTE(SUBSTITUTE(N165:N169," ",""),"0",""),"-",""))+LEN(SUBSTITUTE(SUBSTITUTE(SUBSTITUTE(O165:O169," ",""),"0",""),"-","")))</f>
      </c>
      <c r="P171" s="14"/>
      <c r="Q171" s="18" t="str">
        <f>SUMPRODUCT(LEN(SUBSTITUTE(SUBSTITUTE(SUBSTITUTE(Q165:Q169," ",""),"0",""),"-",""))+LEN(SUBSTITUTE(SUBSTITUTE(SUBSTITUTE(R165:R169," ",""),"0",""),"-","")))</f>
      </c>
      <c r="R171" s="18" t="str">
        <f>SUMPRODUCT((UPPER(P165:P169)&lt;&gt;"X")*((LEN(SUBSTITUTE(SUBSTITUTE(SUBSTITUTE(Q165:Q169," ",""),"0",""),"-",""))+LEN(SUBSTITUTE(SUBSTITUTE(SUBSTITUTE(R165:R169," ",""),"0",""),"-","")))&gt;(LEN(SUBSTITUTE(SUBSTITUTE(SUBSTITUTE(N165:N169," ",""),"0",""),"-",""))+LEN(SUBSTITUTE(SUBSTITUTE(SUBSTITUTE(O165:O169," ",""),"0",""),"-",""))))*1)</f>
      </c>
      <c r="S171" s="14" t="str">
        <f>CONCATENATE("Pool X-1st ",'Pool Matches'!O386)</f>
      </c>
    </row>
    <row r="172">
      <c r="A172" s="14" t="s">
        <v>346</v>
      </c>
      <c r="B172" s="14"/>
      <c r="C172" s="14"/>
      <c r="D172" s="14"/>
      <c r="E172" s="14"/>
      <c r="F172" s="14"/>
      <c r="G172" s="14" t="s">
        <v>346</v>
      </c>
      <c r="M172" s="14" t="s">
        <v>346</v>
      </c>
      <c r="N172" s="14"/>
      <c r="O172" s="14"/>
      <c r="P172" s="14"/>
      <c r="Q172" s="14"/>
      <c r="R172" s="14"/>
      <c r="S172" s="14" t="s">
        <v>346</v>
      </c>
    </row>
    <row r="175">
      <c r="F175" t="s">
        <v>347</v>
      </c>
      <c r="G175" s="19"/>
      <c r="R175" t="s">
        <v>347</v>
      </c>
      <c r="S175" s="19"/>
    </row>
    <row r="176">
      <c r="F176" t="s">
        <v>348</v>
      </c>
      <c r="G176" s="19"/>
      <c r="R176" t="s">
        <v>348</v>
      </c>
      <c r="S176" s="19"/>
    </row>
    <row r="178">
      <c r="A178" s="13" t="s">
        <v>370</v>
      </c>
      <c r="B178" s="13"/>
      <c r="C178" s="13"/>
      <c r="D178" s="13"/>
      <c r="E178" s="13"/>
      <c r="F178" s="13"/>
      <c r="G178" s="13"/>
      <c r="M178" s="13" t="s">
        <v>371</v>
      </c>
      <c r="N178" s="13"/>
      <c r="O178" s="13"/>
      <c r="P178" s="13"/>
      <c r="Q178" s="13"/>
      <c r="R178" s="13"/>
      <c r="S178" s="13"/>
    </row>
    <row r="179">
      <c r="A179" s="17" t="s">
        <v>238</v>
      </c>
      <c r="D179" s="14" t="s">
        <v>239</v>
      </c>
      <c r="G179" s="16" t="s">
        <v>240</v>
      </c>
      <c r="M179" s="17" t="s">
        <v>238</v>
      </c>
      <c r="P179" s="14" t="s">
        <v>239</v>
      </c>
      <c r="S179" s="16" t="s">
        <v>240</v>
      </c>
    </row>
    <row r="180">
      <c r="A180" s="14" t="str">
        <f>CONCATENATE("Pool Z-2nd ",'Pool Matches'!O471)</f>
      </c>
      <c r="B180" s="18"/>
      <c r="C180" s="18"/>
      <c r="D180" s="18"/>
      <c r="E180" s="18"/>
      <c r="F180" s="18"/>
      <c r="G180" s="14" t="str">
        <f>CONCATENATE("Pool Y-1st ",'Pool Matches'!O428)</f>
      </c>
      <c r="M180" s="14" t="str">
        <f>CONCATENATE("Pool Y-2nd ",'Pool Matches'!O429)</f>
      </c>
      <c r="N180" s="18"/>
      <c r="O180" s="18"/>
      <c r="P180" s="18"/>
      <c r="Q180" s="18"/>
      <c r="R180" s="18"/>
      <c r="S180" s="14" t="str">
        <f>CONCATENATE("Pool Z-1st ",'Pool Matches'!O470)</f>
      </c>
    </row>
    <row r="181">
      <c r="A181" s="14">
        <v>1</v>
      </c>
      <c r="B181" s="18"/>
      <c r="C181" s="18"/>
      <c r="D181" s="18"/>
      <c r="E181" s="18"/>
      <c r="F181" s="18"/>
      <c r="G181" s="14">
        <v>1</v>
      </c>
      <c r="M181" s="14">
        <v>1</v>
      </c>
      <c r="N181" s="18"/>
      <c r="O181" s="18"/>
      <c r="P181" s="18"/>
      <c r="Q181" s="18"/>
      <c r="R181" s="18"/>
      <c r="S181" s="14">
        <v>1</v>
      </c>
    </row>
    <row r="182">
      <c r="A182" s="14">
        <v>2</v>
      </c>
      <c r="B182" s="18"/>
      <c r="C182" s="18"/>
      <c r="D182" s="18"/>
      <c r="E182" s="18"/>
      <c r="F182" s="18"/>
      <c r="G182" s="14">
        <v>2</v>
      </c>
      <c r="M182" s="14">
        <v>2</v>
      </c>
      <c r="N182" s="18"/>
      <c r="O182" s="18"/>
      <c r="P182" s="18"/>
      <c r="Q182" s="18"/>
      <c r="R182" s="18"/>
      <c r="S182" s="14">
        <v>2</v>
      </c>
    </row>
    <row r="183">
      <c r="A183" s="14">
        <v>3</v>
      </c>
      <c r="B183" s="18"/>
      <c r="C183" s="18"/>
      <c r="D183" s="18"/>
      <c r="E183" s="18"/>
      <c r="F183" s="18"/>
      <c r="G183" s="14">
        <v>3</v>
      </c>
      <c r="M183" s="14">
        <v>3</v>
      </c>
      <c r="N183" s="18"/>
      <c r="O183" s="18"/>
      <c r="P183" s="18"/>
      <c r="Q183" s="18"/>
      <c r="R183" s="18"/>
      <c r="S183" s="14">
        <v>3</v>
      </c>
    </row>
    <row r="184">
      <c r="A184" s="14">
        <v>4</v>
      </c>
      <c r="B184" s="18"/>
      <c r="C184" s="18"/>
      <c r="D184" s="18"/>
      <c r="E184" s="18"/>
      <c r="F184" s="18"/>
      <c r="G184" s="14">
        <v>4</v>
      </c>
      <c r="M184" s="14">
        <v>4</v>
      </c>
      <c r="N184" s="18"/>
      <c r="O184" s="18"/>
      <c r="P184" s="18"/>
      <c r="Q184" s="18"/>
      <c r="R184" s="18"/>
      <c r="S184" s="14">
        <v>4</v>
      </c>
    </row>
    <row r="185">
      <c r="A185" s="14">
        <v>5</v>
      </c>
      <c r="B185" s="18"/>
      <c r="C185" s="18"/>
      <c r="D185" s="18"/>
      <c r="E185" s="18"/>
      <c r="F185" s="18"/>
      <c r="G185" s="14">
        <v>5</v>
      </c>
      <c r="M185" s="14">
        <v>5</v>
      </c>
      <c r="N185" s="18"/>
      <c r="O185" s="18"/>
      <c r="P185" s="18"/>
      <c r="Q185" s="18"/>
      <c r="R185" s="18"/>
      <c r="S185" s="14">
        <v>5</v>
      </c>
    </row>
    <row r="187">
      <c r="A187" s="14" t="str">
        <f>CONCATENATE("Pool Z-2nd ",'Pool Matches'!O471)</f>
      </c>
      <c r="B187" s="18" t="str">
        <f>SUMPRODUCT((UPPER(D181:D185)&lt;&gt;"X")*((LEN(SUBSTITUTE(SUBSTITUTE(SUBSTITUTE(B181:B185," ",""),"0",""),"-",""))+LEN(SUBSTITUTE(SUBSTITUTE(SUBSTITUTE(C181:C185," ",""),"0",""),"-","")))&gt;(LEN(SUBSTITUTE(SUBSTITUTE(SUBSTITUTE(E181:E185," ",""),"0",""),"-",""))+LEN(SUBSTITUTE(SUBSTITUTE(SUBSTITUTE(F181:F185," ",""),"0",""),"-",""))))*1)</f>
      </c>
      <c r="C187" s="18" t="str">
        <f>SUMPRODUCT(LEN(SUBSTITUTE(SUBSTITUTE(SUBSTITUTE(B181:B185," ",""),"0",""),"-",""))+LEN(SUBSTITUTE(SUBSTITUTE(SUBSTITUTE(C181:C185," ",""),"0",""),"-","")))</f>
      </c>
      <c r="D187" s="14"/>
      <c r="E187" s="18" t="str">
        <f>SUMPRODUCT(LEN(SUBSTITUTE(SUBSTITUTE(SUBSTITUTE(E181:E185," ",""),"0",""),"-",""))+LEN(SUBSTITUTE(SUBSTITUTE(SUBSTITUTE(F181:F185," ",""),"0",""),"-","")))</f>
      </c>
      <c r="F187" s="18" t="str">
        <f>SUMPRODUCT((UPPER(D181:D185)&lt;&gt;"X")*((LEN(SUBSTITUTE(SUBSTITUTE(SUBSTITUTE(E181:E185," ",""),"0",""),"-",""))+LEN(SUBSTITUTE(SUBSTITUTE(SUBSTITUTE(F181:F185," ",""),"0",""),"-","")))&gt;(LEN(SUBSTITUTE(SUBSTITUTE(SUBSTITUTE(B181:B185," ",""),"0",""),"-",""))+LEN(SUBSTITUTE(SUBSTITUTE(SUBSTITUTE(C181:C185," ",""),"0",""),"-",""))))*1)</f>
      </c>
      <c r="G187" s="14" t="str">
        <f>CONCATENATE("Pool Y-1st ",'Pool Matches'!O428)</f>
      </c>
      <c r="M187" s="14" t="str">
        <f>CONCATENATE("Pool Y-2nd ",'Pool Matches'!O429)</f>
      </c>
      <c r="N187" s="18" t="str">
        <f>SUMPRODUCT((UPPER(P181:P185)&lt;&gt;"X")*((LEN(SUBSTITUTE(SUBSTITUTE(SUBSTITUTE(N181:N185," ",""),"0",""),"-",""))+LEN(SUBSTITUTE(SUBSTITUTE(SUBSTITUTE(O181:O185," ",""),"0",""),"-","")))&gt;(LEN(SUBSTITUTE(SUBSTITUTE(SUBSTITUTE(Q181:Q185," ",""),"0",""),"-",""))+LEN(SUBSTITUTE(SUBSTITUTE(SUBSTITUTE(R181:R185," ",""),"0",""),"-",""))))*1)</f>
      </c>
      <c r="O187" s="18" t="str">
        <f>SUMPRODUCT(LEN(SUBSTITUTE(SUBSTITUTE(SUBSTITUTE(N181:N185," ",""),"0",""),"-",""))+LEN(SUBSTITUTE(SUBSTITUTE(SUBSTITUTE(O181:O185," ",""),"0",""),"-","")))</f>
      </c>
      <c r="P187" s="14"/>
      <c r="Q187" s="18" t="str">
        <f>SUMPRODUCT(LEN(SUBSTITUTE(SUBSTITUTE(SUBSTITUTE(Q181:Q185," ",""),"0",""),"-",""))+LEN(SUBSTITUTE(SUBSTITUTE(SUBSTITUTE(R181:R185," ",""),"0",""),"-","")))</f>
      </c>
      <c r="R187" s="18" t="str">
        <f>SUMPRODUCT((UPPER(P181:P185)&lt;&gt;"X")*((LEN(SUBSTITUTE(SUBSTITUTE(SUBSTITUTE(Q181:Q185," ",""),"0",""),"-",""))+LEN(SUBSTITUTE(SUBSTITUTE(SUBSTITUTE(R181:R185," ",""),"0",""),"-","")))&gt;(LEN(SUBSTITUTE(SUBSTITUTE(SUBSTITUTE(N181:N185," ",""),"0",""),"-",""))+LEN(SUBSTITUTE(SUBSTITUTE(SUBSTITUTE(O181:O185," ",""),"0",""),"-",""))))*1)</f>
      </c>
      <c r="S187" s="14" t="str">
        <f>CONCATENATE("Pool Z-1st ",'Pool Matches'!O470)</f>
      </c>
    </row>
    <row r="188">
      <c r="A188" s="14" t="s">
        <v>346</v>
      </c>
      <c r="B188" s="14"/>
      <c r="C188" s="14"/>
      <c r="D188" s="14"/>
      <c r="E188" s="14"/>
      <c r="F188" s="14"/>
      <c r="G188" s="14" t="s">
        <v>346</v>
      </c>
      <c r="M188" s="14" t="s">
        <v>346</v>
      </c>
      <c r="N188" s="14"/>
      <c r="O188" s="14"/>
      <c r="P188" s="14"/>
      <c r="Q188" s="14"/>
      <c r="R188" s="14"/>
      <c r="S188" s="14" t="s">
        <v>346</v>
      </c>
    </row>
    <row r="191">
      <c r="F191" t="s">
        <v>347</v>
      </c>
      <c r="G191" s="19"/>
      <c r="R191" t="s">
        <v>347</v>
      </c>
      <c r="S191" s="19"/>
    </row>
    <row r="192">
      <c r="F192" t="s">
        <v>348</v>
      </c>
      <c r="G192" s="19"/>
      <c r="R192" t="s">
        <v>348</v>
      </c>
      <c r="S192" s="19"/>
    </row>
    <row r="194">
      <c r="A194" s="13" t="s">
        <v>372</v>
      </c>
      <c r="B194" s="13"/>
      <c r="C194" s="13"/>
      <c r="D194" s="13"/>
      <c r="E194" s="13"/>
      <c r="F194" s="13"/>
      <c r="G194" s="13"/>
      <c r="M194" s="13" t="s">
        <v>373</v>
      </c>
      <c r="N194" s="13"/>
      <c r="O194" s="13"/>
      <c r="P194" s="13"/>
      <c r="Q194" s="13"/>
      <c r="R194" s="13"/>
      <c r="S194" s="13"/>
    </row>
    <row r="195">
      <c r="A195" s="17" t="s">
        <v>238</v>
      </c>
      <c r="D195" s="14" t="s">
        <v>239</v>
      </c>
      <c r="G195" s="16" t="s">
        <v>240</v>
      </c>
      <c r="M195" s="17" t="s">
        <v>238</v>
      </c>
      <c r="P195" s="14" t="s">
        <v>239</v>
      </c>
      <c r="S195" s="16" t="s">
        <v>240</v>
      </c>
    </row>
    <row r="196">
      <c r="A196" s="14" t="str">
        <f>CONCATENATE("Pool BB-2nd ",'Pool Matches'!O555)</f>
      </c>
      <c r="B196" s="18"/>
      <c r="C196" s="18"/>
      <c r="D196" s="18"/>
      <c r="E196" s="18"/>
      <c r="F196" s="18"/>
      <c r="G196" s="14" t="str">
        <f>CONCATENATE("Pool AA-1st ",'Pool Matches'!O512)</f>
      </c>
      <c r="M196" s="14" t="str">
        <f>CONCATENATE("Pool AA-2nd ",'Pool Matches'!O513)</f>
      </c>
      <c r="N196" s="18"/>
      <c r="O196" s="18"/>
      <c r="P196" s="18"/>
      <c r="Q196" s="18"/>
      <c r="R196" s="18"/>
      <c r="S196" s="14" t="str">
        <f>CONCATENATE("Pool BB-1st ",'Pool Matches'!O554)</f>
      </c>
    </row>
    <row r="197">
      <c r="A197" s="14">
        <v>1</v>
      </c>
      <c r="B197" s="18"/>
      <c r="C197" s="18"/>
      <c r="D197" s="18"/>
      <c r="E197" s="18"/>
      <c r="F197" s="18"/>
      <c r="G197" s="14">
        <v>1</v>
      </c>
      <c r="M197" s="14">
        <v>1</v>
      </c>
      <c r="N197" s="18"/>
      <c r="O197" s="18"/>
      <c r="P197" s="18"/>
      <c r="Q197" s="18"/>
      <c r="R197" s="18"/>
      <c r="S197" s="14">
        <v>1</v>
      </c>
    </row>
    <row r="198">
      <c r="A198" s="14">
        <v>2</v>
      </c>
      <c r="B198" s="18"/>
      <c r="C198" s="18"/>
      <c r="D198" s="18"/>
      <c r="E198" s="18"/>
      <c r="F198" s="18"/>
      <c r="G198" s="14">
        <v>2</v>
      </c>
      <c r="M198" s="14">
        <v>2</v>
      </c>
      <c r="N198" s="18"/>
      <c r="O198" s="18"/>
      <c r="P198" s="18"/>
      <c r="Q198" s="18"/>
      <c r="R198" s="18"/>
      <c r="S198" s="14">
        <v>2</v>
      </c>
    </row>
    <row r="199">
      <c r="A199" s="14">
        <v>3</v>
      </c>
      <c r="B199" s="18"/>
      <c r="C199" s="18"/>
      <c r="D199" s="18"/>
      <c r="E199" s="18"/>
      <c r="F199" s="18"/>
      <c r="G199" s="14">
        <v>3</v>
      </c>
      <c r="M199" s="14">
        <v>3</v>
      </c>
      <c r="N199" s="18"/>
      <c r="O199" s="18"/>
      <c r="P199" s="18"/>
      <c r="Q199" s="18"/>
      <c r="R199" s="18"/>
      <c r="S199" s="14">
        <v>3</v>
      </c>
    </row>
    <row r="200">
      <c r="A200" s="14">
        <v>4</v>
      </c>
      <c r="B200" s="18"/>
      <c r="C200" s="18"/>
      <c r="D200" s="18"/>
      <c r="E200" s="18"/>
      <c r="F200" s="18"/>
      <c r="G200" s="14">
        <v>4</v>
      </c>
      <c r="M200" s="14">
        <v>4</v>
      </c>
      <c r="N200" s="18"/>
      <c r="O200" s="18"/>
      <c r="P200" s="18"/>
      <c r="Q200" s="18"/>
      <c r="R200" s="18"/>
      <c r="S200" s="14">
        <v>4</v>
      </c>
    </row>
    <row r="201">
      <c r="A201" s="14">
        <v>5</v>
      </c>
      <c r="B201" s="18"/>
      <c r="C201" s="18"/>
      <c r="D201" s="18"/>
      <c r="E201" s="18"/>
      <c r="F201" s="18"/>
      <c r="G201" s="14">
        <v>5</v>
      </c>
      <c r="M201" s="14">
        <v>5</v>
      </c>
      <c r="N201" s="18"/>
      <c r="O201" s="18"/>
      <c r="P201" s="18"/>
      <c r="Q201" s="18"/>
      <c r="R201" s="18"/>
      <c r="S201" s="14">
        <v>5</v>
      </c>
    </row>
    <row r="203">
      <c r="A203" s="14" t="str">
        <f>CONCATENATE("Pool BB-2nd ",'Pool Matches'!O555)</f>
      </c>
      <c r="B203" s="18" t="str">
        <f>SUMPRODUCT((UPPER(D197:D201)&lt;&gt;"X")*((LEN(SUBSTITUTE(SUBSTITUTE(SUBSTITUTE(B197:B201," ",""),"0",""),"-",""))+LEN(SUBSTITUTE(SUBSTITUTE(SUBSTITUTE(C197:C201," ",""),"0",""),"-","")))&gt;(LEN(SUBSTITUTE(SUBSTITUTE(SUBSTITUTE(E197:E201," ",""),"0",""),"-",""))+LEN(SUBSTITUTE(SUBSTITUTE(SUBSTITUTE(F197:F201," ",""),"0",""),"-",""))))*1)</f>
      </c>
      <c r="C203" s="18" t="str">
        <f>SUMPRODUCT(LEN(SUBSTITUTE(SUBSTITUTE(SUBSTITUTE(B197:B201," ",""),"0",""),"-",""))+LEN(SUBSTITUTE(SUBSTITUTE(SUBSTITUTE(C197:C201," ",""),"0",""),"-","")))</f>
      </c>
      <c r="D203" s="14"/>
      <c r="E203" s="18" t="str">
        <f>SUMPRODUCT(LEN(SUBSTITUTE(SUBSTITUTE(SUBSTITUTE(E197:E201," ",""),"0",""),"-",""))+LEN(SUBSTITUTE(SUBSTITUTE(SUBSTITUTE(F197:F201," ",""),"0",""),"-","")))</f>
      </c>
      <c r="F203" s="18" t="str">
        <f>SUMPRODUCT((UPPER(D197:D201)&lt;&gt;"X")*((LEN(SUBSTITUTE(SUBSTITUTE(SUBSTITUTE(E197:E201," ",""),"0",""),"-",""))+LEN(SUBSTITUTE(SUBSTITUTE(SUBSTITUTE(F197:F201," ",""),"0",""),"-","")))&gt;(LEN(SUBSTITUTE(SUBSTITUTE(SUBSTITUTE(B197:B201," ",""),"0",""),"-",""))+LEN(SUBSTITUTE(SUBSTITUTE(SUBSTITUTE(C197:C201," ",""),"0",""),"-",""))))*1)</f>
      </c>
      <c r="G203" s="14" t="str">
        <f>CONCATENATE("Pool AA-1st ",'Pool Matches'!O512)</f>
      </c>
      <c r="M203" s="14" t="str">
        <f>CONCATENATE("Pool AA-2nd ",'Pool Matches'!O513)</f>
      </c>
      <c r="N203" s="18" t="str">
        <f>SUMPRODUCT((UPPER(P197:P201)&lt;&gt;"X")*((LEN(SUBSTITUTE(SUBSTITUTE(SUBSTITUTE(N197:N201," ",""),"0",""),"-",""))+LEN(SUBSTITUTE(SUBSTITUTE(SUBSTITUTE(O197:O201," ",""),"0",""),"-","")))&gt;(LEN(SUBSTITUTE(SUBSTITUTE(SUBSTITUTE(Q197:Q201," ",""),"0",""),"-",""))+LEN(SUBSTITUTE(SUBSTITUTE(SUBSTITUTE(R197:R201," ",""),"0",""),"-",""))))*1)</f>
      </c>
      <c r="O203" s="18" t="str">
        <f>SUMPRODUCT(LEN(SUBSTITUTE(SUBSTITUTE(SUBSTITUTE(N197:N201," ",""),"0",""),"-",""))+LEN(SUBSTITUTE(SUBSTITUTE(SUBSTITUTE(O197:O201," ",""),"0",""),"-","")))</f>
      </c>
      <c r="P203" s="14"/>
      <c r="Q203" s="18" t="str">
        <f>SUMPRODUCT(LEN(SUBSTITUTE(SUBSTITUTE(SUBSTITUTE(Q197:Q201," ",""),"0",""),"-",""))+LEN(SUBSTITUTE(SUBSTITUTE(SUBSTITUTE(R197:R201," ",""),"0",""),"-","")))</f>
      </c>
      <c r="R203" s="18" t="str">
        <f>SUMPRODUCT((UPPER(P197:P201)&lt;&gt;"X")*((LEN(SUBSTITUTE(SUBSTITUTE(SUBSTITUTE(Q197:Q201," ",""),"0",""),"-",""))+LEN(SUBSTITUTE(SUBSTITUTE(SUBSTITUTE(R197:R201," ",""),"0",""),"-","")))&gt;(LEN(SUBSTITUTE(SUBSTITUTE(SUBSTITUTE(N197:N201," ",""),"0",""),"-",""))+LEN(SUBSTITUTE(SUBSTITUTE(SUBSTITUTE(O197:O201," ",""),"0",""),"-",""))))*1)</f>
      </c>
      <c r="S203" s="14" t="str">
        <f>CONCATENATE("Pool BB-1st ",'Pool Matches'!O554)</f>
      </c>
    </row>
    <row r="204">
      <c r="A204" s="14" t="s">
        <v>346</v>
      </c>
      <c r="B204" s="14"/>
      <c r="C204" s="14"/>
      <c r="D204" s="14"/>
      <c r="E204" s="14"/>
      <c r="F204" s="14"/>
      <c r="G204" s="14" t="s">
        <v>346</v>
      </c>
      <c r="M204" s="14" t="s">
        <v>346</v>
      </c>
      <c r="N204" s="14"/>
      <c r="O204" s="14"/>
      <c r="P204" s="14"/>
      <c r="Q204" s="14"/>
      <c r="R204" s="14"/>
      <c r="S204" s="14" t="s">
        <v>346</v>
      </c>
    </row>
    <row r="207">
      <c r="F207" t="s">
        <v>347</v>
      </c>
      <c r="G207" s="19"/>
      <c r="R207" t="s">
        <v>347</v>
      </c>
      <c r="S207" s="19"/>
    </row>
    <row r="208">
      <c r="F208" t="s">
        <v>348</v>
      </c>
      <c r="G208" s="19"/>
      <c r="R208" t="s">
        <v>348</v>
      </c>
      <c r="S208" s="19"/>
    </row>
    <row r="210">
      <c r="A210" s="13" t="s">
        <v>374</v>
      </c>
      <c r="B210" s="13"/>
      <c r="C210" s="13"/>
      <c r="D210" s="13"/>
      <c r="E210" s="13"/>
      <c r="F210" s="13"/>
      <c r="G210" s="13"/>
      <c r="M210" s="13" t="s">
        <v>375</v>
      </c>
      <c r="N210" s="13"/>
      <c r="O210" s="13"/>
      <c r="P210" s="13"/>
      <c r="Q210" s="13"/>
      <c r="R210" s="13"/>
      <c r="S210" s="13"/>
    </row>
    <row r="211">
      <c r="A211" s="17" t="s">
        <v>238</v>
      </c>
      <c r="D211" s="14" t="s">
        <v>239</v>
      </c>
      <c r="G211" s="16" t="s">
        <v>240</v>
      </c>
      <c r="M211" s="17" t="s">
        <v>238</v>
      </c>
      <c r="P211" s="14" t="s">
        <v>239</v>
      </c>
      <c r="S211" s="16" t="s">
        <v>240</v>
      </c>
    </row>
    <row r="212">
      <c r="A212" s="14" t="str">
        <f>CONCATENATE("Pool DD-2nd ",'Pool Matches'!O639)</f>
      </c>
      <c r="B212" s="18"/>
      <c r="C212" s="18"/>
      <c r="D212" s="18"/>
      <c r="E212" s="18"/>
      <c r="F212" s="18"/>
      <c r="G212" s="14" t="str">
        <f>CONCATENATE("Pool CC-1st ",'Pool Matches'!O596)</f>
      </c>
      <c r="M212" s="14" t="str">
        <f>CONCATENATE("Pool CC-2nd ",'Pool Matches'!O597)</f>
      </c>
      <c r="N212" s="18"/>
      <c r="O212" s="18"/>
      <c r="P212" s="18"/>
      <c r="Q212" s="18"/>
      <c r="R212" s="18"/>
      <c r="S212" s="14" t="str">
        <f>CONCATENATE("Pool DD-1st ",'Pool Matches'!O638)</f>
      </c>
    </row>
    <row r="213">
      <c r="A213" s="14">
        <v>1</v>
      </c>
      <c r="B213" s="18"/>
      <c r="C213" s="18"/>
      <c r="D213" s="18"/>
      <c r="E213" s="18"/>
      <c r="F213" s="18"/>
      <c r="G213" s="14">
        <v>1</v>
      </c>
      <c r="M213" s="14">
        <v>1</v>
      </c>
      <c r="N213" s="18"/>
      <c r="O213" s="18"/>
      <c r="P213" s="18"/>
      <c r="Q213" s="18"/>
      <c r="R213" s="18"/>
      <c r="S213" s="14">
        <v>1</v>
      </c>
    </row>
    <row r="214">
      <c r="A214" s="14">
        <v>2</v>
      </c>
      <c r="B214" s="18"/>
      <c r="C214" s="18"/>
      <c r="D214" s="18"/>
      <c r="E214" s="18"/>
      <c r="F214" s="18"/>
      <c r="G214" s="14">
        <v>2</v>
      </c>
      <c r="M214" s="14">
        <v>2</v>
      </c>
      <c r="N214" s="18"/>
      <c r="O214" s="18"/>
      <c r="P214" s="18"/>
      <c r="Q214" s="18"/>
      <c r="R214" s="18"/>
      <c r="S214" s="14">
        <v>2</v>
      </c>
    </row>
    <row r="215">
      <c r="A215" s="14">
        <v>3</v>
      </c>
      <c r="B215" s="18"/>
      <c r="C215" s="18"/>
      <c r="D215" s="18"/>
      <c r="E215" s="18"/>
      <c r="F215" s="18"/>
      <c r="G215" s="14">
        <v>3</v>
      </c>
      <c r="M215" s="14">
        <v>3</v>
      </c>
      <c r="N215" s="18"/>
      <c r="O215" s="18"/>
      <c r="P215" s="18"/>
      <c r="Q215" s="18"/>
      <c r="R215" s="18"/>
      <c r="S215" s="14">
        <v>3</v>
      </c>
    </row>
    <row r="216">
      <c r="A216" s="14">
        <v>4</v>
      </c>
      <c r="B216" s="18"/>
      <c r="C216" s="18"/>
      <c r="D216" s="18"/>
      <c r="E216" s="18"/>
      <c r="F216" s="18"/>
      <c r="G216" s="14">
        <v>4</v>
      </c>
      <c r="M216" s="14">
        <v>4</v>
      </c>
      <c r="N216" s="18"/>
      <c r="O216" s="18"/>
      <c r="P216" s="18"/>
      <c r="Q216" s="18"/>
      <c r="R216" s="18"/>
      <c r="S216" s="14">
        <v>4</v>
      </c>
    </row>
    <row r="217">
      <c r="A217" s="14">
        <v>5</v>
      </c>
      <c r="B217" s="18"/>
      <c r="C217" s="18"/>
      <c r="D217" s="18"/>
      <c r="E217" s="18"/>
      <c r="F217" s="18"/>
      <c r="G217" s="14">
        <v>5</v>
      </c>
      <c r="M217" s="14">
        <v>5</v>
      </c>
      <c r="N217" s="18"/>
      <c r="O217" s="18"/>
      <c r="P217" s="18"/>
      <c r="Q217" s="18"/>
      <c r="R217" s="18"/>
      <c r="S217" s="14">
        <v>5</v>
      </c>
    </row>
    <row r="219">
      <c r="A219" s="14" t="str">
        <f>CONCATENATE("Pool DD-2nd ",'Pool Matches'!O639)</f>
      </c>
      <c r="B219" s="18" t="str">
        <f>SUMPRODUCT((UPPER(D213:D217)&lt;&gt;"X")*((LEN(SUBSTITUTE(SUBSTITUTE(SUBSTITUTE(B213:B217," ",""),"0",""),"-",""))+LEN(SUBSTITUTE(SUBSTITUTE(SUBSTITUTE(C213:C217," ",""),"0",""),"-","")))&gt;(LEN(SUBSTITUTE(SUBSTITUTE(SUBSTITUTE(E213:E217," ",""),"0",""),"-",""))+LEN(SUBSTITUTE(SUBSTITUTE(SUBSTITUTE(F213:F217," ",""),"0",""),"-",""))))*1)</f>
      </c>
      <c r="C219" s="18" t="str">
        <f>SUMPRODUCT(LEN(SUBSTITUTE(SUBSTITUTE(SUBSTITUTE(B213:B217," ",""),"0",""),"-",""))+LEN(SUBSTITUTE(SUBSTITUTE(SUBSTITUTE(C213:C217," ",""),"0",""),"-","")))</f>
      </c>
      <c r="D219" s="14"/>
      <c r="E219" s="18" t="str">
        <f>SUMPRODUCT(LEN(SUBSTITUTE(SUBSTITUTE(SUBSTITUTE(E213:E217," ",""),"0",""),"-",""))+LEN(SUBSTITUTE(SUBSTITUTE(SUBSTITUTE(F213:F217," ",""),"0",""),"-","")))</f>
      </c>
      <c r="F219" s="18" t="str">
        <f>SUMPRODUCT((UPPER(D213:D217)&lt;&gt;"X")*((LEN(SUBSTITUTE(SUBSTITUTE(SUBSTITUTE(E213:E217," ",""),"0",""),"-",""))+LEN(SUBSTITUTE(SUBSTITUTE(SUBSTITUTE(F213:F217," ",""),"0",""),"-","")))&gt;(LEN(SUBSTITUTE(SUBSTITUTE(SUBSTITUTE(B213:B217," ",""),"0",""),"-",""))+LEN(SUBSTITUTE(SUBSTITUTE(SUBSTITUTE(C213:C217," ",""),"0",""),"-",""))))*1)</f>
      </c>
      <c r="G219" s="14" t="str">
        <f>CONCATENATE("Pool CC-1st ",'Pool Matches'!O596)</f>
      </c>
      <c r="M219" s="14" t="str">
        <f>CONCATENATE("Pool CC-2nd ",'Pool Matches'!O597)</f>
      </c>
      <c r="N219" s="18" t="str">
        <f>SUMPRODUCT((UPPER(P213:P217)&lt;&gt;"X")*((LEN(SUBSTITUTE(SUBSTITUTE(SUBSTITUTE(N213:N217," ",""),"0",""),"-",""))+LEN(SUBSTITUTE(SUBSTITUTE(SUBSTITUTE(O213:O217," ",""),"0",""),"-","")))&gt;(LEN(SUBSTITUTE(SUBSTITUTE(SUBSTITUTE(Q213:Q217," ",""),"0",""),"-",""))+LEN(SUBSTITUTE(SUBSTITUTE(SUBSTITUTE(R213:R217," ",""),"0",""),"-",""))))*1)</f>
      </c>
      <c r="O219" s="18" t="str">
        <f>SUMPRODUCT(LEN(SUBSTITUTE(SUBSTITUTE(SUBSTITUTE(N213:N217," ",""),"0",""),"-",""))+LEN(SUBSTITUTE(SUBSTITUTE(SUBSTITUTE(O213:O217," ",""),"0",""),"-","")))</f>
      </c>
      <c r="P219" s="14"/>
      <c r="Q219" s="18" t="str">
        <f>SUMPRODUCT(LEN(SUBSTITUTE(SUBSTITUTE(SUBSTITUTE(Q213:Q217," ",""),"0",""),"-",""))+LEN(SUBSTITUTE(SUBSTITUTE(SUBSTITUTE(R213:R217," ",""),"0",""),"-","")))</f>
      </c>
      <c r="R219" s="18" t="str">
        <f>SUMPRODUCT((UPPER(P213:P217)&lt;&gt;"X")*((LEN(SUBSTITUTE(SUBSTITUTE(SUBSTITUTE(Q213:Q217," ",""),"0",""),"-",""))+LEN(SUBSTITUTE(SUBSTITUTE(SUBSTITUTE(R213:R217," ",""),"0",""),"-","")))&gt;(LEN(SUBSTITUTE(SUBSTITUTE(SUBSTITUTE(N213:N217," ",""),"0",""),"-",""))+LEN(SUBSTITUTE(SUBSTITUTE(SUBSTITUTE(O213:O217," ",""),"0",""),"-",""))))*1)</f>
      </c>
      <c r="S219" s="14" t="str">
        <f>CONCATENATE("Pool DD-1st ",'Pool Matches'!O638)</f>
      </c>
    </row>
    <row r="220">
      <c r="A220" s="14" t="s">
        <v>346</v>
      </c>
      <c r="B220" s="14"/>
      <c r="C220" s="14"/>
      <c r="D220" s="14"/>
      <c r="E220" s="14"/>
      <c r="F220" s="14"/>
      <c r="G220" s="14" t="s">
        <v>346</v>
      </c>
      <c r="M220" s="14" t="s">
        <v>346</v>
      </c>
      <c r="N220" s="14"/>
      <c r="O220" s="14"/>
      <c r="P220" s="14"/>
      <c r="Q220" s="14"/>
      <c r="R220" s="14"/>
      <c r="S220" s="14" t="s">
        <v>346</v>
      </c>
    </row>
    <row r="223">
      <c r="F223" t="s">
        <v>347</v>
      </c>
      <c r="G223" s="19"/>
      <c r="R223" t="s">
        <v>347</v>
      </c>
      <c r="S223" s="19"/>
    </row>
    <row r="224">
      <c r="F224" t="s">
        <v>348</v>
      </c>
      <c r="G224" s="19"/>
      <c r="R224" t="s">
        <v>348</v>
      </c>
      <c r="S224" s="19"/>
    </row>
    <row r="231">
      <c r="A231" s="13" t="s">
        <v>376</v>
      </c>
      <c r="B231" s="13"/>
      <c r="C231" s="13"/>
      <c r="D231" s="13"/>
      <c r="E231" s="13"/>
      <c r="F231" s="13"/>
      <c r="G231" s="13"/>
      <c r="M231" s="13" t="s">
        <v>377</v>
      </c>
      <c r="N231" s="13"/>
      <c r="O231" s="13"/>
      <c r="P231" s="13"/>
      <c r="Q231" s="13"/>
      <c r="R231" s="13"/>
      <c r="S231" s="13"/>
    </row>
    <row r="232">
      <c r="A232" s="17" t="s">
        <v>238</v>
      </c>
      <c r="D232" s="14" t="s">
        <v>239</v>
      </c>
      <c r="G232" s="16" t="s">
        <v>240</v>
      </c>
      <c r="M232" s="17" t="s">
        <v>238</v>
      </c>
      <c r="P232" s="14" t="s">
        <v>239</v>
      </c>
      <c r="S232" s="16" t="s">
        <v>240</v>
      </c>
    </row>
    <row r="233">
      <c r="A233" s="14" t="str">
        <f>CONCATENATE("M 1 ",G15)</f>
      </c>
      <c r="B233" s="18"/>
      <c r="C233" s="18"/>
      <c r="D233" s="18"/>
      <c r="E233" s="18"/>
      <c r="F233" s="18"/>
      <c r="G233" s="14" t="str">
        <f>CONCATENATE("Pool A-1st ",'Pool Matches'!G50)</f>
      </c>
      <c r="M233" s="14" t="str">
        <f>CONCATENATE("M 15 ",S15)</f>
      </c>
      <c r="N233" s="18"/>
      <c r="O233" s="18"/>
      <c r="P233" s="18"/>
      <c r="Q233" s="18"/>
      <c r="R233" s="18"/>
      <c r="S233" s="14" t="str">
        <f>CONCATENATE("Pool B-1st ",'Pool Matches'!G92)</f>
      </c>
    </row>
    <row r="234">
      <c r="A234" s="14">
        <v>1</v>
      </c>
      <c r="B234" s="18"/>
      <c r="C234" s="18"/>
      <c r="D234" s="18"/>
      <c r="E234" s="18"/>
      <c r="F234" s="18"/>
      <c r="G234" s="14">
        <v>1</v>
      </c>
      <c r="M234" s="14">
        <v>1</v>
      </c>
      <c r="N234" s="18"/>
      <c r="O234" s="18"/>
      <c r="P234" s="18"/>
      <c r="Q234" s="18"/>
      <c r="R234" s="18"/>
      <c r="S234" s="14">
        <v>1</v>
      </c>
    </row>
    <row r="235">
      <c r="A235" s="14">
        <v>2</v>
      </c>
      <c r="B235" s="18"/>
      <c r="C235" s="18"/>
      <c r="D235" s="18"/>
      <c r="E235" s="18"/>
      <c r="F235" s="18"/>
      <c r="G235" s="14">
        <v>2</v>
      </c>
      <c r="M235" s="14">
        <v>2</v>
      </c>
      <c r="N235" s="18"/>
      <c r="O235" s="18"/>
      <c r="P235" s="18"/>
      <c r="Q235" s="18"/>
      <c r="R235" s="18"/>
      <c r="S235" s="14">
        <v>2</v>
      </c>
    </row>
    <row r="236">
      <c r="A236" s="14">
        <v>3</v>
      </c>
      <c r="B236" s="18"/>
      <c r="C236" s="18"/>
      <c r="D236" s="18"/>
      <c r="E236" s="18"/>
      <c r="F236" s="18"/>
      <c r="G236" s="14">
        <v>3</v>
      </c>
      <c r="M236" s="14">
        <v>3</v>
      </c>
      <c r="N236" s="18"/>
      <c r="O236" s="18"/>
      <c r="P236" s="18"/>
      <c r="Q236" s="18"/>
      <c r="R236" s="18"/>
      <c r="S236" s="14">
        <v>3</v>
      </c>
    </row>
    <row r="237">
      <c r="A237" s="14">
        <v>4</v>
      </c>
      <c r="B237" s="18"/>
      <c r="C237" s="18"/>
      <c r="D237" s="18"/>
      <c r="E237" s="18"/>
      <c r="F237" s="18"/>
      <c r="G237" s="14">
        <v>4</v>
      </c>
      <c r="M237" s="14">
        <v>4</v>
      </c>
      <c r="N237" s="18"/>
      <c r="O237" s="18"/>
      <c r="P237" s="18"/>
      <c r="Q237" s="18"/>
      <c r="R237" s="18"/>
      <c r="S237" s="14">
        <v>4</v>
      </c>
    </row>
    <row r="238">
      <c r="A238" s="14">
        <v>5</v>
      </c>
      <c r="B238" s="18"/>
      <c r="C238" s="18"/>
      <c r="D238" s="18"/>
      <c r="E238" s="18"/>
      <c r="F238" s="18"/>
      <c r="G238" s="14">
        <v>5</v>
      </c>
      <c r="M238" s="14">
        <v>5</v>
      </c>
      <c r="N238" s="18"/>
      <c r="O238" s="18"/>
      <c r="P238" s="18"/>
      <c r="Q238" s="18"/>
      <c r="R238" s="18"/>
      <c r="S238" s="14">
        <v>5</v>
      </c>
    </row>
    <row r="240">
      <c r="A240" s="14" t="str">
        <f>CONCATENATE("M 1 ",G15)</f>
      </c>
      <c r="B240" s="18" t="str">
        <f>SUMPRODUCT((UPPER(D234:D238)&lt;&gt;"X")*((LEN(SUBSTITUTE(SUBSTITUTE(SUBSTITUTE(B234:B238," ",""),"0",""),"-",""))+LEN(SUBSTITUTE(SUBSTITUTE(SUBSTITUTE(C234:C238," ",""),"0",""),"-","")))&gt;(LEN(SUBSTITUTE(SUBSTITUTE(SUBSTITUTE(E234:E238," ",""),"0",""),"-",""))+LEN(SUBSTITUTE(SUBSTITUTE(SUBSTITUTE(F234:F238," ",""),"0",""),"-",""))))*1)</f>
      </c>
      <c r="C240" s="18" t="str">
        <f>SUMPRODUCT(LEN(SUBSTITUTE(SUBSTITUTE(SUBSTITUTE(B234:B238," ",""),"0",""),"-",""))+LEN(SUBSTITUTE(SUBSTITUTE(SUBSTITUTE(C234:C238," ",""),"0",""),"-","")))</f>
      </c>
      <c r="D240" s="14"/>
      <c r="E240" s="18" t="str">
        <f>SUMPRODUCT(LEN(SUBSTITUTE(SUBSTITUTE(SUBSTITUTE(E234:E238," ",""),"0",""),"-",""))+LEN(SUBSTITUTE(SUBSTITUTE(SUBSTITUTE(F234:F238," ",""),"0",""),"-","")))</f>
      </c>
      <c r="F240" s="18" t="str">
        <f>SUMPRODUCT((UPPER(D234:D238)&lt;&gt;"X")*((LEN(SUBSTITUTE(SUBSTITUTE(SUBSTITUTE(E234:E238," ",""),"0",""),"-",""))+LEN(SUBSTITUTE(SUBSTITUTE(SUBSTITUTE(F234:F238," ",""),"0",""),"-","")))&gt;(LEN(SUBSTITUTE(SUBSTITUTE(SUBSTITUTE(B234:B238," ",""),"0",""),"-",""))+LEN(SUBSTITUTE(SUBSTITUTE(SUBSTITUTE(C234:C238," ",""),"0",""),"-",""))))*1)</f>
      </c>
      <c r="G240" s="14" t="str">
        <f>CONCATENATE("Pool A-1st ",'Pool Matches'!G50)</f>
      </c>
      <c r="M240" s="14" t="str">
        <f>CONCATENATE("M 15 ",S15)</f>
      </c>
      <c r="N240" s="18" t="str">
        <f>SUMPRODUCT((UPPER(P234:P238)&lt;&gt;"X")*((LEN(SUBSTITUTE(SUBSTITUTE(SUBSTITUTE(N234:N238," ",""),"0",""),"-",""))+LEN(SUBSTITUTE(SUBSTITUTE(SUBSTITUTE(O234:O238," ",""),"0",""),"-","")))&gt;(LEN(SUBSTITUTE(SUBSTITUTE(SUBSTITUTE(Q234:Q238," ",""),"0",""),"-",""))+LEN(SUBSTITUTE(SUBSTITUTE(SUBSTITUTE(R234:R238," ",""),"0",""),"-",""))))*1)</f>
      </c>
      <c r="O240" s="18" t="str">
        <f>SUMPRODUCT(LEN(SUBSTITUTE(SUBSTITUTE(SUBSTITUTE(N234:N238," ",""),"0",""),"-",""))+LEN(SUBSTITUTE(SUBSTITUTE(SUBSTITUTE(O234:O238," ",""),"0",""),"-","")))</f>
      </c>
      <c r="P240" s="14"/>
      <c r="Q240" s="18" t="str">
        <f>SUMPRODUCT(LEN(SUBSTITUTE(SUBSTITUTE(SUBSTITUTE(Q234:Q238," ",""),"0",""),"-",""))+LEN(SUBSTITUTE(SUBSTITUTE(SUBSTITUTE(R234:R238," ",""),"0",""),"-","")))</f>
      </c>
      <c r="R240" s="18" t="str">
        <f>SUMPRODUCT((UPPER(P234:P238)&lt;&gt;"X")*((LEN(SUBSTITUTE(SUBSTITUTE(SUBSTITUTE(Q234:Q238," ",""),"0",""),"-",""))+LEN(SUBSTITUTE(SUBSTITUTE(SUBSTITUTE(R234:R238," ",""),"0",""),"-","")))&gt;(LEN(SUBSTITUTE(SUBSTITUTE(SUBSTITUTE(N234:N238," ",""),"0",""),"-",""))+LEN(SUBSTITUTE(SUBSTITUTE(SUBSTITUTE(O234:O238," ",""),"0",""),"-",""))))*1)</f>
      </c>
      <c r="S240" s="14" t="str">
        <f>CONCATENATE("Pool B-1st ",'Pool Matches'!G92)</f>
      </c>
    </row>
    <row r="241">
      <c r="A241" s="14" t="s">
        <v>346</v>
      </c>
      <c r="B241" s="14"/>
      <c r="C241" s="14"/>
      <c r="D241" s="14"/>
      <c r="E241" s="14"/>
      <c r="F241" s="14"/>
      <c r="G241" s="14" t="s">
        <v>346</v>
      </c>
      <c r="M241" s="14" t="s">
        <v>346</v>
      </c>
      <c r="N241" s="14"/>
      <c r="O241" s="14"/>
      <c r="P241" s="14"/>
      <c r="Q241" s="14"/>
      <c r="R241" s="14"/>
      <c r="S241" s="14" t="s">
        <v>346</v>
      </c>
    </row>
    <row r="244">
      <c r="F244" t="s">
        <v>347</v>
      </c>
      <c r="G244" s="19"/>
      <c r="R244" t="s">
        <v>347</v>
      </c>
      <c r="S244" s="19"/>
    </row>
    <row r="245">
      <c r="F245" t="s">
        <v>348</v>
      </c>
      <c r="G245" s="19"/>
      <c r="R245" t="s">
        <v>348</v>
      </c>
      <c r="S245" s="19"/>
    </row>
    <row r="247">
      <c r="A247" s="13" t="s">
        <v>378</v>
      </c>
      <c r="B247" s="13"/>
      <c r="C247" s="13"/>
      <c r="D247" s="13"/>
      <c r="E247" s="13"/>
      <c r="F247" s="13"/>
      <c r="G247" s="13"/>
      <c r="M247" s="13" t="s">
        <v>379</v>
      </c>
      <c r="N247" s="13"/>
      <c r="O247" s="13"/>
      <c r="P247" s="13"/>
      <c r="Q247" s="13"/>
      <c r="R247" s="13"/>
      <c r="S247" s="13"/>
    </row>
    <row r="248">
      <c r="A248" s="17" t="s">
        <v>238</v>
      </c>
      <c r="D248" s="14" t="s">
        <v>239</v>
      </c>
      <c r="G248" s="16" t="s">
        <v>240</v>
      </c>
      <c r="M248" s="17" t="s">
        <v>238</v>
      </c>
      <c r="P248" s="14" t="s">
        <v>239</v>
      </c>
      <c r="S248" s="16" t="s">
        <v>240</v>
      </c>
    </row>
    <row r="249">
      <c r="A249" s="14" t="str">
        <f>CONCATENATE("M 3 ",G47)</f>
      </c>
      <c r="B249" s="18"/>
      <c r="C249" s="18"/>
      <c r="D249" s="18"/>
      <c r="E249" s="18"/>
      <c r="F249" s="18"/>
      <c r="G249" s="14" t="str">
        <f>CONCATENATE("M 2 ",G31)</f>
      </c>
      <c r="M249" s="14" t="str">
        <f>CONCATENATE("M 17 ",S47)</f>
      </c>
      <c r="N249" s="18"/>
      <c r="O249" s="18"/>
      <c r="P249" s="18"/>
      <c r="Q249" s="18"/>
      <c r="R249" s="18"/>
      <c r="S249" s="14" t="str">
        <f>CONCATENATE("M 16 ",S31)</f>
      </c>
    </row>
    <row r="250">
      <c r="A250" s="14">
        <v>1</v>
      </c>
      <c r="B250" s="18"/>
      <c r="C250" s="18"/>
      <c r="D250" s="18"/>
      <c r="E250" s="18"/>
      <c r="F250" s="18"/>
      <c r="G250" s="14">
        <v>1</v>
      </c>
      <c r="M250" s="14">
        <v>1</v>
      </c>
      <c r="N250" s="18"/>
      <c r="O250" s="18"/>
      <c r="P250" s="18"/>
      <c r="Q250" s="18"/>
      <c r="R250" s="18"/>
      <c r="S250" s="14">
        <v>1</v>
      </c>
    </row>
    <row r="251">
      <c r="A251" s="14">
        <v>2</v>
      </c>
      <c r="B251" s="18"/>
      <c r="C251" s="18"/>
      <c r="D251" s="18"/>
      <c r="E251" s="18"/>
      <c r="F251" s="18"/>
      <c r="G251" s="14">
        <v>2</v>
      </c>
      <c r="M251" s="14">
        <v>2</v>
      </c>
      <c r="N251" s="18"/>
      <c r="O251" s="18"/>
      <c r="P251" s="18"/>
      <c r="Q251" s="18"/>
      <c r="R251" s="18"/>
      <c r="S251" s="14">
        <v>2</v>
      </c>
    </row>
    <row r="252">
      <c r="A252" s="14">
        <v>3</v>
      </c>
      <c r="B252" s="18"/>
      <c r="C252" s="18"/>
      <c r="D252" s="18"/>
      <c r="E252" s="18"/>
      <c r="F252" s="18"/>
      <c r="G252" s="14">
        <v>3</v>
      </c>
      <c r="M252" s="14">
        <v>3</v>
      </c>
      <c r="N252" s="18"/>
      <c r="O252" s="18"/>
      <c r="P252" s="18"/>
      <c r="Q252" s="18"/>
      <c r="R252" s="18"/>
      <c r="S252" s="14">
        <v>3</v>
      </c>
    </row>
    <row r="253">
      <c r="A253" s="14">
        <v>4</v>
      </c>
      <c r="B253" s="18"/>
      <c r="C253" s="18"/>
      <c r="D253" s="18"/>
      <c r="E253" s="18"/>
      <c r="F253" s="18"/>
      <c r="G253" s="14">
        <v>4</v>
      </c>
      <c r="M253" s="14">
        <v>4</v>
      </c>
      <c r="N253" s="18"/>
      <c r="O253" s="18"/>
      <c r="P253" s="18"/>
      <c r="Q253" s="18"/>
      <c r="R253" s="18"/>
      <c r="S253" s="14">
        <v>4</v>
      </c>
    </row>
    <row r="254">
      <c r="A254" s="14">
        <v>5</v>
      </c>
      <c r="B254" s="18"/>
      <c r="C254" s="18"/>
      <c r="D254" s="18"/>
      <c r="E254" s="18"/>
      <c r="F254" s="18"/>
      <c r="G254" s="14">
        <v>5</v>
      </c>
      <c r="M254" s="14">
        <v>5</v>
      </c>
      <c r="N254" s="18"/>
      <c r="O254" s="18"/>
      <c r="P254" s="18"/>
      <c r="Q254" s="18"/>
      <c r="R254" s="18"/>
      <c r="S254" s="14">
        <v>5</v>
      </c>
    </row>
    <row r="256">
      <c r="A256" s="14" t="str">
        <f>CONCATENATE("M 3 ",G47)</f>
      </c>
      <c r="B256" s="18" t="str">
        <f>SUMPRODUCT((UPPER(D250:D254)&lt;&gt;"X")*((LEN(SUBSTITUTE(SUBSTITUTE(SUBSTITUTE(B250:B254," ",""),"0",""),"-",""))+LEN(SUBSTITUTE(SUBSTITUTE(SUBSTITUTE(C250:C254," ",""),"0",""),"-","")))&gt;(LEN(SUBSTITUTE(SUBSTITUTE(SUBSTITUTE(E250:E254," ",""),"0",""),"-",""))+LEN(SUBSTITUTE(SUBSTITUTE(SUBSTITUTE(F250:F254," ",""),"0",""),"-",""))))*1)</f>
      </c>
      <c r="C256" s="18" t="str">
        <f>SUMPRODUCT(LEN(SUBSTITUTE(SUBSTITUTE(SUBSTITUTE(B250:B254," ",""),"0",""),"-",""))+LEN(SUBSTITUTE(SUBSTITUTE(SUBSTITUTE(C250:C254," ",""),"0",""),"-","")))</f>
      </c>
      <c r="D256" s="14"/>
      <c r="E256" s="18" t="str">
        <f>SUMPRODUCT(LEN(SUBSTITUTE(SUBSTITUTE(SUBSTITUTE(E250:E254," ",""),"0",""),"-",""))+LEN(SUBSTITUTE(SUBSTITUTE(SUBSTITUTE(F250:F254," ",""),"0",""),"-","")))</f>
      </c>
      <c r="F256" s="18" t="str">
        <f>SUMPRODUCT((UPPER(D250:D254)&lt;&gt;"X")*((LEN(SUBSTITUTE(SUBSTITUTE(SUBSTITUTE(E250:E254," ",""),"0",""),"-",""))+LEN(SUBSTITUTE(SUBSTITUTE(SUBSTITUTE(F250:F254," ",""),"0",""),"-","")))&gt;(LEN(SUBSTITUTE(SUBSTITUTE(SUBSTITUTE(B250:B254," ",""),"0",""),"-",""))+LEN(SUBSTITUTE(SUBSTITUTE(SUBSTITUTE(C250:C254," ",""),"0",""),"-",""))))*1)</f>
      </c>
      <c r="G256" s="14" t="str">
        <f>CONCATENATE("M 2 ",G31)</f>
      </c>
      <c r="M256" s="14" t="str">
        <f>CONCATENATE("M 17 ",S47)</f>
      </c>
      <c r="N256" s="18" t="str">
        <f>SUMPRODUCT((UPPER(P250:P254)&lt;&gt;"X")*((LEN(SUBSTITUTE(SUBSTITUTE(SUBSTITUTE(N250:N254," ",""),"0",""),"-",""))+LEN(SUBSTITUTE(SUBSTITUTE(SUBSTITUTE(O250:O254," ",""),"0",""),"-","")))&gt;(LEN(SUBSTITUTE(SUBSTITUTE(SUBSTITUTE(Q250:Q254," ",""),"0",""),"-",""))+LEN(SUBSTITUTE(SUBSTITUTE(SUBSTITUTE(R250:R254," ",""),"0",""),"-",""))))*1)</f>
      </c>
      <c r="O256" s="18" t="str">
        <f>SUMPRODUCT(LEN(SUBSTITUTE(SUBSTITUTE(SUBSTITUTE(N250:N254," ",""),"0",""),"-",""))+LEN(SUBSTITUTE(SUBSTITUTE(SUBSTITUTE(O250:O254," ",""),"0",""),"-","")))</f>
      </c>
      <c r="P256" s="14"/>
      <c r="Q256" s="18" t="str">
        <f>SUMPRODUCT(LEN(SUBSTITUTE(SUBSTITUTE(SUBSTITUTE(Q250:Q254," ",""),"0",""),"-",""))+LEN(SUBSTITUTE(SUBSTITUTE(SUBSTITUTE(R250:R254," ",""),"0",""),"-","")))</f>
      </c>
      <c r="R256" s="18" t="str">
        <f>SUMPRODUCT((UPPER(P250:P254)&lt;&gt;"X")*((LEN(SUBSTITUTE(SUBSTITUTE(SUBSTITUTE(Q250:Q254," ",""),"0",""),"-",""))+LEN(SUBSTITUTE(SUBSTITUTE(SUBSTITUTE(R250:R254," ",""),"0",""),"-","")))&gt;(LEN(SUBSTITUTE(SUBSTITUTE(SUBSTITUTE(N250:N254," ",""),"0",""),"-",""))+LEN(SUBSTITUTE(SUBSTITUTE(SUBSTITUTE(O250:O254," ",""),"0",""),"-",""))))*1)</f>
      </c>
      <c r="S256" s="14" t="str">
        <f>CONCATENATE("M 16 ",S31)</f>
      </c>
    </row>
    <row r="257">
      <c r="A257" s="14" t="s">
        <v>346</v>
      </c>
      <c r="B257" s="14"/>
      <c r="C257" s="14"/>
      <c r="D257" s="14"/>
      <c r="E257" s="14"/>
      <c r="F257" s="14"/>
      <c r="G257" s="14" t="s">
        <v>346</v>
      </c>
      <c r="M257" s="14" t="s">
        <v>346</v>
      </c>
      <c r="N257" s="14"/>
      <c r="O257" s="14"/>
      <c r="P257" s="14"/>
      <c r="Q257" s="14"/>
      <c r="R257" s="14"/>
      <c r="S257" s="14" t="s">
        <v>346</v>
      </c>
    </row>
    <row r="260">
      <c r="F260" t="s">
        <v>347</v>
      </c>
      <c r="G260" s="19"/>
      <c r="R260" t="s">
        <v>347</v>
      </c>
      <c r="S260" s="19"/>
    </row>
    <row r="261">
      <c r="F261" t="s">
        <v>348</v>
      </c>
      <c r="G261" s="19"/>
      <c r="R261" t="s">
        <v>348</v>
      </c>
      <c r="S261" s="19"/>
    </row>
    <row r="263">
      <c r="A263" s="13" t="s">
        <v>380</v>
      </c>
      <c r="B263" s="13"/>
      <c r="C263" s="13"/>
      <c r="D263" s="13"/>
      <c r="E263" s="13"/>
      <c r="F263" s="13"/>
      <c r="G263" s="13"/>
      <c r="M263" s="13" t="s">
        <v>381</v>
      </c>
      <c r="N263" s="13"/>
      <c r="O263" s="13"/>
      <c r="P263" s="13"/>
      <c r="Q263" s="13"/>
      <c r="R263" s="13"/>
      <c r="S263" s="13"/>
    </row>
    <row r="264">
      <c r="A264" s="17" t="s">
        <v>238</v>
      </c>
      <c r="D264" s="14" t="s">
        <v>239</v>
      </c>
      <c r="G264" s="16" t="s">
        <v>240</v>
      </c>
      <c r="M264" s="17" t="s">
        <v>238</v>
      </c>
      <c r="P264" s="14" t="s">
        <v>239</v>
      </c>
      <c r="S264" s="16" t="s">
        <v>240</v>
      </c>
    </row>
    <row r="265">
      <c r="A265" s="14" t="str">
        <f>CONCATENATE("M 5 ",G79)</f>
      </c>
      <c r="B265" s="18"/>
      <c r="C265" s="18"/>
      <c r="D265" s="18"/>
      <c r="E265" s="18"/>
      <c r="F265" s="18"/>
      <c r="G265" s="14" t="str">
        <f>CONCATENATE("M 4 ",G63)</f>
      </c>
      <c r="M265" s="14" t="str">
        <f>CONCATENATE("M 19 ",S79)</f>
      </c>
      <c r="N265" s="18"/>
      <c r="O265" s="18"/>
      <c r="P265" s="18"/>
      <c r="Q265" s="18"/>
      <c r="R265" s="18"/>
      <c r="S265" s="14" t="str">
        <f>CONCATENATE("M 18 ",S63)</f>
      </c>
    </row>
    <row r="266">
      <c r="A266" s="14">
        <v>1</v>
      </c>
      <c r="B266" s="18"/>
      <c r="C266" s="18"/>
      <c r="D266" s="18"/>
      <c r="E266" s="18"/>
      <c r="F266" s="18"/>
      <c r="G266" s="14">
        <v>1</v>
      </c>
      <c r="M266" s="14">
        <v>1</v>
      </c>
      <c r="N266" s="18"/>
      <c r="O266" s="18"/>
      <c r="P266" s="18"/>
      <c r="Q266" s="18"/>
      <c r="R266" s="18"/>
      <c r="S266" s="14">
        <v>1</v>
      </c>
    </row>
    <row r="267">
      <c r="A267" s="14">
        <v>2</v>
      </c>
      <c r="B267" s="18"/>
      <c r="C267" s="18"/>
      <c r="D267" s="18"/>
      <c r="E267" s="18"/>
      <c r="F267" s="18"/>
      <c r="G267" s="14">
        <v>2</v>
      </c>
      <c r="M267" s="14">
        <v>2</v>
      </c>
      <c r="N267" s="18"/>
      <c r="O267" s="18"/>
      <c r="P267" s="18"/>
      <c r="Q267" s="18"/>
      <c r="R267" s="18"/>
      <c r="S267" s="14">
        <v>2</v>
      </c>
    </row>
    <row r="268">
      <c r="A268" s="14">
        <v>3</v>
      </c>
      <c r="B268" s="18"/>
      <c r="C268" s="18"/>
      <c r="D268" s="18"/>
      <c r="E268" s="18"/>
      <c r="F268" s="18"/>
      <c r="G268" s="14">
        <v>3</v>
      </c>
      <c r="M268" s="14">
        <v>3</v>
      </c>
      <c r="N268" s="18"/>
      <c r="O268" s="18"/>
      <c r="P268" s="18"/>
      <c r="Q268" s="18"/>
      <c r="R268" s="18"/>
      <c r="S268" s="14">
        <v>3</v>
      </c>
    </row>
    <row r="269">
      <c r="A269" s="14">
        <v>4</v>
      </c>
      <c r="B269" s="18"/>
      <c r="C269" s="18"/>
      <c r="D269" s="18"/>
      <c r="E269" s="18"/>
      <c r="F269" s="18"/>
      <c r="G269" s="14">
        <v>4</v>
      </c>
      <c r="M269" s="14">
        <v>4</v>
      </c>
      <c r="N269" s="18"/>
      <c r="O269" s="18"/>
      <c r="P269" s="18"/>
      <c r="Q269" s="18"/>
      <c r="R269" s="18"/>
      <c r="S269" s="14">
        <v>4</v>
      </c>
    </row>
    <row r="270">
      <c r="A270" s="14">
        <v>5</v>
      </c>
      <c r="B270" s="18"/>
      <c r="C270" s="18"/>
      <c r="D270" s="18"/>
      <c r="E270" s="18"/>
      <c r="F270" s="18"/>
      <c r="G270" s="14">
        <v>5</v>
      </c>
      <c r="M270" s="14">
        <v>5</v>
      </c>
      <c r="N270" s="18"/>
      <c r="O270" s="18"/>
      <c r="P270" s="18"/>
      <c r="Q270" s="18"/>
      <c r="R270" s="18"/>
      <c r="S270" s="14">
        <v>5</v>
      </c>
    </row>
    <row r="272">
      <c r="A272" s="14" t="str">
        <f>CONCATENATE("M 5 ",G79)</f>
      </c>
      <c r="B272" s="18" t="str">
        <f>SUMPRODUCT((UPPER(D266:D270)&lt;&gt;"X")*((LEN(SUBSTITUTE(SUBSTITUTE(SUBSTITUTE(B266:B270," ",""),"0",""),"-",""))+LEN(SUBSTITUTE(SUBSTITUTE(SUBSTITUTE(C266:C270," ",""),"0",""),"-","")))&gt;(LEN(SUBSTITUTE(SUBSTITUTE(SUBSTITUTE(E266:E270," ",""),"0",""),"-",""))+LEN(SUBSTITUTE(SUBSTITUTE(SUBSTITUTE(F266:F270," ",""),"0",""),"-",""))))*1)</f>
      </c>
      <c r="C272" s="18" t="str">
        <f>SUMPRODUCT(LEN(SUBSTITUTE(SUBSTITUTE(SUBSTITUTE(B266:B270," ",""),"0",""),"-",""))+LEN(SUBSTITUTE(SUBSTITUTE(SUBSTITUTE(C266:C270," ",""),"0",""),"-","")))</f>
      </c>
      <c r="D272" s="14"/>
      <c r="E272" s="18" t="str">
        <f>SUMPRODUCT(LEN(SUBSTITUTE(SUBSTITUTE(SUBSTITUTE(E266:E270," ",""),"0",""),"-",""))+LEN(SUBSTITUTE(SUBSTITUTE(SUBSTITUTE(F266:F270," ",""),"0",""),"-","")))</f>
      </c>
      <c r="F272" s="18" t="str">
        <f>SUMPRODUCT((UPPER(D266:D270)&lt;&gt;"X")*((LEN(SUBSTITUTE(SUBSTITUTE(SUBSTITUTE(E266:E270," ",""),"0",""),"-",""))+LEN(SUBSTITUTE(SUBSTITUTE(SUBSTITUTE(F266:F270," ",""),"0",""),"-","")))&gt;(LEN(SUBSTITUTE(SUBSTITUTE(SUBSTITUTE(B266:B270," ",""),"0",""),"-",""))+LEN(SUBSTITUTE(SUBSTITUTE(SUBSTITUTE(C266:C270," ",""),"0",""),"-",""))))*1)</f>
      </c>
      <c r="G272" s="14" t="str">
        <f>CONCATENATE("M 4 ",G63)</f>
      </c>
      <c r="M272" s="14" t="str">
        <f>CONCATENATE("M 19 ",S79)</f>
      </c>
      <c r="N272" s="18" t="str">
        <f>SUMPRODUCT((UPPER(P266:P270)&lt;&gt;"X")*((LEN(SUBSTITUTE(SUBSTITUTE(SUBSTITUTE(N266:N270," ",""),"0",""),"-",""))+LEN(SUBSTITUTE(SUBSTITUTE(SUBSTITUTE(O266:O270," ",""),"0",""),"-","")))&gt;(LEN(SUBSTITUTE(SUBSTITUTE(SUBSTITUTE(Q266:Q270," ",""),"0",""),"-",""))+LEN(SUBSTITUTE(SUBSTITUTE(SUBSTITUTE(R266:R270," ",""),"0",""),"-",""))))*1)</f>
      </c>
      <c r="O272" s="18" t="str">
        <f>SUMPRODUCT(LEN(SUBSTITUTE(SUBSTITUTE(SUBSTITUTE(N266:N270," ",""),"0",""),"-",""))+LEN(SUBSTITUTE(SUBSTITUTE(SUBSTITUTE(O266:O270," ",""),"0",""),"-","")))</f>
      </c>
      <c r="P272" s="14"/>
      <c r="Q272" s="18" t="str">
        <f>SUMPRODUCT(LEN(SUBSTITUTE(SUBSTITUTE(SUBSTITUTE(Q266:Q270," ",""),"0",""),"-",""))+LEN(SUBSTITUTE(SUBSTITUTE(SUBSTITUTE(R266:R270," ",""),"0",""),"-","")))</f>
      </c>
      <c r="R272" s="18" t="str">
        <f>SUMPRODUCT((UPPER(P266:P270)&lt;&gt;"X")*((LEN(SUBSTITUTE(SUBSTITUTE(SUBSTITUTE(Q266:Q270," ",""),"0",""),"-",""))+LEN(SUBSTITUTE(SUBSTITUTE(SUBSTITUTE(R266:R270," ",""),"0",""),"-","")))&gt;(LEN(SUBSTITUTE(SUBSTITUTE(SUBSTITUTE(N266:N270," ",""),"0",""),"-",""))+LEN(SUBSTITUTE(SUBSTITUTE(SUBSTITUTE(O266:O270," ",""),"0",""),"-",""))))*1)</f>
      </c>
      <c r="S272" s="14" t="str">
        <f>CONCATENATE("M 18 ",S63)</f>
      </c>
    </row>
    <row r="273">
      <c r="A273" s="14" t="s">
        <v>346</v>
      </c>
      <c r="B273" s="14"/>
      <c r="C273" s="14"/>
      <c r="D273" s="14"/>
      <c r="E273" s="14"/>
      <c r="F273" s="14"/>
      <c r="G273" s="14" t="s">
        <v>346</v>
      </c>
      <c r="M273" s="14" t="s">
        <v>346</v>
      </c>
      <c r="N273" s="14"/>
      <c r="O273" s="14"/>
      <c r="P273" s="14"/>
      <c r="Q273" s="14"/>
      <c r="R273" s="14"/>
      <c r="S273" s="14" t="s">
        <v>346</v>
      </c>
    </row>
    <row r="276">
      <c r="F276" t="s">
        <v>347</v>
      </c>
      <c r="G276" s="19"/>
      <c r="R276" t="s">
        <v>347</v>
      </c>
      <c r="S276" s="19"/>
    </row>
    <row r="277">
      <c r="F277" t="s">
        <v>348</v>
      </c>
      <c r="G277" s="19"/>
      <c r="R277" t="s">
        <v>348</v>
      </c>
      <c r="S277" s="19"/>
    </row>
    <row r="279">
      <c r="A279" s="13" t="s">
        <v>382</v>
      </c>
      <c r="B279" s="13"/>
      <c r="C279" s="13"/>
      <c r="D279" s="13"/>
      <c r="E279" s="13"/>
      <c r="F279" s="13"/>
      <c r="G279" s="13"/>
      <c r="M279" s="13" t="s">
        <v>383</v>
      </c>
      <c r="N279" s="13"/>
      <c r="O279" s="13"/>
      <c r="P279" s="13"/>
      <c r="Q279" s="13"/>
      <c r="R279" s="13"/>
      <c r="S279" s="13"/>
    </row>
    <row r="280">
      <c r="A280" s="17" t="s">
        <v>238</v>
      </c>
      <c r="D280" s="14" t="s">
        <v>239</v>
      </c>
      <c r="G280" s="16" t="s">
        <v>240</v>
      </c>
      <c r="M280" s="17" t="s">
        <v>238</v>
      </c>
      <c r="P280" s="14" t="s">
        <v>239</v>
      </c>
      <c r="S280" s="16" t="s">
        <v>240</v>
      </c>
    </row>
    <row r="281">
      <c r="A281" s="14" t="str">
        <f>CONCATENATE("M 7 ",G111)</f>
      </c>
      <c r="B281" s="18"/>
      <c r="C281" s="18"/>
      <c r="D281" s="18"/>
      <c r="E281" s="18"/>
      <c r="F281" s="18"/>
      <c r="G281" s="14" t="str">
        <f>CONCATENATE("M 6 ",G95)</f>
      </c>
      <c r="M281" s="14" t="str">
        <f>CONCATENATE("M 21 ",S111)</f>
      </c>
      <c r="N281" s="18"/>
      <c r="O281" s="18"/>
      <c r="P281" s="18"/>
      <c r="Q281" s="18"/>
      <c r="R281" s="18"/>
      <c r="S281" s="14" t="str">
        <f>CONCATENATE("M 20 ",S95)</f>
      </c>
    </row>
    <row r="282">
      <c r="A282" s="14">
        <v>1</v>
      </c>
      <c r="B282" s="18"/>
      <c r="C282" s="18"/>
      <c r="D282" s="18"/>
      <c r="E282" s="18"/>
      <c r="F282" s="18"/>
      <c r="G282" s="14">
        <v>1</v>
      </c>
      <c r="M282" s="14">
        <v>1</v>
      </c>
      <c r="N282" s="18"/>
      <c r="O282" s="18"/>
      <c r="P282" s="18"/>
      <c r="Q282" s="18"/>
      <c r="R282" s="18"/>
      <c r="S282" s="14">
        <v>1</v>
      </c>
    </row>
    <row r="283">
      <c r="A283" s="14">
        <v>2</v>
      </c>
      <c r="B283" s="18"/>
      <c r="C283" s="18"/>
      <c r="D283" s="18"/>
      <c r="E283" s="18"/>
      <c r="F283" s="18"/>
      <c r="G283" s="14">
        <v>2</v>
      </c>
      <c r="M283" s="14">
        <v>2</v>
      </c>
      <c r="N283" s="18"/>
      <c r="O283" s="18"/>
      <c r="P283" s="18"/>
      <c r="Q283" s="18"/>
      <c r="R283" s="18"/>
      <c r="S283" s="14">
        <v>2</v>
      </c>
    </row>
    <row r="284">
      <c r="A284" s="14">
        <v>3</v>
      </c>
      <c r="B284" s="18"/>
      <c r="C284" s="18"/>
      <c r="D284" s="18"/>
      <c r="E284" s="18"/>
      <c r="F284" s="18"/>
      <c r="G284" s="14">
        <v>3</v>
      </c>
      <c r="M284" s="14">
        <v>3</v>
      </c>
      <c r="N284" s="18"/>
      <c r="O284" s="18"/>
      <c r="P284" s="18"/>
      <c r="Q284" s="18"/>
      <c r="R284" s="18"/>
      <c r="S284" s="14">
        <v>3</v>
      </c>
    </row>
    <row r="285">
      <c r="A285" s="14">
        <v>4</v>
      </c>
      <c r="B285" s="18"/>
      <c r="C285" s="18"/>
      <c r="D285" s="18"/>
      <c r="E285" s="18"/>
      <c r="F285" s="18"/>
      <c r="G285" s="14">
        <v>4</v>
      </c>
      <c r="M285" s="14">
        <v>4</v>
      </c>
      <c r="N285" s="18"/>
      <c r="O285" s="18"/>
      <c r="P285" s="18"/>
      <c r="Q285" s="18"/>
      <c r="R285" s="18"/>
      <c r="S285" s="14">
        <v>4</v>
      </c>
    </row>
    <row r="286">
      <c r="A286" s="14">
        <v>5</v>
      </c>
      <c r="B286" s="18"/>
      <c r="C286" s="18"/>
      <c r="D286" s="18"/>
      <c r="E286" s="18"/>
      <c r="F286" s="18"/>
      <c r="G286" s="14">
        <v>5</v>
      </c>
      <c r="M286" s="14">
        <v>5</v>
      </c>
      <c r="N286" s="18"/>
      <c r="O286" s="18"/>
      <c r="P286" s="18"/>
      <c r="Q286" s="18"/>
      <c r="R286" s="18"/>
      <c r="S286" s="14">
        <v>5</v>
      </c>
    </row>
    <row r="288">
      <c r="A288" s="14" t="str">
        <f>CONCATENATE("M 7 ",G111)</f>
      </c>
      <c r="B288" s="18" t="str">
        <f>SUMPRODUCT((UPPER(D282:D286)&lt;&gt;"X")*((LEN(SUBSTITUTE(SUBSTITUTE(SUBSTITUTE(B282:B286," ",""),"0",""),"-",""))+LEN(SUBSTITUTE(SUBSTITUTE(SUBSTITUTE(C282:C286," ",""),"0",""),"-","")))&gt;(LEN(SUBSTITUTE(SUBSTITUTE(SUBSTITUTE(E282:E286," ",""),"0",""),"-",""))+LEN(SUBSTITUTE(SUBSTITUTE(SUBSTITUTE(F282:F286," ",""),"0",""),"-",""))))*1)</f>
      </c>
      <c r="C288" s="18" t="str">
        <f>SUMPRODUCT(LEN(SUBSTITUTE(SUBSTITUTE(SUBSTITUTE(B282:B286," ",""),"0",""),"-",""))+LEN(SUBSTITUTE(SUBSTITUTE(SUBSTITUTE(C282:C286," ",""),"0",""),"-","")))</f>
      </c>
      <c r="D288" s="14"/>
      <c r="E288" s="18" t="str">
        <f>SUMPRODUCT(LEN(SUBSTITUTE(SUBSTITUTE(SUBSTITUTE(E282:E286," ",""),"0",""),"-",""))+LEN(SUBSTITUTE(SUBSTITUTE(SUBSTITUTE(F282:F286," ",""),"0",""),"-","")))</f>
      </c>
      <c r="F288" s="18" t="str">
        <f>SUMPRODUCT((UPPER(D282:D286)&lt;&gt;"X")*((LEN(SUBSTITUTE(SUBSTITUTE(SUBSTITUTE(E282:E286," ",""),"0",""),"-",""))+LEN(SUBSTITUTE(SUBSTITUTE(SUBSTITUTE(F282:F286," ",""),"0",""),"-","")))&gt;(LEN(SUBSTITUTE(SUBSTITUTE(SUBSTITUTE(B282:B286," ",""),"0",""),"-",""))+LEN(SUBSTITUTE(SUBSTITUTE(SUBSTITUTE(C282:C286," ",""),"0",""),"-",""))))*1)</f>
      </c>
      <c r="G288" s="14" t="str">
        <f>CONCATENATE("M 6 ",G95)</f>
      </c>
      <c r="M288" s="14" t="str">
        <f>CONCATENATE("M 21 ",S111)</f>
      </c>
      <c r="N288" s="18" t="str">
        <f>SUMPRODUCT((UPPER(P282:P286)&lt;&gt;"X")*((LEN(SUBSTITUTE(SUBSTITUTE(SUBSTITUTE(N282:N286," ",""),"0",""),"-",""))+LEN(SUBSTITUTE(SUBSTITUTE(SUBSTITUTE(O282:O286," ",""),"0",""),"-","")))&gt;(LEN(SUBSTITUTE(SUBSTITUTE(SUBSTITUTE(Q282:Q286," ",""),"0",""),"-",""))+LEN(SUBSTITUTE(SUBSTITUTE(SUBSTITUTE(R282:R286," ",""),"0",""),"-",""))))*1)</f>
      </c>
      <c r="O288" s="18" t="str">
        <f>SUMPRODUCT(LEN(SUBSTITUTE(SUBSTITUTE(SUBSTITUTE(N282:N286," ",""),"0",""),"-",""))+LEN(SUBSTITUTE(SUBSTITUTE(SUBSTITUTE(O282:O286," ",""),"0",""),"-","")))</f>
      </c>
      <c r="P288" s="14"/>
      <c r="Q288" s="18" t="str">
        <f>SUMPRODUCT(LEN(SUBSTITUTE(SUBSTITUTE(SUBSTITUTE(Q282:Q286," ",""),"0",""),"-",""))+LEN(SUBSTITUTE(SUBSTITUTE(SUBSTITUTE(R282:R286," ",""),"0",""),"-","")))</f>
      </c>
      <c r="R288" s="18" t="str">
        <f>SUMPRODUCT((UPPER(P282:P286)&lt;&gt;"X")*((LEN(SUBSTITUTE(SUBSTITUTE(SUBSTITUTE(Q282:Q286," ",""),"0",""),"-",""))+LEN(SUBSTITUTE(SUBSTITUTE(SUBSTITUTE(R282:R286," ",""),"0",""),"-","")))&gt;(LEN(SUBSTITUTE(SUBSTITUTE(SUBSTITUTE(N282:N286," ",""),"0",""),"-",""))+LEN(SUBSTITUTE(SUBSTITUTE(SUBSTITUTE(O282:O286," ",""),"0",""),"-",""))))*1)</f>
      </c>
      <c r="S288" s="14" t="str">
        <f>CONCATENATE("M 20 ",S95)</f>
      </c>
    </row>
    <row r="289">
      <c r="A289" s="14" t="s">
        <v>346</v>
      </c>
      <c r="B289" s="14"/>
      <c r="C289" s="14"/>
      <c r="D289" s="14"/>
      <c r="E289" s="14"/>
      <c r="F289" s="14"/>
      <c r="G289" s="14" t="s">
        <v>346</v>
      </c>
      <c r="M289" s="14" t="s">
        <v>346</v>
      </c>
      <c r="N289" s="14"/>
      <c r="O289" s="14"/>
      <c r="P289" s="14"/>
      <c r="Q289" s="14"/>
      <c r="R289" s="14"/>
      <c r="S289" s="14" t="s">
        <v>346</v>
      </c>
    </row>
    <row r="292">
      <c r="F292" t="s">
        <v>347</v>
      </c>
      <c r="G292" s="19"/>
      <c r="R292" t="s">
        <v>347</v>
      </c>
      <c r="S292" s="19"/>
    </row>
    <row r="293">
      <c r="F293" t="s">
        <v>348</v>
      </c>
      <c r="G293" s="19"/>
      <c r="R293" t="s">
        <v>348</v>
      </c>
      <c r="S293" s="19"/>
    </row>
    <row r="295">
      <c r="A295" s="13" t="s">
        <v>384</v>
      </c>
      <c r="B295" s="13"/>
      <c r="C295" s="13"/>
      <c r="D295" s="13"/>
      <c r="E295" s="13"/>
      <c r="F295" s="13"/>
      <c r="G295" s="13"/>
      <c r="M295" s="13" t="s">
        <v>385</v>
      </c>
      <c r="N295" s="13"/>
      <c r="O295" s="13"/>
      <c r="P295" s="13"/>
      <c r="Q295" s="13"/>
      <c r="R295" s="13"/>
      <c r="S295" s="13"/>
    </row>
    <row r="296">
      <c r="A296" s="17" t="s">
        <v>238</v>
      </c>
      <c r="D296" s="14" t="s">
        <v>239</v>
      </c>
      <c r="G296" s="16" t="s">
        <v>240</v>
      </c>
      <c r="M296" s="17" t="s">
        <v>238</v>
      </c>
      <c r="P296" s="14" t="s">
        <v>239</v>
      </c>
      <c r="S296" s="16" t="s">
        <v>240</v>
      </c>
    </row>
    <row r="297">
      <c r="A297" s="14" t="str">
        <f>CONCATENATE("M 8 ",G127)</f>
      </c>
      <c r="B297" s="18"/>
      <c r="C297" s="18"/>
      <c r="D297" s="18"/>
      <c r="E297" s="18"/>
      <c r="F297" s="18"/>
      <c r="G297" s="14" t="str">
        <f>CONCATENATE("Pool Q-1st ",'Pool Matches'!O92)</f>
      </c>
      <c r="M297" s="14" t="str">
        <f>CONCATENATE("M 22 ",S127)</f>
      </c>
      <c r="N297" s="18"/>
      <c r="O297" s="18"/>
      <c r="P297" s="18"/>
      <c r="Q297" s="18"/>
      <c r="R297" s="18"/>
      <c r="S297" s="14" t="str">
        <f>CONCATENATE("Pool P-1st ",'Pool Matches'!O48)</f>
      </c>
    </row>
    <row r="298">
      <c r="A298" s="14">
        <v>1</v>
      </c>
      <c r="B298" s="18"/>
      <c r="C298" s="18"/>
      <c r="D298" s="18"/>
      <c r="E298" s="18"/>
      <c r="F298" s="18"/>
      <c r="G298" s="14">
        <v>1</v>
      </c>
      <c r="M298" s="14">
        <v>1</v>
      </c>
      <c r="N298" s="18"/>
      <c r="O298" s="18"/>
      <c r="P298" s="18"/>
      <c r="Q298" s="18"/>
      <c r="R298" s="18"/>
      <c r="S298" s="14">
        <v>1</v>
      </c>
    </row>
    <row r="299">
      <c r="A299" s="14">
        <v>2</v>
      </c>
      <c r="B299" s="18"/>
      <c r="C299" s="18"/>
      <c r="D299" s="18"/>
      <c r="E299" s="18"/>
      <c r="F299" s="18"/>
      <c r="G299" s="14">
        <v>2</v>
      </c>
      <c r="M299" s="14">
        <v>2</v>
      </c>
      <c r="N299" s="18"/>
      <c r="O299" s="18"/>
      <c r="P299" s="18"/>
      <c r="Q299" s="18"/>
      <c r="R299" s="18"/>
      <c r="S299" s="14">
        <v>2</v>
      </c>
    </row>
    <row r="300">
      <c r="A300" s="14">
        <v>3</v>
      </c>
      <c r="B300" s="18"/>
      <c r="C300" s="18"/>
      <c r="D300" s="18"/>
      <c r="E300" s="18"/>
      <c r="F300" s="18"/>
      <c r="G300" s="14">
        <v>3</v>
      </c>
      <c r="M300" s="14">
        <v>3</v>
      </c>
      <c r="N300" s="18"/>
      <c r="O300" s="18"/>
      <c r="P300" s="18"/>
      <c r="Q300" s="18"/>
      <c r="R300" s="18"/>
      <c r="S300" s="14">
        <v>3</v>
      </c>
    </row>
    <row r="301">
      <c r="A301" s="14">
        <v>4</v>
      </c>
      <c r="B301" s="18"/>
      <c r="C301" s="18"/>
      <c r="D301" s="18"/>
      <c r="E301" s="18"/>
      <c r="F301" s="18"/>
      <c r="G301" s="14">
        <v>4</v>
      </c>
      <c r="M301" s="14">
        <v>4</v>
      </c>
      <c r="N301" s="18"/>
      <c r="O301" s="18"/>
      <c r="P301" s="18"/>
      <c r="Q301" s="18"/>
      <c r="R301" s="18"/>
      <c r="S301" s="14">
        <v>4</v>
      </c>
    </row>
    <row r="302">
      <c r="A302" s="14">
        <v>5</v>
      </c>
      <c r="B302" s="18"/>
      <c r="C302" s="18"/>
      <c r="D302" s="18"/>
      <c r="E302" s="18"/>
      <c r="F302" s="18"/>
      <c r="G302" s="14">
        <v>5</v>
      </c>
      <c r="M302" s="14">
        <v>5</v>
      </c>
      <c r="N302" s="18"/>
      <c r="O302" s="18"/>
      <c r="P302" s="18"/>
      <c r="Q302" s="18"/>
      <c r="R302" s="18"/>
      <c r="S302" s="14">
        <v>5</v>
      </c>
    </row>
    <row r="304">
      <c r="A304" s="14" t="str">
        <f>CONCATENATE("M 8 ",G127)</f>
      </c>
      <c r="B304" s="18" t="str">
        <f>SUMPRODUCT((UPPER(D298:D302)&lt;&gt;"X")*((LEN(SUBSTITUTE(SUBSTITUTE(SUBSTITUTE(B298:B302," ",""),"0",""),"-",""))+LEN(SUBSTITUTE(SUBSTITUTE(SUBSTITUTE(C298:C302," ",""),"0",""),"-","")))&gt;(LEN(SUBSTITUTE(SUBSTITUTE(SUBSTITUTE(E298:E302," ",""),"0",""),"-",""))+LEN(SUBSTITUTE(SUBSTITUTE(SUBSTITUTE(F298:F302," ",""),"0",""),"-",""))))*1)</f>
      </c>
      <c r="C304" s="18" t="str">
        <f>SUMPRODUCT(LEN(SUBSTITUTE(SUBSTITUTE(SUBSTITUTE(B298:B302," ",""),"0",""),"-",""))+LEN(SUBSTITUTE(SUBSTITUTE(SUBSTITUTE(C298:C302," ",""),"0",""),"-","")))</f>
      </c>
      <c r="D304" s="14"/>
      <c r="E304" s="18" t="str">
        <f>SUMPRODUCT(LEN(SUBSTITUTE(SUBSTITUTE(SUBSTITUTE(E298:E302," ",""),"0",""),"-",""))+LEN(SUBSTITUTE(SUBSTITUTE(SUBSTITUTE(F298:F302," ",""),"0",""),"-","")))</f>
      </c>
      <c r="F304" s="18" t="str">
        <f>SUMPRODUCT((UPPER(D298:D302)&lt;&gt;"X")*((LEN(SUBSTITUTE(SUBSTITUTE(SUBSTITUTE(E298:E302," ",""),"0",""),"-",""))+LEN(SUBSTITUTE(SUBSTITUTE(SUBSTITUTE(F298:F302," ",""),"0",""),"-","")))&gt;(LEN(SUBSTITUTE(SUBSTITUTE(SUBSTITUTE(B298:B302," ",""),"0",""),"-",""))+LEN(SUBSTITUTE(SUBSTITUTE(SUBSTITUTE(C298:C302," ",""),"0",""),"-",""))))*1)</f>
      </c>
      <c r="G304" s="14" t="str">
        <f>CONCATENATE("Pool Q-1st ",'Pool Matches'!O92)</f>
      </c>
      <c r="M304" s="14" t="str">
        <f>CONCATENATE("M 22 ",S127)</f>
      </c>
      <c r="N304" s="18" t="str">
        <f>SUMPRODUCT((UPPER(P298:P302)&lt;&gt;"X")*((LEN(SUBSTITUTE(SUBSTITUTE(SUBSTITUTE(N298:N302," ",""),"0",""),"-",""))+LEN(SUBSTITUTE(SUBSTITUTE(SUBSTITUTE(O298:O302," ",""),"0",""),"-","")))&gt;(LEN(SUBSTITUTE(SUBSTITUTE(SUBSTITUTE(Q298:Q302," ",""),"0",""),"-",""))+LEN(SUBSTITUTE(SUBSTITUTE(SUBSTITUTE(R298:R302," ",""),"0",""),"-",""))))*1)</f>
      </c>
      <c r="O304" s="18" t="str">
        <f>SUMPRODUCT(LEN(SUBSTITUTE(SUBSTITUTE(SUBSTITUTE(N298:N302," ",""),"0",""),"-",""))+LEN(SUBSTITUTE(SUBSTITUTE(SUBSTITUTE(O298:O302," ",""),"0",""),"-","")))</f>
      </c>
      <c r="P304" s="14"/>
      <c r="Q304" s="18" t="str">
        <f>SUMPRODUCT(LEN(SUBSTITUTE(SUBSTITUTE(SUBSTITUTE(Q298:Q302," ",""),"0",""),"-",""))+LEN(SUBSTITUTE(SUBSTITUTE(SUBSTITUTE(R298:R302," ",""),"0",""),"-","")))</f>
      </c>
      <c r="R304" s="18" t="str">
        <f>SUMPRODUCT((UPPER(P298:P302)&lt;&gt;"X")*((LEN(SUBSTITUTE(SUBSTITUTE(SUBSTITUTE(Q298:Q302," ",""),"0",""),"-",""))+LEN(SUBSTITUTE(SUBSTITUTE(SUBSTITUTE(R298:R302," ",""),"0",""),"-","")))&gt;(LEN(SUBSTITUTE(SUBSTITUTE(SUBSTITUTE(N298:N302," ",""),"0",""),"-",""))+LEN(SUBSTITUTE(SUBSTITUTE(SUBSTITUTE(O298:O302," ",""),"0",""),"-",""))))*1)</f>
      </c>
      <c r="S304" s="14" t="str">
        <f>CONCATENATE("Pool P-1st ",'Pool Matches'!O48)</f>
      </c>
    </row>
    <row r="305">
      <c r="A305" s="14" t="s">
        <v>346</v>
      </c>
      <c r="B305" s="14"/>
      <c r="C305" s="14"/>
      <c r="D305" s="14"/>
      <c r="E305" s="14"/>
      <c r="F305" s="14"/>
      <c r="G305" s="14" t="s">
        <v>346</v>
      </c>
      <c r="M305" s="14" t="s">
        <v>346</v>
      </c>
      <c r="N305" s="14"/>
      <c r="O305" s="14"/>
      <c r="P305" s="14"/>
      <c r="Q305" s="14"/>
      <c r="R305" s="14"/>
      <c r="S305" s="14" t="s">
        <v>346</v>
      </c>
    </row>
    <row r="308">
      <c r="F308" t="s">
        <v>347</v>
      </c>
      <c r="G308" s="19"/>
      <c r="R308" t="s">
        <v>347</v>
      </c>
      <c r="S308" s="19"/>
    </row>
    <row r="309">
      <c r="F309" t="s">
        <v>348</v>
      </c>
      <c r="G309" s="19"/>
      <c r="R309" t="s">
        <v>348</v>
      </c>
      <c r="S309" s="19"/>
    </row>
    <row r="311">
      <c r="A311" s="13" t="s">
        <v>386</v>
      </c>
      <c r="B311" s="13"/>
      <c r="C311" s="13"/>
      <c r="D311" s="13"/>
      <c r="E311" s="13"/>
      <c r="F311" s="13"/>
      <c r="G311" s="13"/>
      <c r="M311" s="13" t="s">
        <v>387</v>
      </c>
      <c r="N311" s="13"/>
      <c r="O311" s="13"/>
      <c r="P311" s="13"/>
      <c r="Q311" s="13"/>
      <c r="R311" s="13"/>
      <c r="S311" s="13"/>
    </row>
    <row r="312">
      <c r="A312" s="17" t="s">
        <v>238</v>
      </c>
      <c r="D312" s="14" t="s">
        <v>239</v>
      </c>
      <c r="G312" s="16" t="s">
        <v>240</v>
      </c>
      <c r="M312" s="17" t="s">
        <v>238</v>
      </c>
      <c r="P312" s="14" t="s">
        <v>239</v>
      </c>
      <c r="S312" s="16" t="s">
        <v>240</v>
      </c>
    </row>
    <row r="313">
      <c r="A313" s="14" t="str">
        <f>CONCATENATE("M 10 ",G159)</f>
      </c>
      <c r="B313" s="18"/>
      <c r="C313" s="18"/>
      <c r="D313" s="18"/>
      <c r="E313" s="18"/>
      <c r="F313" s="18"/>
      <c r="G313" s="14" t="str">
        <f>CONCATENATE("M 9 ",G143)</f>
      </c>
      <c r="M313" s="14" t="str">
        <f>CONCATENATE("M 24 ",S159)</f>
      </c>
      <c r="N313" s="18"/>
      <c r="O313" s="18"/>
      <c r="P313" s="18"/>
      <c r="Q313" s="18"/>
      <c r="R313" s="18"/>
      <c r="S313" s="14" t="str">
        <f>CONCATENATE("M 23 ",S143)</f>
      </c>
    </row>
    <row r="314">
      <c r="A314" s="14">
        <v>1</v>
      </c>
      <c r="B314" s="18"/>
      <c r="C314" s="18"/>
      <c r="D314" s="18"/>
      <c r="E314" s="18"/>
      <c r="F314" s="18"/>
      <c r="G314" s="14">
        <v>1</v>
      </c>
      <c r="M314" s="14">
        <v>1</v>
      </c>
      <c r="N314" s="18"/>
      <c r="O314" s="18"/>
      <c r="P314" s="18"/>
      <c r="Q314" s="18"/>
      <c r="R314" s="18"/>
      <c r="S314" s="14">
        <v>1</v>
      </c>
    </row>
    <row r="315">
      <c r="A315" s="14">
        <v>2</v>
      </c>
      <c r="B315" s="18"/>
      <c r="C315" s="18"/>
      <c r="D315" s="18"/>
      <c r="E315" s="18"/>
      <c r="F315" s="18"/>
      <c r="G315" s="14">
        <v>2</v>
      </c>
      <c r="M315" s="14">
        <v>2</v>
      </c>
      <c r="N315" s="18"/>
      <c r="O315" s="18"/>
      <c r="P315" s="18"/>
      <c r="Q315" s="18"/>
      <c r="R315" s="18"/>
      <c r="S315" s="14">
        <v>2</v>
      </c>
    </row>
    <row r="316">
      <c r="A316" s="14">
        <v>3</v>
      </c>
      <c r="B316" s="18"/>
      <c r="C316" s="18"/>
      <c r="D316" s="18"/>
      <c r="E316" s="18"/>
      <c r="F316" s="18"/>
      <c r="G316" s="14">
        <v>3</v>
      </c>
      <c r="M316" s="14">
        <v>3</v>
      </c>
      <c r="N316" s="18"/>
      <c r="O316" s="18"/>
      <c r="P316" s="18"/>
      <c r="Q316" s="18"/>
      <c r="R316" s="18"/>
      <c r="S316" s="14">
        <v>3</v>
      </c>
    </row>
    <row r="317">
      <c r="A317" s="14">
        <v>4</v>
      </c>
      <c r="B317" s="18"/>
      <c r="C317" s="18"/>
      <c r="D317" s="18"/>
      <c r="E317" s="18"/>
      <c r="F317" s="18"/>
      <c r="G317" s="14">
        <v>4</v>
      </c>
      <c r="M317" s="14">
        <v>4</v>
      </c>
      <c r="N317" s="18"/>
      <c r="O317" s="18"/>
      <c r="P317" s="18"/>
      <c r="Q317" s="18"/>
      <c r="R317" s="18"/>
      <c r="S317" s="14">
        <v>4</v>
      </c>
    </row>
    <row r="318">
      <c r="A318" s="14">
        <v>5</v>
      </c>
      <c r="B318" s="18"/>
      <c r="C318" s="18"/>
      <c r="D318" s="18"/>
      <c r="E318" s="18"/>
      <c r="F318" s="18"/>
      <c r="G318" s="14">
        <v>5</v>
      </c>
      <c r="M318" s="14">
        <v>5</v>
      </c>
      <c r="N318" s="18"/>
      <c r="O318" s="18"/>
      <c r="P318" s="18"/>
      <c r="Q318" s="18"/>
      <c r="R318" s="18"/>
      <c r="S318" s="14">
        <v>5</v>
      </c>
    </row>
    <row r="320">
      <c r="A320" s="14" t="str">
        <f>CONCATENATE("M 10 ",G159)</f>
      </c>
      <c r="B320" s="18" t="str">
        <f>SUMPRODUCT((UPPER(D314:D318)&lt;&gt;"X")*((LEN(SUBSTITUTE(SUBSTITUTE(SUBSTITUTE(B314:B318," ",""),"0",""),"-",""))+LEN(SUBSTITUTE(SUBSTITUTE(SUBSTITUTE(C314:C318," ",""),"0",""),"-","")))&gt;(LEN(SUBSTITUTE(SUBSTITUTE(SUBSTITUTE(E314:E318," ",""),"0",""),"-",""))+LEN(SUBSTITUTE(SUBSTITUTE(SUBSTITUTE(F314:F318," ",""),"0",""),"-",""))))*1)</f>
      </c>
      <c r="C320" s="18" t="str">
        <f>SUMPRODUCT(LEN(SUBSTITUTE(SUBSTITUTE(SUBSTITUTE(B314:B318," ",""),"0",""),"-",""))+LEN(SUBSTITUTE(SUBSTITUTE(SUBSTITUTE(C314:C318," ",""),"0",""),"-","")))</f>
      </c>
      <c r="D320" s="14"/>
      <c r="E320" s="18" t="str">
        <f>SUMPRODUCT(LEN(SUBSTITUTE(SUBSTITUTE(SUBSTITUTE(E314:E318," ",""),"0",""),"-",""))+LEN(SUBSTITUTE(SUBSTITUTE(SUBSTITUTE(F314:F318," ",""),"0",""),"-","")))</f>
      </c>
      <c r="F320" s="18" t="str">
        <f>SUMPRODUCT((UPPER(D314:D318)&lt;&gt;"X")*((LEN(SUBSTITUTE(SUBSTITUTE(SUBSTITUTE(E314:E318," ",""),"0",""),"-",""))+LEN(SUBSTITUTE(SUBSTITUTE(SUBSTITUTE(F314:F318," ",""),"0",""),"-","")))&gt;(LEN(SUBSTITUTE(SUBSTITUTE(SUBSTITUTE(B314:B318," ",""),"0",""),"-",""))+LEN(SUBSTITUTE(SUBSTITUTE(SUBSTITUTE(C314:C318," ",""),"0",""),"-",""))))*1)</f>
      </c>
      <c r="G320" s="14" t="str">
        <f>CONCATENATE("M 9 ",G143)</f>
      </c>
      <c r="M320" s="14" t="str">
        <f>CONCATENATE("M 24 ",S159)</f>
      </c>
      <c r="N320" s="18" t="str">
        <f>SUMPRODUCT((UPPER(P314:P318)&lt;&gt;"X")*((LEN(SUBSTITUTE(SUBSTITUTE(SUBSTITUTE(N314:N318," ",""),"0",""),"-",""))+LEN(SUBSTITUTE(SUBSTITUTE(SUBSTITUTE(O314:O318," ",""),"0",""),"-","")))&gt;(LEN(SUBSTITUTE(SUBSTITUTE(SUBSTITUTE(Q314:Q318," ",""),"0",""),"-",""))+LEN(SUBSTITUTE(SUBSTITUTE(SUBSTITUTE(R314:R318," ",""),"0",""),"-",""))))*1)</f>
      </c>
      <c r="O320" s="18" t="str">
        <f>SUMPRODUCT(LEN(SUBSTITUTE(SUBSTITUTE(SUBSTITUTE(N314:N318," ",""),"0",""),"-",""))+LEN(SUBSTITUTE(SUBSTITUTE(SUBSTITUTE(O314:O318," ",""),"0",""),"-","")))</f>
      </c>
      <c r="P320" s="14"/>
      <c r="Q320" s="18" t="str">
        <f>SUMPRODUCT(LEN(SUBSTITUTE(SUBSTITUTE(SUBSTITUTE(Q314:Q318," ",""),"0",""),"-",""))+LEN(SUBSTITUTE(SUBSTITUTE(SUBSTITUTE(R314:R318," ",""),"0",""),"-","")))</f>
      </c>
      <c r="R320" s="18" t="str">
        <f>SUMPRODUCT((UPPER(P314:P318)&lt;&gt;"X")*((LEN(SUBSTITUTE(SUBSTITUTE(SUBSTITUTE(Q314:Q318," ",""),"0",""),"-",""))+LEN(SUBSTITUTE(SUBSTITUTE(SUBSTITUTE(R314:R318," ",""),"0",""),"-","")))&gt;(LEN(SUBSTITUTE(SUBSTITUTE(SUBSTITUTE(N314:N318," ",""),"0",""),"-",""))+LEN(SUBSTITUTE(SUBSTITUTE(SUBSTITUTE(O314:O318," ",""),"0",""),"-",""))))*1)</f>
      </c>
      <c r="S320" s="14" t="str">
        <f>CONCATENATE("M 23 ",S143)</f>
      </c>
    </row>
    <row r="321">
      <c r="A321" s="14" t="s">
        <v>346</v>
      </c>
      <c r="B321" s="14"/>
      <c r="C321" s="14"/>
      <c r="D321" s="14"/>
      <c r="E321" s="14"/>
      <c r="F321" s="14"/>
      <c r="G321" s="14" t="s">
        <v>346</v>
      </c>
      <c r="M321" s="14" t="s">
        <v>346</v>
      </c>
      <c r="N321" s="14"/>
      <c r="O321" s="14"/>
      <c r="P321" s="14"/>
      <c r="Q321" s="14"/>
      <c r="R321" s="14"/>
      <c r="S321" s="14" t="s">
        <v>346</v>
      </c>
    </row>
    <row r="324">
      <c r="F324" t="s">
        <v>347</v>
      </c>
      <c r="G324" s="19"/>
      <c r="R324" t="s">
        <v>347</v>
      </c>
      <c r="S324" s="19"/>
    </row>
    <row r="325">
      <c r="F325" t="s">
        <v>348</v>
      </c>
      <c r="G325" s="19"/>
      <c r="R325" t="s">
        <v>348</v>
      </c>
      <c r="S325" s="19"/>
    </row>
    <row r="327">
      <c r="A327" s="13" t="s">
        <v>388</v>
      </c>
      <c r="B327" s="13"/>
      <c r="C327" s="13"/>
      <c r="D327" s="13"/>
      <c r="E327" s="13"/>
      <c r="F327" s="13"/>
      <c r="G327" s="13"/>
      <c r="M327" s="13" t="s">
        <v>389</v>
      </c>
      <c r="N327" s="13"/>
      <c r="O327" s="13"/>
      <c r="P327" s="13"/>
      <c r="Q327" s="13"/>
      <c r="R327" s="13"/>
      <c r="S327" s="13"/>
    </row>
    <row r="328">
      <c r="A328" s="17" t="s">
        <v>238</v>
      </c>
      <c r="D328" s="14" t="s">
        <v>239</v>
      </c>
      <c r="G328" s="16" t="s">
        <v>240</v>
      </c>
      <c r="M328" s="17" t="s">
        <v>238</v>
      </c>
      <c r="P328" s="14" t="s">
        <v>239</v>
      </c>
      <c r="S328" s="16" t="s">
        <v>240</v>
      </c>
    </row>
    <row r="329">
      <c r="A329" s="14" t="str">
        <f>CONCATENATE("M 12 ",G191)</f>
      </c>
      <c r="B329" s="18"/>
      <c r="C329" s="18"/>
      <c r="D329" s="18"/>
      <c r="E329" s="18"/>
      <c r="F329" s="18"/>
      <c r="G329" s="14" t="str">
        <f>CONCATENATE("M 11 ",G175)</f>
      </c>
      <c r="M329" s="14" t="str">
        <f>CONCATENATE("M 26 ",S191)</f>
      </c>
      <c r="N329" s="18"/>
      <c r="O329" s="18"/>
      <c r="P329" s="18"/>
      <c r="Q329" s="18"/>
      <c r="R329" s="18"/>
      <c r="S329" s="14" t="str">
        <f>CONCATENATE("M 25 ",S175)</f>
      </c>
    </row>
    <row r="330">
      <c r="A330" s="14">
        <v>1</v>
      </c>
      <c r="B330" s="18"/>
      <c r="C330" s="18"/>
      <c r="D330" s="18"/>
      <c r="E330" s="18"/>
      <c r="F330" s="18"/>
      <c r="G330" s="14">
        <v>1</v>
      </c>
      <c r="M330" s="14">
        <v>1</v>
      </c>
      <c r="N330" s="18"/>
      <c r="O330" s="18"/>
      <c r="P330" s="18"/>
      <c r="Q330" s="18"/>
      <c r="R330" s="18"/>
      <c r="S330" s="14">
        <v>1</v>
      </c>
    </row>
    <row r="331">
      <c r="A331" s="14">
        <v>2</v>
      </c>
      <c r="B331" s="18"/>
      <c r="C331" s="18"/>
      <c r="D331" s="18"/>
      <c r="E331" s="18"/>
      <c r="F331" s="18"/>
      <c r="G331" s="14">
        <v>2</v>
      </c>
      <c r="M331" s="14">
        <v>2</v>
      </c>
      <c r="N331" s="18"/>
      <c r="O331" s="18"/>
      <c r="P331" s="18"/>
      <c r="Q331" s="18"/>
      <c r="R331" s="18"/>
      <c r="S331" s="14">
        <v>2</v>
      </c>
    </row>
    <row r="332">
      <c r="A332" s="14">
        <v>3</v>
      </c>
      <c r="B332" s="18"/>
      <c r="C332" s="18"/>
      <c r="D332" s="18"/>
      <c r="E332" s="18"/>
      <c r="F332" s="18"/>
      <c r="G332" s="14">
        <v>3</v>
      </c>
      <c r="M332" s="14">
        <v>3</v>
      </c>
      <c r="N332" s="18"/>
      <c r="O332" s="18"/>
      <c r="P332" s="18"/>
      <c r="Q332" s="18"/>
      <c r="R332" s="18"/>
      <c r="S332" s="14">
        <v>3</v>
      </c>
    </row>
    <row r="333">
      <c r="A333" s="14">
        <v>4</v>
      </c>
      <c r="B333" s="18"/>
      <c r="C333" s="18"/>
      <c r="D333" s="18"/>
      <c r="E333" s="18"/>
      <c r="F333" s="18"/>
      <c r="G333" s="14">
        <v>4</v>
      </c>
      <c r="M333" s="14">
        <v>4</v>
      </c>
      <c r="N333" s="18"/>
      <c r="O333" s="18"/>
      <c r="P333" s="18"/>
      <c r="Q333" s="18"/>
      <c r="R333" s="18"/>
      <c r="S333" s="14">
        <v>4</v>
      </c>
    </row>
    <row r="334">
      <c r="A334" s="14">
        <v>5</v>
      </c>
      <c r="B334" s="18"/>
      <c r="C334" s="18"/>
      <c r="D334" s="18"/>
      <c r="E334" s="18"/>
      <c r="F334" s="18"/>
      <c r="G334" s="14">
        <v>5</v>
      </c>
      <c r="M334" s="14">
        <v>5</v>
      </c>
      <c r="N334" s="18"/>
      <c r="O334" s="18"/>
      <c r="P334" s="18"/>
      <c r="Q334" s="18"/>
      <c r="R334" s="18"/>
      <c r="S334" s="14">
        <v>5</v>
      </c>
    </row>
    <row r="336">
      <c r="A336" s="14" t="str">
        <f>CONCATENATE("M 12 ",G191)</f>
      </c>
      <c r="B336" s="18" t="str">
        <f>SUMPRODUCT((UPPER(D330:D334)&lt;&gt;"X")*((LEN(SUBSTITUTE(SUBSTITUTE(SUBSTITUTE(B330:B334," ",""),"0",""),"-",""))+LEN(SUBSTITUTE(SUBSTITUTE(SUBSTITUTE(C330:C334," ",""),"0",""),"-","")))&gt;(LEN(SUBSTITUTE(SUBSTITUTE(SUBSTITUTE(E330:E334," ",""),"0",""),"-",""))+LEN(SUBSTITUTE(SUBSTITUTE(SUBSTITUTE(F330:F334," ",""),"0",""),"-",""))))*1)</f>
      </c>
      <c r="C336" s="18" t="str">
        <f>SUMPRODUCT(LEN(SUBSTITUTE(SUBSTITUTE(SUBSTITUTE(B330:B334," ",""),"0",""),"-",""))+LEN(SUBSTITUTE(SUBSTITUTE(SUBSTITUTE(C330:C334," ",""),"0",""),"-","")))</f>
      </c>
      <c r="D336" s="14"/>
      <c r="E336" s="18" t="str">
        <f>SUMPRODUCT(LEN(SUBSTITUTE(SUBSTITUTE(SUBSTITUTE(E330:E334," ",""),"0",""),"-",""))+LEN(SUBSTITUTE(SUBSTITUTE(SUBSTITUTE(F330:F334," ",""),"0",""),"-","")))</f>
      </c>
      <c r="F336" s="18" t="str">
        <f>SUMPRODUCT((UPPER(D330:D334)&lt;&gt;"X")*((LEN(SUBSTITUTE(SUBSTITUTE(SUBSTITUTE(E330:E334," ",""),"0",""),"-",""))+LEN(SUBSTITUTE(SUBSTITUTE(SUBSTITUTE(F330:F334," ",""),"0",""),"-","")))&gt;(LEN(SUBSTITUTE(SUBSTITUTE(SUBSTITUTE(B330:B334," ",""),"0",""),"-",""))+LEN(SUBSTITUTE(SUBSTITUTE(SUBSTITUTE(C330:C334," ",""),"0",""),"-",""))))*1)</f>
      </c>
      <c r="G336" s="14" t="str">
        <f>CONCATENATE("M 11 ",G175)</f>
      </c>
      <c r="M336" s="14" t="str">
        <f>CONCATENATE("M 26 ",S191)</f>
      </c>
      <c r="N336" s="18" t="str">
        <f>SUMPRODUCT((UPPER(P330:P334)&lt;&gt;"X")*((LEN(SUBSTITUTE(SUBSTITUTE(SUBSTITUTE(N330:N334," ",""),"0",""),"-",""))+LEN(SUBSTITUTE(SUBSTITUTE(SUBSTITUTE(O330:O334," ",""),"0",""),"-","")))&gt;(LEN(SUBSTITUTE(SUBSTITUTE(SUBSTITUTE(Q330:Q334," ",""),"0",""),"-",""))+LEN(SUBSTITUTE(SUBSTITUTE(SUBSTITUTE(R330:R334," ",""),"0",""),"-",""))))*1)</f>
      </c>
      <c r="O336" s="18" t="str">
        <f>SUMPRODUCT(LEN(SUBSTITUTE(SUBSTITUTE(SUBSTITUTE(N330:N334," ",""),"0",""),"-",""))+LEN(SUBSTITUTE(SUBSTITUTE(SUBSTITUTE(O330:O334," ",""),"0",""),"-","")))</f>
      </c>
      <c r="P336" s="14"/>
      <c r="Q336" s="18" t="str">
        <f>SUMPRODUCT(LEN(SUBSTITUTE(SUBSTITUTE(SUBSTITUTE(Q330:Q334," ",""),"0",""),"-",""))+LEN(SUBSTITUTE(SUBSTITUTE(SUBSTITUTE(R330:R334," ",""),"0",""),"-","")))</f>
      </c>
      <c r="R336" s="18" t="str">
        <f>SUMPRODUCT((UPPER(P330:P334)&lt;&gt;"X")*((LEN(SUBSTITUTE(SUBSTITUTE(SUBSTITUTE(Q330:Q334," ",""),"0",""),"-",""))+LEN(SUBSTITUTE(SUBSTITUTE(SUBSTITUTE(R330:R334," ",""),"0",""),"-","")))&gt;(LEN(SUBSTITUTE(SUBSTITUTE(SUBSTITUTE(N330:N334," ",""),"0",""),"-",""))+LEN(SUBSTITUTE(SUBSTITUTE(SUBSTITUTE(O330:O334," ",""),"0",""),"-",""))))*1)</f>
      </c>
      <c r="S336" s="14" t="str">
        <f>CONCATENATE("M 25 ",S175)</f>
      </c>
    </row>
    <row r="337">
      <c r="A337" s="14" t="s">
        <v>346</v>
      </c>
      <c r="B337" s="14"/>
      <c r="C337" s="14"/>
      <c r="D337" s="14"/>
      <c r="E337" s="14"/>
      <c r="F337" s="14"/>
      <c r="G337" s="14" t="s">
        <v>346</v>
      </c>
      <c r="M337" s="14" t="s">
        <v>346</v>
      </c>
      <c r="N337" s="14"/>
      <c r="O337" s="14"/>
      <c r="P337" s="14"/>
      <c r="Q337" s="14"/>
      <c r="R337" s="14"/>
      <c r="S337" s="14" t="s">
        <v>346</v>
      </c>
    </row>
    <row r="340">
      <c r="F340" t="s">
        <v>347</v>
      </c>
      <c r="G340" s="19"/>
      <c r="R340" t="s">
        <v>347</v>
      </c>
      <c r="S340" s="19"/>
    </row>
    <row r="341">
      <c r="F341" t="s">
        <v>348</v>
      </c>
      <c r="G341" s="19"/>
      <c r="R341" t="s">
        <v>348</v>
      </c>
      <c r="S341" s="19"/>
    </row>
    <row r="343">
      <c r="A343" s="13" t="s">
        <v>390</v>
      </c>
      <c r="B343" s="13"/>
      <c r="C343" s="13"/>
      <c r="D343" s="13"/>
      <c r="E343" s="13"/>
      <c r="F343" s="13"/>
      <c r="G343" s="13"/>
      <c r="M343" s="13" t="s">
        <v>391</v>
      </c>
      <c r="N343" s="13"/>
      <c r="O343" s="13"/>
      <c r="P343" s="13"/>
      <c r="Q343" s="13"/>
      <c r="R343" s="13"/>
      <c r="S343" s="13"/>
    </row>
    <row r="344">
      <c r="A344" s="17" t="s">
        <v>238</v>
      </c>
      <c r="D344" s="14" t="s">
        <v>239</v>
      </c>
      <c r="G344" s="16" t="s">
        <v>240</v>
      </c>
      <c r="M344" s="17" t="s">
        <v>238</v>
      </c>
      <c r="P344" s="14" t="s">
        <v>239</v>
      </c>
      <c r="S344" s="16" t="s">
        <v>240</v>
      </c>
    </row>
    <row r="345">
      <c r="A345" s="14" t="str">
        <f>CONCATENATE("M 14 ",G223)</f>
      </c>
      <c r="B345" s="18"/>
      <c r="C345" s="18"/>
      <c r="D345" s="18"/>
      <c r="E345" s="18"/>
      <c r="F345" s="18"/>
      <c r="G345" s="14" t="str">
        <f>CONCATENATE("M 13 ",G207)</f>
      </c>
      <c r="M345" s="14" t="str">
        <f>CONCATENATE("M 28 ",S223)</f>
      </c>
      <c r="N345" s="18"/>
      <c r="O345" s="18"/>
      <c r="P345" s="18"/>
      <c r="Q345" s="18"/>
      <c r="R345" s="18"/>
      <c r="S345" s="14" t="str">
        <f>CONCATENATE("M 27 ",S207)</f>
      </c>
    </row>
    <row r="346">
      <c r="A346" s="14">
        <v>1</v>
      </c>
      <c r="B346" s="18"/>
      <c r="C346" s="18"/>
      <c r="D346" s="18"/>
      <c r="E346" s="18"/>
      <c r="F346" s="18"/>
      <c r="G346" s="14">
        <v>1</v>
      </c>
      <c r="M346" s="14">
        <v>1</v>
      </c>
      <c r="N346" s="18"/>
      <c r="O346" s="18"/>
      <c r="P346" s="18"/>
      <c r="Q346" s="18"/>
      <c r="R346" s="18"/>
      <c r="S346" s="14">
        <v>1</v>
      </c>
    </row>
    <row r="347">
      <c r="A347" s="14">
        <v>2</v>
      </c>
      <c r="B347" s="18"/>
      <c r="C347" s="18"/>
      <c r="D347" s="18"/>
      <c r="E347" s="18"/>
      <c r="F347" s="18"/>
      <c r="G347" s="14">
        <v>2</v>
      </c>
      <c r="M347" s="14">
        <v>2</v>
      </c>
      <c r="N347" s="18"/>
      <c r="O347" s="18"/>
      <c r="P347" s="18"/>
      <c r="Q347" s="18"/>
      <c r="R347" s="18"/>
      <c r="S347" s="14">
        <v>2</v>
      </c>
    </row>
    <row r="348">
      <c r="A348" s="14">
        <v>3</v>
      </c>
      <c r="B348" s="18"/>
      <c r="C348" s="18"/>
      <c r="D348" s="18"/>
      <c r="E348" s="18"/>
      <c r="F348" s="18"/>
      <c r="G348" s="14">
        <v>3</v>
      </c>
      <c r="M348" s="14">
        <v>3</v>
      </c>
      <c r="N348" s="18"/>
      <c r="O348" s="18"/>
      <c r="P348" s="18"/>
      <c r="Q348" s="18"/>
      <c r="R348" s="18"/>
      <c r="S348" s="14">
        <v>3</v>
      </c>
    </row>
    <row r="349">
      <c r="A349" s="14">
        <v>4</v>
      </c>
      <c r="B349" s="18"/>
      <c r="C349" s="18"/>
      <c r="D349" s="18"/>
      <c r="E349" s="18"/>
      <c r="F349" s="18"/>
      <c r="G349" s="14">
        <v>4</v>
      </c>
      <c r="M349" s="14">
        <v>4</v>
      </c>
      <c r="N349" s="18"/>
      <c r="O349" s="18"/>
      <c r="P349" s="18"/>
      <c r="Q349" s="18"/>
      <c r="R349" s="18"/>
      <c r="S349" s="14">
        <v>4</v>
      </c>
    </row>
    <row r="350">
      <c r="A350" s="14">
        <v>5</v>
      </c>
      <c r="B350" s="18"/>
      <c r="C350" s="18"/>
      <c r="D350" s="18"/>
      <c r="E350" s="18"/>
      <c r="F350" s="18"/>
      <c r="G350" s="14">
        <v>5</v>
      </c>
      <c r="M350" s="14">
        <v>5</v>
      </c>
      <c r="N350" s="18"/>
      <c r="O350" s="18"/>
      <c r="P350" s="18"/>
      <c r="Q350" s="18"/>
      <c r="R350" s="18"/>
      <c r="S350" s="14">
        <v>5</v>
      </c>
    </row>
    <row r="352">
      <c r="A352" s="14" t="str">
        <f>CONCATENATE("M 14 ",G223)</f>
      </c>
      <c r="B352" s="18" t="str">
        <f>SUMPRODUCT((UPPER(D346:D350)&lt;&gt;"X")*((LEN(SUBSTITUTE(SUBSTITUTE(SUBSTITUTE(B346:B350," ",""),"0",""),"-",""))+LEN(SUBSTITUTE(SUBSTITUTE(SUBSTITUTE(C346:C350," ",""),"0",""),"-","")))&gt;(LEN(SUBSTITUTE(SUBSTITUTE(SUBSTITUTE(E346:E350," ",""),"0",""),"-",""))+LEN(SUBSTITUTE(SUBSTITUTE(SUBSTITUTE(F346:F350," ",""),"0",""),"-",""))))*1)</f>
      </c>
      <c r="C352" s="18" t="str">
        <f>SUMPRODUCT(LEN(SUBSTITUTE(SUBSTITUTE(SUBSTITUTE(B346:B350," ",""),"0",""),"-",""))+LEN(SUBSTITUTE(SUBSTITUTE(SUBSTITUTE(C346:C350," ",""),"0",""),"-","")))</f>
      </c>
      <c r="D352" s="14"/>
      <c r="E352" s="18" t="str">
        <f>SUMPRODUCT(LEN(SUBSTITUTE(SUBSTITUTE(SUBSTITUTE(E346:E350," ",""),"0",""),"-",""))+LEN(SUBSTITUTE(SUBSTITUTE(SUBSTITUTE(F346:F350," ",""),"0",""),"-","")))</f>
      </c>
      <c r="F352" s="18" t="str">
        <f>SUMPRODUCT((UPPER(D346:D350)&lt;&gt;"X")*((LEN(SUBSTITUTE(SUBSTITUTE(SUBSTITUTE(E346:E350," ",""),"0",""),"-",""))+LEN(SUBSTITUTE(SUBSTITUTE(SUBSTITUTE(F346:F350," ",""),"0",""),"-","")))&gt;(LEN(SUBSTITUTE(SUBSTITUTE(SUBSTITUTE(B346:B350," ",""),"0",""),"-",""))+LEN(SUBSTITUTE(SUBSTITUTE(SUBSTITUTE(C346:C350," ",""),"0",""),"-",""))))*1)</f>
      </c>
      <c r="G352" s="14" t="str">
        <f>CONCATENATE("M 13 ",G207)</f>
      </c>
      <c r="M352" s="14" t="str">
        <f>CONCATENATE("M 28 ",S223)</f>
      </c>
      <c r="N352" s="18" t="str">
        <f>SUMPRODUCT((UPPER(P346:P350)&lt;&gt;"X")*((LEN(SUBSTITUTE(SUBSTITUTE(SUBSTITUTE(N346:N350," ",""),"0",""),"-",""))+LEN(SUBSTITUTE(SUBSTITUTE(SUBSTITUTE(O346:O350," ",""),"0",""),"-","")))&gt;(LEN(SUBSTITUTE(SUBSTITUTE(SUBSTITUTE(Q346:Q350," ",""),"0",""),"-",""))+LEN(SUBSTITUTE(SUBSTITUTE(SUBSTITUTE(R346:R350," ",""),"0",""),"-",""))))*1)</f>
      </c>
      <c r="O352" s="18" t="str">
        <f>SUMPRODUCT(LEN(SUBSTITUTE(SUBSTITUTE(SUBSTITUTE(N346:N350," ",""),"0",""),"-",""))+LEN(SUBSTITUTE(SUBSTITUTE(SUBSTITUTE(O346:O350," ",""),"0",""),"-","")))</f>
      </c>
      <c r="P352" s="14"/>
      <c r="Q352" s="18" t="str">
        <f>SUMPRODUCT(LEN(SUBSTITUTE(SUBSTITUTE(SUBSTITUTE(Q346:Q350," ",""),"0",""),"-",""))+LEN(SUBSTITUTE(SUBSTITUTE(SUBSTITUTE(R346:R350," ",""),"0",""),"-","")))</f>
      </c>
      <c r="R352" s="18" t="str">
        <f>SUMPRODUCT((UPPER(P346:P350)&lt;&gt;"X")*((LEN(SUBSTITUTE(SUBSTITUTE(SUBSTITUTE(Q346:Q350," ",""),"0",""),"-",""))+LEN(SUBSTITUTE(SUBSTITUTE(SUBSTITUTE(R346:R350," ",""),"0",""),"-","")))&gt;(LEN(SUBSTITUTE(SUBSTITUTE(SUBSTITUTE(N346:N350," ",""),"0",""),"-",""))+LEN(SUBSTITUTE(SUBSTITUTE(SUBSTITUTE(O346:O350," ",""),"0",""),"-",""))))*1)</f>
      </c>
      <c r="S352" s="14" t="str">
        <f>CONCATENATE("M 27 ",S207)</f>
      </c>
    </row>
    <row r="353">
      <c r="A353" s="14" t="s">
        <v>346</v>
      </c>
      <c r="B353" s="14"/>
      <c r="C353" s="14"/>
      <c r="D353" s="14"/>
      <c r="E353" s="14"/>
      <c r="F353" s="14"/>
      <c r="G353" s="14" t="s">
        <v>346</v>
      </c>
      <c r="M353" s="14" t="s">
        <v>346</v>
      </c>
      <c r="N353" s="14"/>
      <c r="O353" s="14"/>
      <c r="P353" s="14"/>
      <c r="Q353" s="14"/>
      <c r="R353" s="14"/>
      <c r="S353" s="14" t="s">
        <v>346</v>
      </c>
    </row>
    <row r="356">
      <c r="F356" t="s">
        <v>347</v>
      </c>
      <c r="G356" s="19"/>
      <c r="R356" t="s">
        <v>347</v>
      </c>
      <c r="S356" s="19"/>
    </row>
    <row r="357">
      <c r="F357" t="s">
        <v>348</v>
      </c>
      <c r="G357" s="19"/>
      <c r="R357" t="s">
        <v>348</v>
      </c>
      <c r="S357" s="19"/>
    </row>
    <row r="364">
      <c r="A364" s="13" t="s">
        <v>392</v>
      </c>
      <c r="B364" s="13"/>
      <c r="C364" s="13"/>
      <c r="D364" s="13"/>
      <c r="E364" s="13"/>
      <c r="F364" s="13"/>
      <c r="G364" s="13"/>
      <c r="M364" s="13" t="s">
        <v>393</v>
      </c>
      <c r="N364" s="13"/>
      <c r="O364" s="13"/>
      <c r="P364" s="13"/>
      <c r="Q364" s="13"/>
      <c r="R364" s="13"/>
      <c r="S364" s="13"/>
    </row>
    <row r="365">
      <c r="A365" s="17" t="s">
        <v>238</v>
      </c>
      <c r="D365" s="14" t="s">
        <v>239</v>
      </c>
      <c r="G365" s="16" t="s">
        <v>240</v>
      </c>
      <c r="M365" s="17" t="s">
        <v>238</v>
      </c>
      <c r="P365" s="14" t="s">
        <v>239</v>
      </c>
      <c r="S365" s="16" t="s">
        <v>240</v>
      </c>
    </row>
    <row r="366">
      <c r="A366" s="14" t="str">
        <f>CONCATENATE("M 30 ",G260)</f>
      </c>
      <c r="B366" s="18"/>
      <c r="C366" s="18"/>
      <c r="D366" s="18"/>
      <c r="E366" s="18"/>
      <c r="F366" s="18"/>
      <c r="G366" s="14" t="str">
        <f>CONCATENATE("M 29 ",G244)</f>
      </c>
      <c r="M366" s="14" t="str">
        <f>CONCATENATE("M 38 ",S260)</f>
      </c>
      <c r="N366" s="18"/>
      <c r="O366" s="18"/>
      <c r="P366" s="18"/>
      <c r="Q366" s="18"/>
      <c r="R366" s="18"/>
      <c r="S366" s="14" t="str">
        <f>CONCATENATE("M 37 ",S244)</f>
      </c>
    </row>
    <row r="367">
      <c r="A367" s="14">
        <v>1</v>
      </c>
      <c r="B367" s="18"/>
      <c r="C367" s="18"/>
      <c r="D367" s="18"/>
      <c r="E367" s="18"/>
      <c r="F367" s="18"/>
      <c r="G367" s="14">
        <v>1</v>
      </c>
      <c r="M367" s="14">
        <v>1</v>
      </c>
      <c r="N367" s="18"/>
      <c r="O367" s="18"/>
      <c r="P367" s="18"/>
      <c r="Q367" s="18"/>
      <c r="R367" s="18"/>
      <c r="S367" s="14">
        <v>1</v>
      </c>
    </row>
    <row r="368">
      <c r="A368" s="14">
        <v>2</v>
      </c>
      <c r="B368" s="18"/>
      <c r="C368" s="18"/>
      <c r="D368" s="18"/>
      <c r="E368" s="18"/>
      <c r="F368" s="18"/>
      <c r="G368" s="14">
        <v>2</v>
      </c>
      <c r="M368" s="14">
        <v>2</v>
      </c>
      <c r="N368" s="18"/>
      <c r="O368" s="18"/>
      <c r="P368" s="18"/>
      <c r="Q368" s="18"/>
      <c r="R368" s="18"/>
      <c r="S368" s="14">
        <v>2</v>
      </c>
    </row>
    <row r="369">
      <c r="A369" s="14">
        <v>3</v>
      </c>
      <c r="B369" s="18"/>
      <c r="C369" s="18"/>
      <c r="D369" s="18"/>
      <c r="E369" s="18"/>
      <c r="F369" s="18"/>
      <c r="G369" s="14">
        <v>3</v>
      </c>
      <c r="M369" s="14">
        <v>3</v>
      </c>
      <c r="N369" s="18"/>
      <c r="O369" s="18"/>
      <c r="P369" s="18"/>
      <c r="Q369" s="18"/>
      <c r="R369" s="18"/>
      <c r="S369" s="14">
        <v>3</v>
      </c>
    </row>
    <row r="370">
      <c r="A370" s="14">
        <v>4</v>
      </c>
      <c r="B370" s="18"/>
      <c r="C370" s="18"/>
      <c r="D370" s="18"/>
      <c r="E370" s="18"/>
      <c r="F370" s="18"/>
      <c r="G370" s="14">
        <v>4</v>
      </c>
      <c r="M370" s="14">
        <v>4</v>
      </c>
      <c r="N370" s="18"/>
      <c r="O370" s="18"/>
      <c r="P370" s="18"/>
      <c r="Q370" s="18"/>
      <c r="R370" s="18"/>
      <c r="S370" s="14">
        <v>4</v>
      </c>
    </row>
    <row r="371">
      <c r="A371" s="14">
        <v>5</v>
      </c>
      <c r="B371" s="18"/>
      <c r="C371" s="18"/>
      <c r="D371" s="18"/>
      <c r="E371" s="18"/>
      <c r="F371" s="18"/>
      <c r="G371" s="14">
        <v>5</v>
      </c>
      <c r="M371" s="14">
        <v>5</v>
      </c>
      <c r="N371" s="18"/>
      <c r="O371" s="18"/>
      <c r="P371" s="18"/>
      <c r="Q371" s="18"/>
      <c r="R371" s="18"/>
      <c r="S371" s="14">
        <v>5</v>
      </c>
    </row>
    <row r="373">
      <c r="A373" s="14" t="str">
        <f>CONCATENATE("M 30 ",G260)</f>
      </c>
      <c r="B373" s="18" t="str">
        <f>SUMPRODUCT((UPPER(D367:D371)&lt;&gt;"X")*((LEN(SUBSTITUTE(SUBSTITUTE(SUBSTITUTE(B367:B371," ",""),"0",""),"-",""))+LEN(SUBSTITUTE(SUBSTITUTE(SUBSTITUTE(C367:C371," ",""),"0",""),"-","")))&gt;(LEN(SUBSTITUTE(SUBSTITUTE(SUBSTITUTE(E367:E371," ",""),"0",""),"-",""))+LEN(SUBSTITUTE(SUBSTITUTE(SUBSTITUTE(F367:F371," ",""),"0",""),"-",""))))*1)</f>
      </c>
      <c r="C373" s="18" t="str">
        <f>SUMPRODUCT(LEN(SUBSTITUTE(SUBSTITUTE(SUBSTITUTE(B367:B371," ",""),"0",""),"-",""))+LEN(SUBSTITUTE(SUBSTITUTE(SUBSTITUTE(C367:C371," ",""),"0",""),"-","")))</f>
      </c>
      <c r="D373" s="14"/>
      <c r="E373" s="18" t="str">
        <f>SUMPRODUCT(LEN(SUBSTITUTE(SUBSTITUTE(SUBSTITUTE(E367:E371," ",""),"0",""),"-",""))+LEN(SUBSTITUTE(SUBSTITUTE(SUBSTITUTE(F367:F371," ",""),"0",""),"-","")))</f>
      </c>
      <c r="F373" s="18" t="str">
        <f>SUMPRODUCT((UPPER(D367:D371)&lt;&gt;"X")*((LEN(SUBSTITUTE(SUBSTITUTE(SUBSTITUTE(E367:E371," ",""),"0",""),"-",""))+LEN(SUBSTITUTE(SUBSTITUTE(SUBSTITUTE(F367:F371," ",""),"0",""),"-","")))&gt;(LEN(SUBSTITUTE(SUBSTITUTE(SUBSTITUTE(B367:B371," ",""),"0",""),"-",""))+LEN(SUBSTITUTE(SUBSTITUTE(SUBSTITUTE(C367:C371," ",""),"0",""),"-",""))))*1)</f>
      </c>
      <c r="G373" s="14" t="str">
        <f>CONCATENATE("M 29 ",G244)</f>
      </c>
      <c r="M373" s="14" t="str">
        <f>CONCATENATE("M 38 ",S260)</f>
      </c>
      <c r="N373" s="18" t="str">
        <f>SUMPRODUCT((UPPER(P367:P371)&lt;&gt;"X")*((LEN(SUBSTITUTE(SUBSTITUTE(SUBSTITUTE(N367:N371," ",""),"0",""),"-",""))+LEN(SUBSTITUTE(SUBSTITUTE(SUBSTITUTE(O367:O371," ",""),"0",""),"-","")))&gt;(LEN(SUBSTITUTE(SUBSTITUTE(SUBSTITUTE(Q367:Q371," ",""),"0",""),"-",""))+LEN(SUBSTITUTE(SUBSTITUTE(SUBSTITUTE(R367:R371," ",""),"0",""),"-",""))))*1)</f>
      </c>
      <c r="O373" s="18" t="str">
        <f>SUMPRODUCT(LEN(SUBSTITUTE(SUBSTITUTE(SUBSTITUTE(N367:N371," ",""),"0",""),"-",""))+LEN(SUBSTITUTE(SUBSTITUTE(SUBSTITUTE(O367:O371," ",""),"0",""),"-","")))</f>
      </c>
      <c r="P373" s="14"/>
      <c r="Q373" s="18" t="str">
        <f>SUMPRODUCT(LEN(SUBSTITUTE(SUBSTITUTE(SUBSTITUTE(Q367:Q371," ",""),"0",""),"-",""))+LEN(SUBSTITUTE(SUBSTITUTE(SUBSTITUTE(R367:R371," ",""),"0",""),"-","")))</f>
      </c>
      <c r="R373" s="18" t="str">
        <f>SUMPRODUCT((UPPER(P367:P371)&lt;&gt;"X")*((LEN(SUBSTITUTE(SUBSTITUTE(SUBSTITUTE(Q367:Q371," ",""),"0",""),"-",""))+LEN(SUBSTITUTE(SUBSTITUTE(SUBSTITUTE(R367:R371," ",""),"0",""),"-","")))&gt;(LEN(SUBSTITUTE(SUBSTITUTE(SUBSTITUTE(N367:N371," ",""),"0",""),"-",""))+LEN(SUBSTITUTE(SUBSTITUTE(SUBSTITUTE(O367:O371," ",""),"0",""),"-",""))))*1)</f>
      </c>
      <c r="S373" s="14" t="str">
        <f>CONCATENATE("M 37 ",S244)</f>
      </c>
    </row>
    <row r="374">
      <c r="A374" s="14" t="s">
        <v>346</v>
      </c>
      <c r="B374" s="14"/>
      <c r="C374" s="14"/>
      <c r="D374" s="14"/>
      <c r="E374" s="14"/>
      <c r="F374" s="14"/>
      <c r="G374" s="14" t="s">
        <v>346</v>
      </c>
      <c r="M374" s="14" t="s">
        <v>346</v>
      </c>
      <c r="N374" s="14"/>
      <c r="O374" s="14"/>
      <c r="P374" s="14"/>
      <c r="Q374" s="14"/>
      <c r="R374" s="14"/>
      <c r="S374" s="14" t="s">
        <v>346</v>
      </c>
    </row>
    <row r="377">
      <c r="F377" t="s">
        <v>347</v>
      </c>
      <c r="G377" s="19"/>
      <c r="R377" t="s">
        <v>347</v>
      </c>
      <c r="S377" s="19"/>
    </row>
    <row r="378">
      <c r="F378" t="s">
        <v>348</v>
      </c>
      <c r="G378" s="19"/>
      <c r="R378" t="s">
        <v>348</v>
      </c>
      <c r="S378" s="19"/>
    </row>
    <row r="380">
      <c r="A380" s="13" t="s">
        <v>394</v>
      </c>
      <c r="B380" s="13"/>
      <c r="C380" s="13"/>
      <c r="D380" s="13"/>
      <c r="E380" s="13"/>
      <c r="F380" s="13"/>
      <c r="G380" s="13"/>
      <c r="M380" s="13" t="s">
        <v>395</v>
      </c>
      <c r="N380" s="13"/>
      <c r="O380" s="13"/>
      <c r="P380" s="13"/>
      <c r="Q380" s="13"/>
      <c r="R380" s="13"/>
      <c r="S380" s="13"/>
    </row>
    <row r="381">
      <c r="A381" s="17" t="s">
        <v>238</v>
      </c>
      <c r="D381" s="14" t="s">
        <v>239</v>
      </c>
      <c r="G381" s="16" t="s">
        <v>240</v>
      </c>
      <c r="M381" s="17" t="s">
        <v>238</v>
      </c>
      <c r="P381" s="14" t="s">
        <v>239</v>
      </c>
      <c r="S381" s="16" t="s">
        <v>240</v>
      </c>
    </row>
    <row r="382">
      <c r="A382" s="14" t="str">
        <f>CONCATENATE("M 32 ",G292)</f>
      </c>
      <c r="B382" s="18"/>
      <c r="C382" s="18"/>
      <c r="D382" s="18"/>
      <c r="E382" s="18"/>
      <c r="F382" s="18"/>
      <c r="G382" s="14" t="str">
        <f>CONCATENATE("M 31 ",G276)</f>
      </c>
      <c r="M382" s="14" t="str">
        <f>CONCATENATE("M 40 ",S292)</f>
      </c>
      <c r="N382" s="18"/>
      <c r="O382" s="18"/>
      <c r="P382" s="18"/>
      <c r="Q382" s="18"/>
      <c r="R382" s="18"/>
      <c r="S382" s="14" t="str">
        <f>CONCATENATE("M 39 ",S276)</f>
      </c>
    </row>
    <row r="383">
      <c r="A383" s="14">
        <v>1</v>
      </c>
      <c r="B383" s="18"/>
      <c r="C383" s="18"/>
      <c r="D383" s="18"/>
      <c r="E383" s="18"/>
      <c r="F383" s="18"/>
      <c r="G383" s="14">
        <v>1</v>
      </c>
      <c r="M383" s="14">
        <v>1</v>
      </c>
      <c r="N383" s="18"/>
      <c r="O383" s="18"/>
      <c r="P383" s="18"/>
      <c r="Q383" s="18"/>
      <c r="R383" s="18"/>
      <c r="S383" s="14">
        <v>1</v>
      </c>
    </row>
    <row r="384">
      <c r="A384" s="14">
        <v>2</v>
      </c>
      <c r="B384" s="18"/>
      <c r="C384" s="18"/>
      <c r="D384" s="18"/>
      <c r="E384" s="18"/>
      <c r="F384" s="18"/>
      <c r="G384" s="14">
        <v>2</v>
      </c>
      <c r="M384" s="14">
        <v>2</v>
      </c>
      <c r="N384" s="18"/>
      <c r="O384" s="18"/>
      <c r="P384" s="18"/>
      <c r="Q384" s="18"/>
      <c r="R384" s="18"/>
      <c r="S384" s="14">
        <v>2</v>
      </c>
    </row>
    <row r="385">
      <c r="A385" s="14">
        <v>3</v>
      </c>
      <c r="B385" s="18"/>
      <c r="C385" s="18"/>
      <c r="D385" s="18"/>
      <c r="E385" s="18"/>
      <c r="F385" s="18"/>
      <c r="G385" s="14">
        <v>3</v>
      </c>
      <c r="M385" s="14">
        <v>3</v>
      </c>
      <c r="N385" s="18"/>
      <c r="O385" s="18"/>
      <c r="P385" s="18"/>
      <c r="Q385" s="18"/>
      <c r="R385" s="18"/>
      <c r="S385" s="14">
        <v>3</v>
      </c>
    </row>
    <row r="386">
      <c r="A386" s="14">
        <v>4</v>
      </c>
      <c r="B386" s="18"/>
      <c r="C386" s="18"/>
      <c r="D386" s="18"/>
      <c r="E386" s="18"/>
      <c r="F386" s="18"/>
      <c r="G386" s="14">
        <v>4</v>
      </c>
      <c r="M386" s="14">
        <v>4</v>
      </c>
      <c r="N386" s="18"/>
      <c r="O386" s="18"/>
      <c r="P386" s="18"/>
      <c r="Q386" s="18"/>
      <c r="R386" s="18"/>
      <c r="S386" s="14">
        <v>4</v>
      </c>
    </row>
    <row r="387">
      <c r="A387" s="14">
        <v>5</v>
      </c>
      <c r="B387" s="18"/>
      <c r="C387" s="18"/>
      <c r="D387" s="18"/>
      <c r="E387" s="18"/>
      <c r="F387" s="18"/>
      <c r="G387" s="14">
        <v>5</v>
      </c>
      <c r="M387" s="14">
        <v>5</v>
      </c>
      <c r="N387" s="18"/>
      <c r="O387" s="18"/>
      <c r="P387" s="18"/>
      <c r="Q387" s="18"/>
      <c r="R387" s="18"/>
      <c r="S387" s="14">
        <v>5</v>
      </c>
    </row>
    <row r="389">
      <c r="A389" s="14" t="str">
        <f>CONCATENATE("M 32 ",G292)</f>
      </c>
      <c r="B389" s="18" t="str">
        <f>SUMPRODUCT((UPPER(D383:D387)&lt;&gt;"X")*((LEN(SUBSTITUTE(SUBSTITUTE(SUBSTITUTE(B383:B387," ",""),"0",""),"-",""))+LEN(SUBSTITUTE(SUBSTITUTE(SUBSTITUTE(C383:C387," ",""),"0",""),"-","")))&gt;(LEN(SUBSTITUTE(SUBSTITUTE(SUBSTITUTE(E383:E387," ",""),"0",""),"-",""))+LEN(SUBSTITUTE(SUBSTITUTE(SUBSTITUTE(F383:F387," ",""),"0",""),"-",""))))*1)</f>
      </c>
      <c r="C389" s="18" t="str">
        <f>SUMPRODUCT(LEN(SUBSTITUTE(SUBSTITUTE(SUBSTITUTE(B383:B387," ",""),"0",""),"-",""))+LEN(SUBSTITUTE(SUBSTITUTE(SUBSTITUTE(C383:C387," ",""),"0",""),"-","")))</f>
      </c>
      <c r="D389" s="14"/>
      <c r="E389" s="18" t="str">
        <f>SUMPRODUCT(LEN(SUBSTITUTE(SUBSTITUTE(SUBSTITUTE(E383:E387," ",""),"0",""),"-",""))+LEN(SUBSTITUTE(SUBSTITUTE(SUBSTITUTE(F383:F387," ",""),"0",""),"-","")))</f>
      </c>
      <c r="F389" s="18" t="str">
        <f>SUMPRODUCT((UPPER(D383:D387)&lt;&gt;"X")*((LEN(SUBSTITUTE(SUBSTITUTE(SUBSTITUTE(E383:E387," ",""),"0",""),"-",""))+LEN(SUBSTITUTE(SUBSTITUTE(SUBSTITUTE(F383:F387," ",""),"0",""),"-","")))&gt;(LEN(SUBSTITUTE(SUBSTITUTE(SUBSTITUTE(B383:B387," ",""),"0",""),"-",""))+LEN(SUBSTITUTE(SUBSTITUTE(SUBSTITUTE(C383:C387," ",""),"0",""),"-",""))))*1)</f>
      </c>
      <c r="G389" s="14" t="str">
        <f>CONCATENATE("M 31 ",G276)</f>
      </c>
      <c r="M389" s="14" t="str">
        <f>CONCATENATE("M 40 ",S292)</f>
      </c>
      <c r="N389" s="18" t="str">
        <f>SUMPRODUCT((UPPER(P383:P387)&lt;&gt;"X")*((LEN(SUBSTITUTE(SUBSTITUTE(SUBSTITUTE(N383:N387," ",""),"0",""),"-",""))+LEN(SUBSTITUTE(SUBSTITUTE(SUBSTITUTE(O383:O387," ",""),"0",""),"-","")))&gt;(LEN(SUBSTITUTE(SUBSTITUTE(SUBSTITUTE(Q383:Q387," ",""),"0",""),"-",""))+LEN(SUBSTITUTE(SUBSTITUTE(SUBSTITUTE(R383:R387," ",""),"0",""),"-",""))))*1)</f>
      </c>
      <c r="O389" s="18" t="str">
        <f>SUMPRODUCT(LEN(SUBSTITUTE(SUBSTITUTE(SUBSTITUTE(N383:N387," ",""),"0",""),"-",""))+LEN(SUBSTITUTE(SUBSTITUTE(SUBSTITUTE(O383:O387," ",""),"0",""),"-","")))</f>
      </c>
      <c r="P389" s="14"/>
      <c r="Q389" s="18" t="str">
        <f>SUMPRODUCT(LEN(SUBSTITUTE(SUBSTITUTE(SUBSTITUTE(Q383:Q387," ",""),"0",""),"-",""))+LEN(SUBSTITUTE(SUBSTITUTE(SUBSTITUTE(R383:R387," ",""),"0",""),"-","")))</f>
      </c>
      <c r="R389" s="18" t="str">
        <f>SUMPRODUCT((UPPER(P383:P387)&lt;&gt;"X")*((LEN(SUBSTITUTE(SUBSTITUTE(SUBSTITUTE(Q383:Q387," ",""),"0",""),"-",""))+LEN(SUBSTITUTE(SUBSTITUTE(SUBSTITUTE(R383:R387," ",""),"0",""),"-","")))&gt;(LEN(SUBSTITUTE(SUBSTITUTE(SUBSTITUTE(N383:N387," ",""),"0",""),"-",""))+LEN(SUBSTITUTE(SUBSTITUTE(SUBSTITUTE(O383:O387," ",""),"0",""),"-",""))))*1)</f>
      </c>
      <c r="S389" s="14" t="str">
        <f>CONCATENATE("M 39 ",S276)</f>
      </c>
    </row>
    <row r="390">
      <c r="A390" s="14" t="s">
        <v>346</v>
      </c>
      <c r="B390" s="14"/>
      <c r="C390" s="14"/>
      <c r="D390" s="14"/>
      <c r="E390" s="14"/>
      <c r="F390" s="14"/>
      <c r="G390" s="14" t="s">
        <v>346</v>
      </c>
      <c r="M390" s="14" t="s">
        <v>346</v>
      </c>
      <c r="N390" s="14"/>
      <c r="O390" s="14"/>
      <c r="P390" s="14"/>
      <c r="Q390" s="14"/>
      <c r="R390" s="14"/>
      <c r="S390" s="14" t="s">
        <v>346</v>
      </c>
    </row>
    <row r="393">
      <c r="F393" t="s">
        <v>347</v>
      </c>
      <c r="G393" s="19"/>
      <c r="R393" t="s">
        <v>347</v>
      </c>
      <c r="S393" s="19"/>
    </row>
    <row r="394">
      <c r="F394" t="s">
        <v>348</v>
      </c>
      <c r="G394" s="19"/>
      <c r="R394" t="s">
        <v>348</v>
      </c>
      <c r="S394" s="19"/>
    </row>
    <row r="396">
      <c r="A396" s="13" t="s">
        <v>396</v>
      </c>
      <c r="B396" s="13"/>
      <c r="C396" s="13"/>
      <c r="D396" s="13"/>
      <c r="E396" s="13"/>
      <c r="F396" s="13"/>
      <c r="G396" s="13"/>
      <c r="M396" s="13" t="s">
        <v>397</v>
      </c>
      <c r="N396" s="13"/>
      <c r="O396" s="13"/>
      <c r="P396" s="13"/>
      <c r="Q396" s="13"/>
      <c r="R396" s="13"/>
      <c r="S396" s="13"/>
    </row>
    <row r="397">
      <c r="A397" s="17" t="s">
        <v>238</v>
      </c>
      <c r="D397" s="14" t="s">
        <v>239</v>
      </c>
      <c r="G397" s="16" t="s">
        <v>240</v>
      </c>
      <c r="M397" s="17" t="s">
        <v>238</v>
      </c>
      <c r="P397" s="14" t="s">
        <v>239</v>
      </c>
      <c r="S397" s="16" t="s">
        <v>240</v>
      </c>
    </row>
    <row r="398">
      <c r="A398" s="14" t="str">
        <f>CONCATENATE("M 34 ",G324)</f>
      </c>
      <c r="B398" s="18"/>
      <c r="C398" s="18"/>
      <c r="D398" s="18"/>
      <c r="E398" s="18"/>
      <c r="F398" s="18"/>
      <c r="G398" s="14" t="str">
        <f>CONCATENATE("M 33 ",G308)</f>
      </c>
      <c r="M398" s="14" t="str">
        <f>CONCATENATE("M 42 ",S324)</f>
      </c>
      <c r="N398" s="18"/>
      <c r="O398" s="18"/>
      <c r="P398" s="18"/>
      <c r="Q398" s="18"/>
      <c r="R398" s="18"/>
      <c r="S398" s="14" t="str">
        <f>CONCATENATE("M 41 ",S308)</f>
      </c>
    </row>
    <row r="399">
      <c r="A399" s="14">
        <v>1</v>
      </c>
      <c r="B399" s="18"/>
      <c r="C399" s="18"/>
      <c r="D399" s="18"/>
      <c r="E399" s="18"/>
      <c r="F399" s="18"/>
      <c r="G399" s="14">
        <v>1</v>
      </c>
      <c r="M399" s="14">
        <v>1</v>
      </c>
      <c r="N399" s="18"/>
      <c r="O399" s="18"/>
      <c r="P399" s="18"/>
      <c r="Q399" s="18"/>
      <c r="R399" s="18"/>
      <c r="S399" s="14">
        <v>1</v>
      </c>
    </row>
    <row r="400">
      <c r="A400" s="14">
        <v>2</v>
      </c>
      <c r="B400" s="18"/>
      <c r="C400" s="18"/>
      <c r="D400" s="18"/>
      <c r="E400" s="18"/>
      <c r="F400" s="18"/>
      <c r="G400" s="14">
        <v>2</v>
      </c>
      <c r="M400" s="14">
        <v>2</v>
      </c>
      <c r="N400" s="18"/>
      <c r="O400" s="18"/>
      <c r="P400" s="18"/>
      <c r="Q400" s="18"/>
      <c r="R400" s="18"/>
      <c r="S400" s="14">
        <v>2</v>
      </c>
    </row>
    <row r="401">
      <c r="A401" s="14">
        <v>3</v>
      </c>
      <c r="B401" s="18"/>
      <c r="C401" s="18"/>
      <c r="D401" s="18"/>
      <c r="E401" s="18"/>
      <c r="F401" s="18"/>
      <c r="G401" s="14">
        <v>3</v>
      </c>
      <c r="M401" s="14">
        <v>3</v>
      </c>
      <c r="N401" s="18"/>
      <c r="O401" s="18"/>
      <c r="P401" s="18"/>
      <c r="Q401" s="18"/>
      <c r="R401" s="18"/>
      <c r="S401" s="14">
        <v>3</v>
      </c>
    </row>
    <row r="402">
      <c r="A402" s="14">
        <v>4</v>
      </c>
      <c r="B402" s="18"/>
      <c r="C402" s="18"/>
      <c r="D402" s="18"/>
      <c r="E402" s="18"/>
      <c r="F402" s="18"/>
      <c r="G402" s="14">
        <v>4</v>
      </c>
      <c r="M402" s="14">
        <v>4</v>
      </c>
      <c r="N402" s="18"/>
      <c r="O402" s="18"/>
      <c r="P402" s="18"/>
      <c r="Q402" s="18"/>
      <c r="R402" s="18"/>
      <c r="S402" s="14">
        <v>4</v>
      </c>
    </row>
    <row r="403">
      <c r="A403" s="14">
        <v>5</v>
      </c>
      <c r="B403" s="18"/>
      <c r="C403" s="18"/>
      <c r="D403" s="18"/>
      <c r="E403" s="18"/>
      <c r="F403" s="18"/>
      <c r="G403" s="14">
        <v>5</v>
      </c>
      <c r="M403" s="14">
        <v>5</v>
      </c>
      <c r="N403" s="18"/>
      <c r="O403" s="18"/>
      <c r="P403" s="18"/>
      <c r="Q403" s="18"/>
      <c r="R403" s="18"/>
      <c r="S403" s="14">
        <v>5</v>
      </c>
    </row>
    <row r="405">
      <c r="A405" s="14" t="str">
        <f>CONCATENATE("M 34 ",G324)</f>
      </c>
      <c r="B405" s="18" t="str">
        <f>SUMPRODUCT((UPPER(D399:D403)&lt;&gt;"X")*((LEN(SUBSTITUTE(SUBSTITUTE(SUBSTITUTE(B399:B403," ",""),"0",""),"-",""))+LEN(SUBSTITUTE(SUBSTITUTE(SUBSTITUTE(C399:C403," ",""),"0",""),"-","")))&gt;(LEN(SUBSTITUTE(SUBSTITUTE(SUBSTITUTE(E399:E403," ",""),"0",""),"-",""))+LEN(SUBSTITUTE(SUBSTITUTE(SUBSTITUTE(F399:F403," ",""),"0",""),"-",""))))*1)</f>
      </c>
      <c r="C405" s="18" t="str">
        <f>SUMPRODUCT(LEN(SUBSTITUTE(SUBSTITUTE(SUBSTITUTE(B399:B403," ",""),"0",""),"-",""))+LEN(SUBSTITUTE(SUBSTITUTE(SUBSTITUTE(C399:C403," ",""),"0",""),"-","")))</f>
      </c>
      <c r="D405" s="14"/>
      <c r="E405" s="18" t="str">
        <f>SUMPRODUCT(LEN(SUBSTITUTE(SUBSTITUTE(SUBSTITUTE(E399:E403," ",""),"0",""),"-",""))+LEN(SUBSTITUTE(SUBSTITUTE(SUBSTITUTE(F399:F403," ",""),"0",""),"-","")))</f>
      </c>
      <c r="F405" s="18" t="str">
        <f>SUMPRODUCT((UPPER(D399:D403)&lt;&gt;"X")*((LEN(SUBSTITUTE(SUBSTITUTE(SUBSTITUTE(E399:E403," ",""),"0",""),"-",""))+LEN(SUBSTITUTE(SUBSTITUTE(SUBSTITUTE(F399:F403," ",""),"0",""),"-","")))&gt;(LEN(SUBSTITUTE(SUBSTITUTE(SUBSTITUTE(B399:B403," ",""),"0",""),"-",""))+LEN(SUBSTITUTE(SUBSTITUTE(SUBSTITUTE(C399:C403," ",""),"0",""),"-",""))))*1)</f>
      </c>
      <c r="G405" s="14" t="str">
        <f>CONCATENATE("M 33 ",G308)</f>
      </c>
      <c r="M405" s="14" t="str">
        <f>CONCATENATE("M 42 ",S324)</f>
      </c>
      <c r="N405" s="18" t="str">
        <f>SUMPRODUCT((UPPER(P399:P403)&lt;&gt;"X")*((LEN(SUBSTITUTE(SUBSTITUTE(SUBSTITUTE(N399:N403," ",""),"0",""),"-",""))+LEN(SUBSTITUTE(SUBSTITUTE(SUBSTITUTE(O399:O403," ",""),"0",""),"-","")))&gt;(LEN(SUBSTITUTE(SUBSTITUTE(SUBSTITUTE(Q399:Q403," ",""),"0",""),"-",""))+LEN(SUBSTITUTE(SUBSTITUTE(SUBSTITUTE(R399:R403," ",""),"0",""),"-",""))))*1)</f>
      </c>
      <c r="O405" s="18" t="str">
        <f>SUMPRODUCT(LEN(SUBSTITUTE(SUBSTITUTE(SUBSTITUTE(N399:N403," ",""),"0",""),"-",""))+LEN(SUBSTITUTE(SUBSTITUTE(SUBSTITUTE(O399:O403," ",""),"0",""),"-","")))</f>
      </c>
      <c r="P405" s="14"/>
      <c r="Q405" s="18" t="str">
        <f>SUMPRODUCT(LEN(SUBSTITUTE(SUBSTITUTE(SUBSTITUTE(Q399:Q403," ",""),"0",""),"-",""))+LEN(SUBSTITUTE(SUBSTITUTE(SUBSTITUTE(R399:R403," ",""),"0",""),"-","")))</f>
      </c>
      <c r="R405" s="18" t="str">
        <f>SUMPRODUCT((UPPER(P399:P403)&lt;&gt;"X")*((LEN(SUBSTITUTE(SUBSTITUTE(SUBSTITUTE(Q399:Q403," ",""),"0",""),"-",""))+LEN(SUBSTITUTE(SUBSTITUTE(SUBSTITUTE(R399:R403," ",""),"0",""),"-","")))&gt;(LEN(SUBSTITUTE(SUBSTITUTE(SUBSTITUTE(N399:N403," ",""),"0",""),"-",""))+LEN(SUBSTITUTE(SUBSTITUTE(SUBSTITUTE(O399:O403," ",""),"0",""),"-",""))))*1)</f>
      </c>
      <c r="S405" s="14" t="str">
        <f>CONCATENATE("M 41 ",S308)</f>
      </c>
    </row>
    <row r="406">
      <c r="A406" s="14" t="s">
        <v>346</v>
      </c>
      <c r="B406" s="14"/>
      <c r="C406" s="14"/>
      <c r="D406" s="14"/>
      <c r="E406" s="14"/>
      <c r="F406" s="14"/>
      <c r="G406" s="14" t="s">
        <v>346</v>
      </c>
      <c r="M406" s="14" t="s">
        <v>346</v>
      </c>
      <c r="N406" s="14"/>
      <c r="O406" s="14"/>
      <c r="P406" s="14"/>
      <c r="Q406" s="14"/>
      <c r="R406" s="14"/>
      <c r="S406" s="14" t="s">
        <v>346</v>
      </c>
    </row>
    <row r="409">
      <c r="F409" t="s">
        <v>347</v>
      </c>
      <c r="G409" s="19"/>
      <c r="R409" t="s">
        <v>347</v>
      </c>
      <c r="S409" s="19"/>
    </row>
    <row r="410">
      <c r="F410" t="s">
        <v>348</v>
      </c>
      <c r="G410" s="19"/>
      <c r="R410" t="s">
        <v>348</v>
      </c>
      <c r="S410" s="19"/>
    </row>
    <row r="412">
      <c r="A412" s="13" t="s">
        <v>398</v>
      </c>
      <c r="B412" s="13"/>
      <c r="C412" s="13"/>
      <c r="D412" s="13"/>
      <c r="E412" s="13"/>
      <c r="F412" s="13"/>
      <c r="G412" s="13"/>
      <c r="M412" s="13" t="s">
        <v>399</v>
      </c>
      <c r="N412" s="13"/>
      <c r="O412" s="13"/>
      <c r="P412" s="13"/>
      <c r="Q412" s="13"/>
      <c r="R412" s="13"/>
      <c r="S412" s="13"/>
    </row>
    <row r="413">
      <c r="A413" s="17" t="s">
        <v>238</v>
      </c>
      <c r="D413" s="14" t="s">
        <v>239</v>
      </c>
      <c r="G413" s="16" t="s">
        <v>240</v>
      </c>
      <c r="M413" s="17" t="s">
        <v>238</v>
      </c>
      <c r="P413" s="14" t="s">
        <v>239</v>
      </c>
      <c r="S413" s="16" t="s">
        <v>240</v>
      </c>
    </row>
    <row r="414">
      <c r="A414" s="14" t="str">
        <f>CONCATENATE("M 36 ",G356)</f>
      </c>
      <c r="B414" s="18"/>
      <c r="C414" s="18"/>
      <c r="D414" s="18"/>
      <c r="E414" s="18"/>
      <c r="F414" s="18"/>
      <c r="G414" s="14" t="str">
        <f>CONCATENATE("M 35 ",G340)</f>
      </c>
      <c r="M414" s="14" t="str">
        <f>CONCATENATE("M 44 ",S356)</f>
      </c>
      <c r="N414" s="18"/>
      <c r="O414" s="18"/>
      <c r="P414" s="18"/>
      <c r="Q414" s="18"/>
      <c r="R414" s="18"/>
      <c r="S414" s="14" t="str">
        <f>CONCATENATE("M 43 ",S340)</f>
      </c>
    </row>
    <row r="415">
      <c r="A415" s="14">
        <v>1</v>
      </c>
      <c r="B415" s="18"/>
      <c r="C415" s="18"/>
      <c r="D415" s="18"/>
      <c r="E415" s="18"/>
      <c r="F415" s="18"/>
      <c r="G415" s="14">
        <v>1</v>
      </c>
      <c r="M415" s="14">
        <v>1</v>
      </c>
      <c r="N415" s="18"/>
      <c r="O415" s="18"/>
      <c r="P415" s="18"/>
      <c r="Q415" s="18"/>
      <c r="R415" s="18"/>
      <c r="S415" s="14">
        <v>1</v>
      </c>
    </row>
    <row r="416">
      <c r="A416" s="14">
        <v>2</v>
      </c>
      <c r="B416" s="18"/>
      <c r="C416" s="18"/>
      <c r="D416" s="18"/>
      <c r="E416" s="18"/>
      <c r="F416" s="18"/>
      <c r="G416" s="14">
        <v>2</v>
      </c>
      <c r="M416" s="14">
        <v>2</v>
      </c>
      <c r="N416" s="18"/>
      <c r="O416" s="18"/>
      <c r="P416" s="18"/>
      <c r="Q416" s="18"/>
      <c r="R416" s="18"/>
      <c r="S416" s="14">
        <v>2</v>
      </c>
    </row>
    <row r="417">
      <c r="A417" s="14">
        <v>3</v>
      </c>
      <c r="B417" s="18"/>
      <c r="C417" s="18"/>
      <c r="D417" s="18"/>
      <c r="E417" s="18"/>
      <c r="F417" s="18"/>
      <c r="G417" s="14">
        <v>3</v>
      </c>
      <c r="M417" s="14">
        <v>3</v>
      </c>
      <c r="N417" s="18"/>
      <c r="O417" s="18"/>
      <c r="P417" s="18"/>
      <c r="Q417" s="18"/>
      <c r="R417" s="18"/>
      <c r="S417" s="14">
        <v>3</v>
      </c>
    </row>
    <row r="418">
      <c r="A418" s="14">
        <v>4</v>
      </c>
      <c r="B418" s="18"/>
      <c r="C418" s="18"/>
      <c r="D418" s="18"/>
      <c r="E418" s="18"/>
      <c r="F418" s="18"/>
      <c r="G418" s="14">
        <v>4</v>
      </c>
      <c r="M418" s="14">
        <v>4</v>
      </c>
      <c r="N418" s="18"/>
      <c r="O418" s="18"/>
      <c r="P418" s="18"/>
      <c r="Q418" s="18"/>
      <c r="R418" s="18"/>
      <c r="S418" s="14">
        <v>4</v>
      </c>
    </row>
    <row r="419">
      <c r="A419" s="14">
        <v>5</v>
      </c>
      <c r="B419" s="18"/>
      <c r="C419" s="18"/>
      <c r="D419" s="18"/>
      <c r="E419" s="18"/>
      <c r="F419" s="18"/>
      <c r="G419" s="14">
        <v>5</v>
      </c>
      <c r="M419" s="14">
        <v>5</v>
      </c>
      <c r="N419" s="18"/>
      <c r="O419" s="18"/>
      <c r="P419" s="18"/>
      <c r="Q419" s="18"/>
      <c r="R419" s="18"/>
      <c r="S419" s="14">
        <v>5</v>
      </c>
    </row>
    <row r="421">
      <c r="A421" s="14" t="str">
        <f>CONCATENATE("M 36 ",G356)</f>
      </c>
      <c r="B421" s="18" t="str">
        <f>SUMPRODUCT((UPPER(D415:D419)&lt;&gt;"X")*((LEN(SUBSTITUTE(SUBSTITUTE(SUBSTITUTE(B415:B419," ",""),"0",""),"-",""))+LEN(SUBSTITUTE(SUBSTITUTE(SUBSTITUTE(C415:C419," ",""),"0",""),"-","")))&gt;(LEN(SUBSTITUTE(SUBSTITUTE(SUBSTITUTE(E415:E419," ",""),"0",""),"-",""))+LEN(SUBSTITUTE(SUBSTITUTE(SUBSTITUTE(F415:F419," ",""),"0",""),"-",""))))*1)</f>
      </c>
      <c r="C421" s="18" t="str">
        <f>SUMPRODUCT(LEN(SUBSTITUTE(SUBSTITUTE(SUBSTITUTE(B415:B419," ",""),"0",""),"-",""))+LEN(SUBSTITUTE(SUBSTITUTE(SUBSTITUTE(C415:C419," ",""),"0",""),"-","")))</f>
      </c>
      <c r="D421" s="14"/>
      <c r="E421" s="18" t="str">
        <f>SUMPRODUCT(LEN(SUBSTITUTE(SUBSTITUTE(SUBSTITUTE(E415:E419," ",""),"0",""),"-",""))+LEN(SUBSTITUTE(SUBSTITUTE(SUBSTITUTE(F415:F419," ",""),"0",""),"-","")))</f>
      </c>
      <c r="F421" s="18" t="str">
        <f>SUMPRODUCT((UPPER(D415:D419)&lt;&gt;"X")*((LEN(SUBSTITUTE(SUBSTITUTE(SUBSTITUTE(E415:E419," ",""),"0",""),"-",""))+LEN(SUBSTITUTE(SUBSTITUTE(SUBSTITUTE(F415:F419," ",""),"0",""),"-","")))&gt;(LEN(SUBSTITUTE(SUBSTITUTE(SUBSTITUTE(B415:B419," ",""),"0",""),"-",""))+LEN(SUBSTITUTE(SUBSTITUTE(SUBSTITUTE(C415:C419," ",""),"0",""),"-",""))))*1)</f>
      </c>
      <c r="G421" s="14" t="str">
        <f>CONCATENATE("M 35 ",G340)</f>
      </c>
      <c r="M421" s="14" t="str">
        <f>CONCATENATE("M 44 ",S356)</f>
      </c>
      <c r="N421" s="18" t="str">
        <f>SUMPRODUCT((UPPER(P415:P419)&lt;&gt;"X")*((LEN(SUBSTITUTE(SUBSTITUTE(SUBSTITUTE(N415:N419," ",""),"0",""),"-",""))+LEN(SUBSTITUTE(SUBSTITUTE(SUBSTITUTE(O415:O419," ",""),"0",""),"-","")))&gt;(LEN(SUBSTITUTE(SUBSTITUTE(SUBSTITUTE(Q415:Q419," ",""),"0",""),"-",""))+LEN(SUBSTITUTE(SUBSTITUTE(SUBSTITUTE(R415:R419," ",""),"0",""),"-",""))))*1)</f>
      </c>
      <c r="O421" s="18" t="str">
        <f>SUMPRODUCT(LEN(SUBSTITUTE(SUBSTITUTE(SUBSTITUTE(N415:N419," ",""),"0",""),"-",""))+LEN(SUBSTITUTE(SUBSTITUTE(SUBSTITUTE(O415:O419," ",""),"0",""),"-","")))</f>
      </c>
      <c r="P421" s="14"/>
      <c r="Q421" s="18" t="str">
        <f>SUMPRODUCT(LEN(SUBSTITUTE(SUBSTITUTE(SUBSTITUTE(Q415:Q419," ",""),"0",""),"-",""))+LEN(SUBSTITUTE(SUBSTITUTE(SUBSTITUTE(R415:R419," ",""),"0",""),"-","")))</f>
      </c>
      <c r="R421" s="18" t="str">
        <f>SUMPRODUCT((UPPER(P415:P419)&lt;&gt;"X")*((LEN(SUBSTITUTE(SUBSTITUTE(SUBSTITUTE(Q415:Q419," ",""),"0",""),"-",""))+LEN(SUBSTITUTE(SUBSTITUTE(SUBSTITUTE(R415:R419," ",""),"0",""),"-","")))&gt;(LEN(SUBSTITUTE(SUBSTITUTE(SUBSTITUTE(N415:N419," ",""),"0",""),"-",""))+LEN(SUBSTITUTE(SUBSTITUTE(SUBSTITUTE(O415:O419," ",""),"0",""),"-",""))))*1)</f>
      </c>
      <c r="S421" s="14" t="str">
        <f>CONCATENATE("M 43 ",S340)</f>
      </c>
    </row>
    <row r="422">
      <c r="A422" s="14" t="s">
        <v>346</v>
      </c>
      <c r="B422" s="14"/>
      <c r="C422" s="14"/>
      <c r="D422" s="14"/>
      <c r="E422" s="14"/>
      <c r="F422" s="14"/>
      <c r="G422" s="14" t="s">
        <v>346</v>
      </c>
      <c r="M422" s="14" t="s">
        <v>346</v>
      </c>
      <c r="N422" s="14"/>
      <c r="O422" s="14"/>
      <c r="P422" s="14"/>
      <c r="Q422" s="14"/>
      <c r="R422" s="14"/>
      <c r="S422" s="14" t="s">
        <v>346</v>
      </c>
    </row>
    <row r="425">
      <c r="F425" t="s">
        <v>347</v>
      </c>
      <c r="G425" s="19"/>
      <c r="R425" t="s">
        <v>347</v>
      </c>
      <c r="S425" s="19"/>
    </row>
    <row r="426">
      <c r="F426" t="s">
        <v>348</v>
      </c>
      <c r="G426" s="19"/>
      <c r="R426" t="s">
        <v>348</v>
      </c>
      <c r="S426" s="19"/>
    </row>
    <row r="433">
      <c r="A433" s="13" t="s">
        <v>400</v>
      </c>
      <c r="B433" s="13"/>
      <c r="C433" s="13"/>
      <c r="D433" s="13"/>
      <c r="E433" s="13"/>
      <c r="F433" s="13"/>
      <c r="G433" s="13"/>
      <c r="M433" s="13" t="s">
        <v>401</v>
      </c>
      <c r="N433" s="13"/>
      <c r="O433" s="13"/>
      <c r="P433" s="13"/>
      <c r="Q433" s="13"/>
      <c r="R433" s="13"/>
      <c r="S433" s="13"/>
    </row>
    <row r="434">
      <c r="A434" s="17" t="s">
        <v>238</v>
      </c>
      <c r="D434" s="14" t="s">
        <v>239</v>
      </c>
      <c r="G434" s="16" t="s">
        <v>240</v>
      </c>
      <c r="M434" s="17" t="s">
        <v>238</v>
      </c>
      <c r="P434" s="14" t="s">
        <v>239</v>
      </c>
      <c r="S434" s="16" t="s">
        <v>240</v>
      </c>
    </row>
    <row r="435">
      <c r="A435" s="14" t="str">
        <f>CONCATENATE("M 46 ",G393)</f>
      </c>
      <c r="B435" s="18"/>
      <c r="C435" s="18"/>
      <c r="D435" s="18"/>
      <c r="E435" s="18"/>
      <c r="F435" s="18"/>
      <c r="G435" s="14" t="str">
        <f>CONCATENATE("M 45 ",G377)</f>
      </c>
      <c r="M435" s="14" t="str">
        <f>CONCATENATE("M 50 ",S393)</f>
      </c>
      <c r="N435" s="18"/>
      <c r="O435" s="18"/>
      <c r="P435" s="18"/>
      <c r="Q435" s="18"/>
      <c r="R435" s="18"/>
      <c r="S435" s="14" t="str">
        <f>CONCATENATE("M 49 ",S377)</f>
      </c>
    </row>
    <row r="436">
      <c r="A436" s="14">
        <v>1</v>
      </c>
      <c r="B436" s="18"/>
      <c r="C436" s="18"/>
      <c r="D436" s="18"/>
      <c r="E436" s="18"/>
      <c r="F436" s="18"/>
      <c r="G436" s="14">
        <v>1</v>
      </c>
      <c r="M436" s="14">
        <v>1</v>
      </c>
      <c r="N436" s="18"/>
      <c r="O436" s="18"/>
      <c r="P436" s="18"/>
      <c r="Q436" s="18"/>
      <c r="R436" s="18"/>
      <c r="S436" s="14">
        <v>1</v>
      </c>
    </row>
    <row r="437">
      <c r="A437" s="14">
        <v>2</v>
      </c>
      <c r="B437" s="18"/>
      <c r="C437" s="18"/>
      <c r="D437" s="18"/>
      <c r="E437" s="18"/>
      <c r="F437" s="18"/>
      <c r="G437" s="14">
        <v>2</v>
      </c>
      <c r="M437" s="14">
        <v>2</v>
      </c>
      <c r="N437" s="18"/>
      <c r="O437" s="18"/>
      <c r="P437" s="18"/>
      <c r="Q437" s="18"/>
      <c r="R437" s="18"/>
      <c r="S437" s="14">
        <v>2</v>
      </c>
    </row>
    <row r="438">
      <c r="A438" s="14">
        <v>3</v>
      </c>
      <c r="B438" s="18"/>
      <c r="C438" s="18"/>
      <c r="D438" s="18"/>
      <c r="E438" s="18"/>
      <c r="F438" s="18"/>
      <c r="G438" s="14">
        <v>3</v>
      </c>
      <c r="M438" s="14">
        <v>3</v>
      </c>
      <c r="N438" s="18"/>
      <c r="O438" s="18"/>
      <c r="P438" s="18"/>
      <c r="Q438" s="18"/>
      <c r="R438" s="18"/>
      <c r="S438" s="14">
        <v>3</v>
      </c>
    </row>
    <row r="439">
      <c r="A439" s="14">
        <v>4</v>
      </c>
      <c r="B439" s="18"/>
      <c r="C439" s="18"/>
      <c r="D439" s="18"/>
      <c r="E439" s="18"/>
      <c r="F439" s="18"/>
      <c r="G439" s="14">
        <v>4</v>
      </c>
      <c r="M439" s="14">
        <v>4</v>
      </c>
      <c r="N439" s="18"/>
      <c r="O439" s="18"/>
      <c r="P439" s="18"/>
      <c r="Q439" s="18"/>
      <c r="R439" s="18"/>
      <c r="S439" s="14">
        <v>4</v>
      </c>
    </row>
    <row r="440">
      <c r="A440" s="14">
        <v>5</v>
      </c>
      <c r="B440" s="18"/>
      <c r="C440" s="18"/>
      <c r="D440" s="18"/>
      <c r="E440" s="18"/>
      <c r="F440" s="18"/>
      <c r="G440" s="14">
        <v>5</v>
      </c>
      <c r="M440" s="14">
        <v>5</v>
      </c>
      <c r="N440" s="18"/>
      <c r="O440" s="18"/>
      <c r="P440" s="18"/>
      <c r="Q440" s="18"/>
      <c r="R440" s="18"/>
      <c r="S440" s="14">
        <v>5</v>
      </c>
    </row>
    <row r="442">
      <c r="A442" s="14" t="str">
        <f>CONCATENATE("M 46 ",G393)</f>
      </c>
      <c r="B442" s="18" t="str">
        <f>SUMPRODUCT((UPPER(D436:D440)&lt;&gt;"X")*((LEN(SUBSTITUTE(SUBSTITUTE(SUBSTITUTE(B436:B440," ",""),"0",""),"-",""))+LEN(SUBSTITUTE(SUBSTITUTE(SUBSTITUTE(C436:C440," ",""),"0",""),"-","")))&gt;(LEN(SUBSTITUTE(SUBSTITUTE(SUBSTITUTE(E436:E440," ",""),"0",""),"-",""))+LEN(SUBSTITUTE(SUBSTITUTE(SUBSTITUTE(F436:F440," ",""),"0",""),"-",""))))*1)</f>
      </c>
      <c r="C442" s="18" t="str">
        <f>SUMPRODUCT(LEN(SUBSTITUTE(SUBSTITUTE(SUBSTITUTE(B436:B440," ",""),"0",""),"-",""))+LEN(SUBSTITUTE(SUBSTITUTE(SUBSTITUTE(C436:C440," ",""),"0",""),"-","")))</f>
      </c>
      <c r="D442" s="14"/>
      <c r="E442" s="18" t="str">
        <f>SUMPRODUCT(LEN(SUBSTITUTE(SUBSTITUTE(SUBSTITUTE(E436:E440," ",""),"0",""),"-",""))+LEN(SUBSTITUTE(SUBSTITUTE(SUBSTITUTE(F436:F440," ",""),"0",""),"-","")))</f>
      </c>
      <c r="F442" s="18" t="str">
        <f>SUMPRODUCT((UPPER(D436:D440)&lt;&gt;"X")*((LEN(SUBSTITUTE(SUBSTITUTE(SUBSTITUTE(E436:E440," ",""),"0",""),"-",""))+LEN(SUBSTITUTE(SUBSTITUTE(SUBSTITUTE(F436:F440," ",""),"0",""),"-","")))&gt;(LEN(SUBSTITUTE(SUBSTITUTE(SUBSTITUTE(B436:B440," ",""),"0",""),"-",""))+LEN(SUBSTITUTE(SUBSTITUTE(SUBSTITUTE(C436:C440," ",""),"0",""),"-",""))))*1)</f>
      </c>
      <c r="G442" s="14" t="str">
        <f>CONCATENATE("M 45 ",G377)</f>
      </c>
      <c r="M442" s="14" t="str">
        <f>CONCATENATE("M 50 ",S393)</f>
      </c>
      <c r="N442" s="18" t="str">
        <f>SUMPRODUCT((UPPER(P436:P440)&lt;&gt;"X")*((LEN(SUBSTITUTE(SUBSTITUTE(SUBSTITUTE(N436:N440," ",""),"0",""),"-",""))+LEN(SUBSTITUTE(SUBSTITUTE(SUBSTITUTE(O436:O440," ",""),"0",""),"-","")))&gt;(LEN(SUBSTITUTE(SUBSTITUTE(SUBSTITUTE(Q436:Q440," ",""),"0",""),"-",""))+LEN(SUBSTITUTE(SUBSTITUTE(SUBSTITUTE(R436:R440," ",""),"0",""),"-",""))))*1)</f>
      </c>
      <c r="O442" s="18" t="str">
        <f>SUMPRODUCT(LEN(SUBSTITUTE(SUBSTITUTE(SUBSTITUTE(N436:N440," ",""),"0",""),"-",""))+LEN(SUBSTITUTE(SUBSTITUTE(SUBSTITUTE(O436:O440," ",""),"0",""),"-","")))</f>
      </c>
      <c r="P442" s="14"/>
      <c r="Q442" s="18" t="str">
        <f>SUMPRODUCT(LEN(SUBSTITUTE(SUBSTITUTE(SUBSTITUTE(Q436:Q440," ",""),"0",""),"-",""))+LEN(SUBSTITUTE(SUBSTITUTE(SUBSTITUTE(R436:R440," ",""),"0",""),"-","")))</f>
      </c>
      <c r="R442" s="18" t="str">
        <f>SUMPRODUCT((UPPER(P436:P440)&lt;&gt;"X")*((LEN(SUBSTITUTE(SUBSTITUTE(SUBSTITUTE(Q436:Q440," ",""),"0",""),"-",""))+LEN(SUBSTITUTE(SUBSTITUTE(SUBSTITUTE(R436:R440," ",""),"0",""),"-","")))&gt;(LEN(SUBSTITUTE(SUBSTITUTE(SUBSTITUTE(N436:N440," ",""),"0",""),"-",""))+LEN(SUBSTITUTE(SUBSTITUTE(SUBSTITUTE(O436:O440," ",""),"0",""),"-",""))))*1)</f>
      </c>
      <c r="S442" s="14" t="str">
        <f>CONCATENATE("M 49 ",S377)</f>
      </c>
    </row>
    <row r="443">
      <c r="A443" s="14" t="s">
        <v>346</v>
      </c>
      <c r="B443" s="14"/>
      <c r="C443" s="14"/>
      <c r="D443" s="14"/>
      <c r="E443" s="14"/>
      <c r="F443" s="14"/>
      <c r="G443" s="14" t="s">
        <v>346</v>
      </c>
      <c r="M443" s="14" t="s">
        <v>346</v>
      </c>
      <c r="N443" s="14"/>
      <c r="O443" s="14"/>
      <c r="P443" s="14"/>
      <c r="Q443" s="14"/>
      <c r="R443" s="14"/>
      <c r="S443" s="14" t="s">
        <v>346</v>
      </c>
    </row>
    <row r="446">
      <c r="F446" t="s">
        <v>347</v>
      </c>
      <c r="G446" s="19"/>
      <c r="R446" t="s">
        <v>347</v>
      </c>
      <c r="S446" s="19"/>
    </row>
    <row r="447">
      <c r="F447" t="s">
        <v>348</v>
      </c>
      <c r="G447" s="19"/>
      <c r="R447" t="s">
        <v>348</v>
      </c>
      <c r="S447" s="19"/>
    </row>
    <row r="449">
      <c r="A449" s="13" t="s">
        <v>402</v>
      </c>
      <c r="B449" s="13"/>
      <c r="C449" s="13"/>
      <c r="D449" s="13"/>
      <c r="E449" s="13"/>
      <c r="F449" s="13"/>
      <c r="G449" s="13"/>
      <c r="M449" s="13" t="s">
        <v>403</v>
      </c>
      <c r="N449" s="13"/>
      <c r="O449" s="13"/>
      <c r="P449" s="13"/>
      <c r="Q449" s="13"/>
      <c r="R449" s="13"/>
      <c r="S449" s="13"/>
    </row>
    <row r="450">
      <c r="A450" s="17" t="s">
        <v>238</v>
      </c>
      <c r="D450" s="14" t="s">
        <v>239</v>
      </c>
      <c r="G450" s="16" t="s">
        <v>240</v>
      </c>
      <c r="M450" s="17" t="s">
        <v>238</v>
      </c>
      <c r="P450" s="14" t="s">
        <v>239</v>
      </c>
      <c r="S450" s="16" t="s">
        <v>240</v>
      </c>
    </row>
    <row r="451">
      <c r="A451" s="14" t="str">
        <f>CONCATENATE("M 48 ",G425)</f>
      </c>
      <c r="B451" s="18"/>
      <c r="C451" s="18"/>
      <c r="D451" s="18"/>
      <c r="E451" s="18"/>
      <c r="F451" s="18"/>
      <c r="G451" s="14" t="str">
        <f>CONCATENATE("M 47 ",G409)</f>
      </c>
      <c r="M451" s="14" t="str">
        <f>CONCATENATE("M 52 ",S425)</f>
      </c>
      <c r="N451" s="18"/>
      <c r="O451" s="18"/>
      <c r="P451" s="18"/>
      <c r="Q451" s="18"/>
      <c r="R451" s="18"/>
      <c r="S451" s="14" t="str">
        <f>CONCATENATE("M 51 ",S409)</f>
      </c>
    </row>
    <row r="452">
      <c r="A452" s="14">
        <v>1</v>
      </c>
      <c r="B452" s="18"/>
      <c r="C452" s="18"/>
      <c r="D452" s="18"/>
      <c r="E452" s="18"/>
      <c r="F452" s="18"/>
      <c r="G452" s="14">
        <v>1</v>
      </c>
      <c r="M452" s="14">
        <v>1</v>
      </c>
      <c r="N452" s="18"/>
      <c r="O452" s="18"/>
      <c r="P452" s="18"/>
      <c r="Q452" s="18"/>
      <c r="R452" s="18"/>
      <c r="S452" s="14">
        <v>1</v>
      </c>
    </row>
    <row r="453">
      <c r="A453" s="14">
        <v>2</v>
      </c>
      <c r="B453" s="18"/>
      <c r="C453" s="18"/>
      <c r="D453" s="18"/>
      <c r="E453" s="18"/>
      <c r="F453" s="18"/>
      <c r="G453" s="14">
        <v>2</v>
      </c>
      <c r="M453" s="14">
        <v>2</v>
      </c>
      <c r="N453" s="18"/>
      <c r="O453" s="18"/>
      <c r="P453" s="18"/>
      <c r="Q453" s="18"/>
      <c r="R453" s="18"/>
      <c r="S453" s="14">
        <v>2</v>
      </c>
    </row>
    <row r="454">
      <c r="A454" s="14">
        <v>3</v>
      </c>
      <c r="B454" s="18"/>
      <c r="C454" s="18"/>
      <c r="D454" s="18"/>
      <c r="E454" s="18"/>
      <c r="F454" s="18"/>
      <c r="G454" s="14">
        <v>3</v>
      </c>
      <c r="M454" s="14">
        <v>3</v>
      </c>
      <c r="N454" s="18"/>
      <c r="O454" s="18"/>
      <c r="P454" s="18"/>
      <c r="Q454" s="18"/>
      <c r="R454" s="18"/>
      <c r="S454" s="14">
        <v>3</v>
      </c>
    </row>
    <row r="455">
      <c r="A455" s="14">
        <v>4</v>
      </c>
      <c r="B455" s="18"/>
      <c r="C455" s="18"/>
      <c r="D455" s="18"/>
      <c r="E455" s="18"/>
      <c r="F455" s="18"/>
      <c r="G455" s="14">
        <v>4</v>
      </c>
      <c r="M455" s="14">
        <v>4</v>
      </c>
      <c r="N455" s="18"/>
      <c r="O455" s="18"/>
      <c r="P455" s="18"/>
      <c r="Q455" s="18"/>
      <c r="R455" s="18"/>
      <c r="S455" s="14">
        <v>4</v>
      </c>
    </row>
    <row r="456">
      <c r="A456" s="14">
        <v>5</v>
      </c>
      <c r="B456" s="18"/>
      <c r="C456" s="18"/>
      <c r="D456" s="18"/>
      <c r="E456" s="18"/>
      <c r="F456" s="18"/>
      <c r="G456" s="14">
        <v>5</v>
      </c>
      <c r="M456" s="14">
        <v>5</v>
      </c>
      <c r="N456" s="18"/>
      <c r="O456" s="18"/>
      <c r="P456" s="18"/>
      <c r="Q456" s="18"/>
      <c r="R456" s="18"/>
      <c r="S456" s="14">
        <v>5</v>
      </c>
    </row>
    <row r="458">
      <c r="A458" s="14" t="str">
        <f>CONCATENATE("M 48 ",G425)</f>
      </c>
      <c r="B458" s="18" t="str">
        <f>SUMPRODUCT((UPPER(D452:D456)&lt;&gt;"X")*((LEN(SUBSTITUTE(SUBSTITUTE(SUBSTITUTE(B452:B456," ",""),"0",""),"-",""))+LEN(SUBSTITUTE(SUBSTITUTE(SUBSTITUTE(C452:C456," ",""),"0",""),"-","")))&gt;(LEN(SUBSTITUTE(SUBSTITUTE(SUBSTITUTE(E452:E456," ",""),"0",""),"-",""))+LEN(SUBSTITUTE(SUBSTITUTE(SUBSTITUTE(F452:F456," ",""),"0",""),"-",""))))*1)</f>
      </c>
      <c r="C458" s="18" t="str">
        <f>SUMPRODUCT(LEN(SUBSTITUTE(SUBSTITUTE(SUBSTITUTE(B452:B456," ",""),"0",""),"-",""))+LEN(SUBSTITUTE(SUBSTITUTE(SUBSTITUTE(C452:C456," ",""),"0",""),"-","")))</f>
      </c>
      <c r="D458" s="14"/>
      <c r="E458" s="18" t="str">
        <f>SUMPRODUCT(LEN(SUBSTITUTE(SUBSTITUTE(SUBSTITUTE(E452:E456," ",""),"0",""),"-",""))+LEN(SUBSTITUTE(SUBSTITUTE(SUBSTITUTE(F452:F456," ",""),"0",""),"-","")))</f>
      </c>
      <c r="F458" s="18" t="str">
        <f>SUMPRODUCT((UPPER(D452:D456)&lt;&gt;"X")*((LEN(SUBSTITUTE(SUBSTITUTE(SUBSTITUTE(E452:E456," ",""),"0",""),"-",""))+LEN(SUBSTITUTE(SUBSTITUTE(SUBSTITUTE(F452:F456," ",""),"0",""),"-","")))&gt;(LEN(SUBSTITUTE(SUBSTITUTE(SUBSTITUTE(B452:B456," ",""),"0",""),"-",""))+LEN(SUBSTITUTE(SUBSTITUTE(SUBSTITUTE(C452:C456," ",""),"0",""),"-",""))))*1)</f>
      </c>
      <c r="G458" s="14" t="str">
        <f>CONCATENATE("M 47 ",G409)</f>
      </c>
      <c r="M458" s="14" t="str">
        <f>CONCATENATE("M 52 ",S425)</f>
      </c>
      <c r="N458" s="18" t="str">
        <f>SUMPRODUCT((UPPER(P452:P456)&lt;&gt;"X")*((LEN(SUBSTITUTE(SUBSTITUTE(SUBSTITUTE(N452:N456," ",""),"0",""),"-",""))+LEN(SUBSTITUTE(SUBSTITUTE(SUBSTITUTE(O452:O456," ",""),"0",""),"-","")))&gt;(LEN(SUBSTITUTE(SUBSTITUTE(SUBSTITUTE(Q452:Q456," ",""),"0",""),"-",""))+LEN(SUBSTITUTE(SUBSTITUTE(SUBSTITUTE(R452:R456," ",""),"0",""),"-",""))))*1)</f>
      </c>
      <c r="O458" s="18" t="str">
        <f>SUMPRODUCT(LEN(SUBSTITUTE(SUBSTITUTE(SUBSTITUTE(N452:N456," ",""),"0",""),"-",""))+LEN(SUBSTITUTE(SUBSTITUTE(SUBSTITUTE(O452:O456," ",""),"0",""),"-","")))</f>
      </c>
      <c r="P458" s="14"/>
      <c r="Q458" s="18" t="str">
        <f>SUMPRODUCT(LEN(SUBSTITUTE(SUBSTITUTE(SUBSTITUTE(Q452:Q456," ",""),"0",""),"-",""))+LEN(SUBSTITUTE(SUBSTITUTE(SUBSTITUTE(R452:R456," ",""),"0",""),"-","")))</f>
      </c>
      <c r="R458" s="18" t="str">
        <f>SUMPRODUCT((UPPER(P452:P456)&lt;&gt;"X")*((LEN(SUBSTITUTE(SUBSTITUTE(SUBSTITUTE(Q452:Q456," ",""),"0",""),"-",""))+LEN(SUBSTITUTE(SUBSTITUTE(SUBSTITUTE(R452:R456," ",""),"0",""),"-","")))&gt;(LEN(SUBSTITUTE(SUBSTITUTE(SUBSTITUTE(N452:N456," ",""),"0",""),"-",""))+LEN(SUBSTITUTE(SUBSTITUTE(SUBSTITUTE(O452:O456," ",""),"0",""),"-",""))))*1)</f>
      </c>
      <c r="S458" s="14" t="str">
        <f>CONCATENATE("M 51 ",S409)</f>
      </c>
    </row>
    <row r="459">
      <c r="A459" s="14" t="s">
        <v>346</v>
      </c>
      <c r="B459" s="14"/>
      <c r="C459" s="14"/>
      <c r="D459" s="14"/>
      <c r="E459" s="14"/>
      <c r="F459" s="14"/>
      <c r="G459" s="14" t="s">
        <v>346</v>
      </c>
      <c r="M459" s="14" t="s">
        <v>346</v>
      </c>
      <c r="N459" s="14"/>
      <c r="O459" s="14"/>
      <c r="P459" s="14"/>
      <c r="Q459" s="14"/>
      <c r="R459" s="14"/>
      <c r="S459" s="14" t="s">
        <v>346</v>
      </c>
    </row>
    <row r="462">
      <c r="F462" t="s">
        <v>347</v>
      </c>
      <c r="G462" s="19"/>
      <c r="R462" t="s">
        <v>347</v>
      </c>
      <c r="S462" s="19"/>
    </row>
    <row r="463">
      <c r="F463" t="s">
        <v>348</v>
      </c>
      <c r="G463" s="19"/>
      <c r="R463" t="s">
        <v>348</v>
      </c>
      <c r="S463" s="19"/>
    </row>
    <row r="470">
      <c r="A470" s="13" t="s">
        <v>404</v>
      </c>
      <c r="B470" s="13"/>
      <c r="C470" s="13"/>
      <c r="D470" s="13"/>
      <c r="E470" s="13"/>
      <c r="F470" s="13"/>
      <c r="G470" s="13"/>
      <c r="M470" s="13" t="s">
        <v>405</v>
      </c>
      <c r="N470" s="13"/>
      <c r="O470" s="13"/>
      <c r="P470" s="13"/>
      <c r="Q470" s="13"/>
      <c r="R470" s="13"/>
      <c r="S470" s="13"/>
    </row>
    <row r="471">
      <c r="A471" s="17" t="s">
        <v>238</v>
      </c>
      <c r="D471" s="14" t="s">
        <v>239</v>
      </c>
      <c r="G471" s="16" t="s">
        <v>240</v>
      </c>
      <c r="M471" s="17" t="s">
        <v>238</v>
      </c>
      <c r="P471" s="14" t="s">
        <v>239</v>
      </c>
      <c r="S471" s="16" t="s">
        <v>240</v>
      </c>
    </row>
    <row r="472">
      <c r="A472" s="14" t="str">
        <f>CONCATENATE("M 54 ",G462)</f>
      </c>
      <c r="B472" s="18"/>
      <c r="C472" s="18"/>
      <c r="D472" s="18"/>
      <c r="E472" s="18"/>
      <c r="F472" s="18"/>
      <c r="G472" s="14" t="str">
        <f>CONCATENATE("M 53 ",G446)</f>
      </c>
      <c r="M472" s="14" t="str">
        <f>CONCATENATE("M 56 ",S462)</f>
      </c>
      <c r="N472" s="18"/>
      <c r="O472" s="18"/>
      <c r="P472" s="18"/>
      <c r="Q472" s="18"/>
      <c r="R472" s="18"/>
      <c r="S472" s="14" t="str">
        <f>CONCATENATE("M 55 ",S446)</f>
      </c>
    </row>
    <row r="473">
      <c r="A473" s="14">
        <v>1</v>
      </c>
      <c r="B473" s="18"/>
      <c r="C473" s="18"/>
      <c r="D473" s="18"/>
      <c r="E473" s="18"/>
      <c r="F473" s="18"/>
      <c r="G473" s="14">
        <v>1</v>
      </c>
      <c r="M473" s="14">
        <v>1</v>
      </c>
      <c r="N473" s="18"/>
      <c r="O473" s="18"/>
      <c r="P473" s="18"/>
      <c r="Q473" s="18"/>
      <c r="R473" s="18"/>
      <c r="S473" s="14">
        <v>1</v>
      </c>
    </row>
    <row r="474">
      <c r="A474" s="14">
        <v>2</v>
      </c>
      <c r="B474" s="18"/>
      <c r="C474" s="18"/>
      <c r="D474" s="18"/>
      <c r="E474" s="18"/>
      <c r="F474" s="18"/>
      <c r="G474" s="14">
        <v>2</v>
      </c>
      <c r="M474" s="14">
        <v>2</v>
      </c>
      <c r="N474" s="18"/>
      <c r="O474" s="18"/>
      <c r="P474" s="18"/>
      <c r="Q474" s="18"/>
      <c r="R474" s="18"/>
      <c r="S474" s="14">
        <v>2</v>
      </c>
    </row>
    <row r="475">
      <c r="A475" s="14">
        <v>3</v>
      </c>
      <c r="B475" s="18"/>
      <c r="C475" s="18"/>
      <c r="D475" s="18"/>
      <c r="E475" s="18"/>
      <c r="F475" s="18"/>
      <c r="G475" s="14">
        <v>3</v>
      </c>
      <c r="M475" s="14">
        <v>3</v>
      </c>
      <c r="N475" s="18"/>
      <c r="O475" s="18"/>
      <c r="P475" s="18"/>
      <c r="Q475" s="18"/>
      <c r="R475" s="18"/>
      <c r="S475" s="14">
        <v>3</v>
      </c>
    </row>
    <row r="476">
      <c r="A476" s="14">
        <v>4</v>
      </c>
      <c r="B476" s="18"/>
      <c r="C476" s="18"/>
      <c r="D476" s="18"/>
      <c r="E476" s="18"/>
      <c r="F476" s="18"/>
      <c r="G476" s="14">
        <v>4</v>
      </c>
      <c r="M476" s="14">
        <v>4</v>
      </c>
      <c r="N476" s="18"/>
      <c r="O476" s="18"/>
      <c r="P476" s="18"/>
      <c r="Q476" s="18"/>
      <c r="R476" s="18"/>
      <c r="S476" s="14">
        <v>4</v>
      </c>
    </row>
    <row r="477">
      <c r="A477" s="14">
        <v>5</v>
      </c>
      <c r="B477" s="18"/>
      <c r="C477" s="18"/>
      <c r="D477" s="18"/>
      <c r="E477" s="18"/>
      <c r="F477" s="18"/>
      <c r="G477" s="14">
        <v>5</v>
      </c>
      <c r="M477" s="14">
        <v>5</v>
      </c>
      <c r="N477" s="18"/>
      <c r="O477" s="18"/>
      <c r="P477" s="18"/>
      <c r="Q477" s="18"/>
      <c r="R477" s="18"/>
      <c r="S477" s="14">
        <v>5</v>
      </c>
    </row>
    <row r="479">
      <c r="A479" s="14" t="str">
        <f>CONCATENATE("M 54 ",G462)</f>
      </c>
      <c r="B479" s="18" t="str">
        <f>SUMPRODUCT((UPPER(D473:D477)&lt;&gt;"X")*((LEN(SUBSTITUTE(SUBSTITUTE(SUBSTITUTE(B473:B477," ",""),"0",""),"-",""))+LEN(SUBSTITUTE(SUBSTITUTE(SUBSTITUTE(C473:C477," ",""),"0",""),"-","")))&gt;(LEN(SUBSTITUTE(SUBSTITUTE(SUBSTITUTE(E473:E477," ",""),"0",""),"-",""))+LEN(SUBSTITUTE(SUBSTITUTE(SUBSTITUTE(F473:F477," ",""),"0",""),"-",""))))*1)</f>
      </c>
      <c r="C479" s="18" t="str">
        <f>SUMPRODUCT(LEN(SUBSTITUTE(SUBSTITUTE(SUBSTITUTE(B473:B477," ",""),"0",""),"-",""))+LEN(SUBSTITUTE(SUBSTITUTE(SUBSTITUTE(C473:C477," ",""),"0",""),"-","")))</f>
      </c>
      <c r="D479" s="14"/>
      <c r="E479" s="18" t="str">
        <f>SUMPRODUCT(LEN(SUBSTITUTE(SUBSTITUTE(SUBSTITUTE(E473:E477," ",""),"0",""),"-",""))+LEN(SUBSTITUTE(SUBSTITUTE(SUBSTITUTE(F473:F477," ",""),"0",""),"-","")))</f>
      </c>
      <c r="F479" s="18" t="str">
        <f>SUMPRODUCT((UPPER(D473:D477)&lt;&gt;"X")*((LEN(SUBSTITUTE(SUBSTITUTE(SUBSTITUTE(E473:E477," ",""),"0",""),"-",""))+LEN(SUBSTITUTE(SUBSTITUTE(SUBSTITUTE(F473:F477," ",""),"0",""),"-","")))&gt;(LEN(SUBSTITUTE(SUBSTITUTE(SUBSTITUTE(B473:B477," ",""),"0",""),"-",""))+LEN(SUBSTITUTE(SUBSTITUTE(SUBSTITUTE(C473:C477," ",""),"0",""),"-",""))))*1)</f>
      </c>
      <c r="G479" s="14" t="str">
        <f>CONCATENATE("M 53 ",G446)</f>
      </c>
      <c r="M479" s="14" t="str">
        <f>CONCATENATE("M 56 ",S462)</f>
      </c>
      <c r="N479" s="18" t="str">
        <f>SUMPRODUCT((UPPER(P473:P477)&lt;&gt;"X")*((LEN(SUBSTITUTE(SUBSTITUTE(SUBSTITUTE(N473:N477," ",""),"0",""),"-",""))+LEN(SUBSTITUTE(SUBSTITUTE(SUBSTITUTE(O473:O477," ",""),"0",""),"-","")))&gt;(LEN(SUBSTITUTE(SUBSTITUTE(SUBSTITUTE(Q473:Q477," ",""),"0",""),"-",""))+LEN(SUBSTITUTE(SUBSTITUTE(SUBSTITUTE(R473:R477," ",""),"0",""),"-",""))))*1)</f>
      </c>
      <c r="O479" s="18" t="str">
        <f>SUMPRODUCT(LEN(SUBSTITUTE(SUBSTITUTE(SUBSTITUTE(N473:N477," ",""),"0",""),"-",""))+LEN(SUBSTITUTE(SUBSTITUTE(SUBSTITUTE(O473:O477," ",""),"0",""),"-","")))</f>
      </c>
      <c r="P479" s="14"/>
      <c r="Q479" s="18" t="str">
        <f>SUMPRODUCT(LEN(SUBSTITUTE(SUBSTITUTE(SUBSTITUTE(Q473:Q477," ",""),"0",""),"-",""))+LEN(SUBSTITUTE(SUBSTITUTE(SUBSTITUTE(R473:R477," ",""),"0",""),"-","")))</f>
      </c>
      <c r="R479" s="18" t="str">
        <f>SUMPRODUCT((UPPER(P473:P477)&lt;&gt;"X")*((LEN(SUBSTITUTE(SUBSTITUTE(SUBSTITUTE(Q473:Q477," ",""),"0",""),"-",""))+LEN(SUBSTITUTE(SUBSTITUTE(SUBSTITUTE(R473:R477," ",""),"0",""),"-","")))&gt;(LEN(SUBSTITUTE(SUBSTITUTE(SUBSTITUTE(N473:N477," ",""),"0",""),"-",""))+LEN(SUBSTITUTE(SUBSTITUTE(SUBSTITUTE(O473:O477," ",""),"0",""),"-",""))))*1)</f>
      </c>
      <c r="S479" s="14" t="str">
        <f>CONCATENATE("M 55 ",S446)</f>
      </c>
    </row>
    <row r="480">
      <c r="A480" s="14" t="s">
        <v>346</v>
      </c>
      <c r="B480" s="14"/>
      <c r="C480" s="14"/>
      <c r="D480" s="14"/>
      <c r="E480" s="14"/>
      <c r="F480" s="14"/>
      <c r="G480" s="14" t="s">
        <v>346</v>
      </c>
      <c r="M480" s="14" t="s">
        <v>346</v>
      </c>
      <c r="N480" s="14"/>
      <c r="O480" s="14"/>
      <c r="P480" s="14"/>
      <c r="Q480" s="14"/>
      <c r="R480" s="14"/>
      <c r="S480" s="14" t="s">
        <v>346</v>
      </c>
    </row>
    <row r="483">
      <c r="F483" t="s">
        <v>347</v>
      </c>
      <c r="G483" s="19"/>
      <c r="R483" t="s">
        <v>347</v>
      </c>
      <c r="S483" s="19"/>
    </row>
    <row r="484">
      <c r="F484" t="s">
        <v>348</v>
      </c>
      <c r="G484" s="19"/>
      <c r="R484" t="s">
        <v>348</v>
      </c>
      <c r="S484" s="19"/>
    </row>
    <row r="491">
      <c r="A491" s="13" t="s">
        <v>406</v>
      </c>
      <c r="B491" s="13"/>
      <c r="C491" s="13"/>
      <c r="D491" s="13"/>
      <c r="E491" s="13"/>
      <c r="F491" s="13"/>
      <c r="G491" s="13"/>
    </row>
    <row r="492">
      <c r="A492" s="17" t="s">
        <v>238</v>
      </c>
      <c r="D492" s="14" t="s">
        <v>239</v>
      </c>
      <c r="G492" s="16" t="s">
        <v>240</v>
      </c>
    </row>
    <row r="493">
      <c r="A493" s="14" t="str">
        <f>CONCATENATE("M 58 ",S483)</f>
      </c>
      <c r="B493" s="18"/>
      <c r="C493" s="18"/>
      <c r="D493" s="18"/>
      <c r="E493" s="18"/>
      <c r="F493" s="18"/>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",S483)</f>
      </c>
      <c r="B500" s="18" t="str">
        <f>SUMPRODUCT((UPPER(D494:D498)&lt;&gt;"X")*((LEN(SUBSTITUTE(SUBSTITUTE(SUBSTITUTE(B494:B498," ",""),"0",""),"-",""))+LEN(SUBSTITUTE(SUBSTITUTE(SUBSTITUTE(C494:C498," ",""),"0",""),"-","")))&gt;(LEN(SUBSTITUTE(SUBSTITUTE(SUBSTITUTE(E494:E498," ",""),"0",""),"-",""))+LEN(SUBSTITUTE(SUBSTITUTE(SUBSTITUTE(F494:F498," ",""),"0",""),"-",""))))*1)</f>
      </c>
      <c r="C500" s="18" t="str">
        <f>SUMPRODUCT(LEN(SUBSTITUTE(SUBSTITUTE(SUBSTITUTE(B494:B498," ",""),"0",""),"-",""))+LEN(SUBSTITUTE(SUBSTITUTE(SUBSTITUTE(C494:C498," ",""),"0",""),"-","")))</f>
      </c>
      <c r="D500" s="14"/>
      <c r="E500" s="18" t="str">
        <f>SUMPRODUCT(LEN(SUBSTITUTE(SUBSTITUTE(SUBSTITUTE(E494:E498," ",""),"0",""),"-",""))+LEN(SUBSTITUTE(SUBSTITUTE(SUBSTITUTE(F494:F498," ",""),"0",""),"-","")))</f>
      </c>
      <c r="F500" s="18" t="str">
        <f>SUMPRODUCT((UPPER(D494:D498)&lt;&gt;"X")*((LEN(SUBSTITUTE(SUBSTITUTE(SUBSTITUTE(E494:E498," ",""),"0",""),"-",""))+LEN(SUBSTITUTE(SUBSTITUTE(SUBSTITUTE(F494:F498," ",""),"0",""),"-","")))&gt;(LEN(SUBSTITUTE(SUBSTITUTE(SUBSTITUTE(B494:B498," ",""),"0",""),"-",""))+LEN(SUBSTITUTE(SUBSTITUTE(SUBSTITUTE(C494:C498," ",""),"0",""),"-",""))))*1)</f>
      </c>
      <c r="G500" s="14" t="str">
        <f>CONCATENATE("M 57 ",G483)</f>
      </c>
    </row>
    <row r="501">
      <c r="A501" s="14" t="s">
        <v>346</v>
      </c>
      <c r="B501" s="14"/>
      <c r="C501" s="14"/>
      <c r="D501" s="14"/>
      <c r="E501" s="14"/>
      <c r="F501" s="14"/>
      <c r="G501" s="14" t="s">
        <v>346</v>
      </c>
    </row>
    <row r="504">
      <c r="F504" t="s">
        <v>347</v>
      </c>
      <c r="G504" s="19"/>
    </row>
    <row r="505">
      <c r="F505" t="s">
        <v>348</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M2:S2"/>
    <mergeCell ref="A18:G18"/>
    <mergeCell ref="M18:S18"/>
    <mergeCell ref="A34:G34"/>
    <mergeCell ref="M34:S34"/>
    <mergeCell ref="A50:G50"/>
    <mergeCell ref="M50:S50"/>
    <mergeCell ref="A66:G66"/>
    <mergeCell ref="M66:S66"/>
    <mergeCell ref="A82:G82"/>
    <mergeCell ref="M82:S82"/>
    <mergeCell ref="A98:G98"/>
    <mergeCell ref="M98:S98"/>
    <mergeCell ref="A114:G114"/>
    <mergeCell ref="M114:S114"/>
    <mergeCell ref="A130:G130"/>
    <mergeCell ref="M130:S130"/>
    <mergeCell ref="A146:G146"/>
    <mergeCell ref="M146:S146"/>
    <mergeCell ref="A162:G162"/>
    <mergeCell ref="M162:S162"/>
    <mergeCell ref="A178:G178"/>
    <mergeCell ref="M178:S178"/>
    <mergeCell ref="A194:G194"/>
    <mergeCell ref="M194:S194"/>
    <mergeCell ref="A210:G210"/>
    <mergeCell ref="M210:S210"/>
    <mergeCell ref="A231:G231"/>
    <mergeCell ref="M231:S231"/>
    <mergeCell ref="A247:G247"/>
    <mergeCell ref="M247:S247"/>
    <mergeCell ref="A263:G263"/>
    <mergeCell ref="M263:S263"/>
    <mergeCell ref="A279:G279"/>
    <mergeCell ref="M279:S279"/>
    <mergeCell ref="A295:G295"/>
    <mergeCell ref="M295:S295"/>
    <mergeCell ref="A311:G311"/>
    <mergeCell ref="M311:S311"/>
    <mergeCell ref="A327:G327"/>
    <mergeCell ref="M327:S327"/>
    <mergeCell ref="A343:G343"/>
    <mergeCell ref="M343:S343"/>
    <mergeCell ref="A364:G364"/>
    <mergeCell ref="M364:S364"/>
    <mergeCell ref="A380:G380"/>
    <mergeCell ref="M380:S380"/>
    <mergeCell ref="A396:G396"/>
    <mergeCell ref="M396:S396"/>
    <mergeCell ref="A412:G412"/>
    <mergeCell ref="M412:S412"/>
    <mergeCell ref="A433:G433"/>
    <mergeCell ref="M433:S433"/>
    <mergeCell ref="A449:G449"/>
    <mergeCell ref="M449:S449"/>
    <mergeCell ref="A470:G470"/>
    <mergeCell ref="M470:S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Matches'!G50)</f>
      </c>
    </row>
    <row r="7">
      <c r="A7" s="26" t="str">
        <f>"3. " &amp; data!$B$5</f>
      </c>
      <c r="F7" s="22"/>
      <c r="G7" s="20"/>
    </row>
    <row r="8">
      <c r="A8" s="27" t="str">
        <f>"4. " &amp; data!$B$6</f>
      </c>
      <c r="G8" s="21">
        <v>29</v>
      </c>
    </row>
    <row r="9">
      <c r="A9" s="22"/>
      <c r="C9" s="23" t="str">
        <f>CONCATENATE("Pool C-1st ",'Pool Matches'!G134)</f>
      </c>
      <c r="G9" s="20"/>
      <c r="H9" s="22"/>
      <c r="I9" s="20"/>
    </row>
    <row r="10">
      <c r="A10" s="24" t="str">
        <f>data!$A$9</f>
      </c>
      <c r="D10" s="22"/>
      <c r="E10" s="21">
        <v>1</v>
      </c>
      <c r="F10" s="15"/>
      <c r="G10" s="20"/>
      <c r="I10" s="20"/>
    </row>
    <row r="11">
      <c r="A11" s="25" t="str">
        <f>"1. " &amp; data!$B$7</f>
      </c>
      <c r="C11" s="23" t="str">
        <f>CONCATENATE("Pool B-2nd ",'Pool Matches'!G93)</f>
      </c>
      <c r="D11" s="15"/>
      <c r="E11" s="20"/>
      <c r="I11" s="20"/>
    </row>
    <row r="12">
      <c r="A12" s="26" t="str">
        <f>"2. " &amp; data!$B$8</f>
      </c>
      <c r="I12" s="21">
        <v>45</v>
      </c>
    </row>
    <row r="13">
      <c r="A13" s="27" t="str">
        <f>"3. " &amp; data!$B$9</f>
      </c>
      <c r="C13" s="23" t="str">
        <f>CONCATENATE("Pool E-1st ",'Pool Matches'!G218)</f>
      </c>
      <c r="I13" s="20"/>
      <c r="J13" s="22"/>
      <c r="K13" s="20"/>
    </row>
    <row r="14">
      <c r="A14" s="22"/>
      <c r="D14" s="22"/>
      <c r="E14" s="21">
        <v>2</v>
      </c>
      <c r="I14" s="20"/>
      <c r="K14" s="20"/>
    </row>
    <row r="15">
      <c r="A15" s="24" t="str">
        <f>data!$A$12</f>
      </c>
      <c r="C15" s="23" t="str">
        <f>CONCATENATE("Pool D-2nd ",'Pool Matches'!G177)</f>
      </c>
      <c r="D15" s="15"/>
      <c r="E15" s="20"/>
      <c r="F15" s="22"/>
      <c r="G15" s="20"/>
      <c r="I15" s="20"/>
      <c r="K15" s="20"/>
    </row>
    <row r="16">
      <c r="A16" s="25" t="str">
        <f>"1. " &amp; data!$B$10</f>
      </c>
      <c r="G16" s="21">
        <v>30</v>
      </c>
      <c r="H16" s="15"/>
      <c r="I16" s="20"/>
      <c r="K16" s="20"/>
    </row>
    <row r="17">
      <c r="A17" s="26" t="str">
        <f>"2. " &amp; data!$B$11</f>
      </c>
      <c r="C17" s="23" t="str">
        <f>CONCATENATE("Pool G-1st ",'Pool Matches'!G302)</f>
      </c>
      <c r="G17" s="20"/>
      <c r="K17" s="20"/>
    </row>
    <row r="18">
      <c r="A18" s="27" t="str">
        <f>"3. " &amp; data!$B$12</f>
      </c>
      <c r="D18" s="22"/>
      <c r="E18" s="21">
        <v>3</v>
      </c>
      <c r="F18" s="15"/>
      <c r="G18" s="20"/>
      <c r="K18" s="20"/>
    </row>
    <row r="19">
      <c r="A19" s="22"/>
      <c r="C19" s="23" t="str">
        <f>CONCATENATE("Pool F-2nd ",'Pool Matches'!G261)</f>
      </c>
      <c r="D19" s="15"/>
      <c r="E19" s="20"/>
      <c r="K19" s="20"/>
    </row>
    <row r="20">
      <c r="A20" s="24" t="str">
        <f>data!$A$15</f>
      </c>
      <c r="K20" s="21">
        <v>53</v>
      </c>
    </row>
    <row r="21">
      <c r="A21" s="25" t="str">
        <f>"1. " &amp; data!$B$13</f>
      </c>
      <c r="C21" s="23" t="str">
        <f>CONCATENATE("Pool I-1st ",'Pool Matches'!G386)</f>
      </c>
      <c r="K21" s="20"/>
    </row>
    <row r="22">
      <c r="A22" s="26" t="str">
        <f>"2. " &amp; data!$B$14</f>
      </c>
      <c r="D22" s="22"/>
      <c r="E22" s="21">
        <v>4</v>
      </c>
      <c r="K22" s="20"/>
    </row>
    <row r="23">
      <c r="A23" s="27" t="str">
        <f>"3. " &amp; data!$B$15</f>
      </c>
      <c r="C23" s="23" t="str">
        <f>CONCATENATE("Pool H-2nd ",'Pool Matches'!G345)</f>
      </c>
      <c r="D23" s="15"/>
      <c r="E23" s="20"/>
      <c r="F23" s="22"/>
      <c r="G23" s="20"/>
      <c r="K23" s="20"/>
    </row>
    <row r="24">
      <c r="A24" s="22"/>
      <c r="G24" s="21">
        <v>31</v>
      </c>
      <c r="K24" s="20"/>
    </row>
    <row r="25">
      <c r="A25" s="24" t="str">
        <f>data!$A$18</f>
      </c>
      <c r="C25" s="23" t="str">
        <f>CONCATENATE("Pool K-1st ",'Pool Matches'!G470)</f>
      </c>
      <c r="G25" s="20"/>
      <c r="H25" s="22"/>
      <c r="I25" s="20"/>
      <c r="K25" s="20"/>
    </row>
    <row r="26">
      <c r="A26" s="25" t="str">
        <f>"1. " &amp; data!$B$16</f>
      </c>
      <c r="D26" s="22"/>
      <c r="E26" s="21">
        <v>5</v>
      </c>
      <c r="F26" s="15"/>
      <c r="G26" s="20"/>
      <c r="I26" s="20"/>
      <c r="K26" s="20"/>
    </row>
    <row r="27">
      <c r="A27" s="26" t="str">
        <f>"2. " &amp; data!$B$17</f>
      </c>
      <c r="C27" s="23" t="str">
        <f>CONCATENATE("Pool J-2nd ",'Pool Matches'!G429)</f>
      </c>
      <c r="D27" s="15"/>
      <c r="E27" s="20"/>
      <c r="I27" s="20"/>
      <c r="K27" s="20"/>
    </row>
    <row r="28">
      <c r="A28" s="27" t="str">
        <f>"3. " &amp; data!$B$18</f>
      </c>
      <c r="I28" s="21">
        <v>46</v>
      </c>
      <c r="J28" s="15"/>
      <c r="K28" s="20"/>
    </row>
    <row r="29">
      <c r="A29" s="22"/>
      <c r="C29" s="23" t="str">
        <f>CONCATENATE("Pool M-1st ",'Pool Matches'!G554)</f>
      </c>
      <c r="I29" s="20"/>
    </row>
    <row r="30">
      <c r="A30" s="24" t="str">
        <f>data!$A$21</f>
      </c>
      <c r="D30" s="22"/>
      <c r="E30" s="21">
        <v>6</v>
      </c>
      <c r="I30" s="20"/>
    </row>
    <row r="31">
      <c r="A31" s="25" t="str">
        <f>"1. " &amp; data!$B$19</f>
      </c>
      <c r="C31" s="23" t="str">
        <f>CONCATENATE("Pool L-2nd ",'Pool Matches'!G513)</f>
      </c>
      <c r="D31" s="15"/>
      <c r="E31" s="20"/>
      <c r="F31" s="22"/>
      <c r="G31" s="20"/>
      <c r="I31" s="20"/>
    </row>
    <row r="32">
      <c r="A32" s="26" t="str">
        <f>"2. " &amp; data!$B$20</f>
      </c>
      <c r="G32" s="21">
        <v>32</v>
      </c>
      <c r="H32" s="15"/>
      <c r="I32" s="20"/>
    </row>
    <row r="33">
      <c r="A33" s="27" t="str">
        <f>"3. " &amp; data!$B$21</f>
      </c>
      <c r="C33" s="23" t="str">
        <f>CONCATENATE("Pool O-1st ",'Pool Matches'!G638)</f>
      </c>
      <c r="G33" s="20"/>
    </row>
    <row r="34">
      <c r="A34" s="22"/>
      <c r="D34" s="22"/>
      <c r="E34" s="21">
        <v>7</v>
      </c>
      <c r="F34" s="15"/>
      <c r="G34" s="20"/>
    </row>
    <row r="35">
      <c r="A35" s="24" t="str">
        <f>data!$A$24</f>
      </c>
      <c r="C35" s="23" t="str">
        <f>CONCATENATE("Pool N-2nd ",'Pool Matches'!G597)</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data!$A$30</f>
      </c>
    </row>
    <row r="5">
      <c r="A5" s="25" t="str">
        <f>"1. " &amp; data!$B$28</f>
      </c>
    </row>
    <row r="6">
      <c r="A6" s="26" t="str">
        <f>"2. " &amp; data!$B$29</f>
      </c>
      <c r="E6" s="23" t="str">
        <f>CONCATENATE("Pool Q-1st ",'Pool Matches'!O92)</f>
      </c>
    </row>
    <row r="7">
      <c r="A7" s="27" t="str">
        <f>"3. " &amp; data!$B$30</f>
      </c>
      <c r="F7" s="22"/>
      <c r="G7" s="20"/>
    </row>
    <row r="8">
      <c r="A8" s="22"/>
      <c r="G8" s="21">
        <v>33</v>
      </c>
    </row>
    <row r="9">
      <c r="A9" s="24" t="str">
        <f>data!$A$33</f>
      </c>
      <c r="C9" s="23" t="str">
        <f>CONCATENATE("Pool P-2nd ",'Pool Matches'!O49)</f>
      </c>
      <c r="G9" s="20"/>
      <c r="H9" s="22"/>
      <c r="I9" s="20"/>
    </row>
    <row r="10">
      <c r="A10" s="25" t="str">
        <f>"1. " &amp; data!$B$31</f>
      </c>
      <c r="D10" s="22"/>
      <c r="E10" s="21">
        <v>8</v>
      </c>
      <c r="F10" s="15"/>
      <c r="G10" s="20"/>
      <c r="I10" s="20"/>
    </row>
    <row r="11">
      <c r="A11" s="26" t="str">
        <f>"2. " &amp; data!$B$32</f>
      </c>
      <c r="C11" s="23" t="str">
        <f>CONCATENATE("Pool R-2nd ",'Pool Matches'!O135)</f>
      </c>
      <c r="D11" s="15"/>
      <c r="E11" s="20"/>
      <c r="I11" s="20"/>
    </row>
    <row r="12">
      <c r="A12" s="27" t="str">
        <f>"3. " &amp; data!$B$33</f>
      </c>
      <c r="I12" s="21">
        <v>47</v>
      </c>
    </row>
    <row r="13">
      <c r="A13" s="22"/>
      <c r="C13" s="23" t="str">
        <f>CONCATENATE("Pool S-1st ",'Pool Matches'!O176)</f>
      </c>
      <c r="I13" s="20"/>
      <c r="J13" s="22"/>
      <c r="K13" s="20"/>
    </row>
    <row r="14">
      <c r="A14" s="24" t="str">
        <f>data!$A$36</f>
      </c>
      <c r="D14" s="22"/>
      <c r="E14" s="21">
        <v>9</v>
      </c>
      <c r="I14" s="20"/>
      <c r="K14" s="20"/>
    </row>
    <row r="15">
      <c r="A15" s="25" t="str">
        <f>"1. " &amp; data!$B$34</f>
      </c>
      <c r="C15" s="23" t="str">
        <f>CONCATENATE("Pool T-2nd ",'Pool Matches'!O219)</f>
      </c>
      <c r="D15" s="15"/>
      <c r="E15" s="20"/>
      <c r="F15" s="22"/>
      <c r="G15" s="20"/>
      <c r="I15" s="20"/>
      <c r="K15" s="20"/>
    </row>
    <row r="16">
      <c r="A16" s="26" t="str">
        <f>"2. " &amp; data!$B$35</f>
      </c>
      <c r="G16" s="21">
        <v>34</v>
      </c>
      <c r="H16" s="15"/>
      <c r="I16" s="20"/>
      <c r="K16" s="20"/>
    </row>
    <row r="17">
      <c r="A17" s="27" t="str">
        <f>"3. " &amp; data!$B$36</f>
      </c>
      <c r="C17" s="23" t="str">
        <f>CONCATENATE("Pool U-1st ",'Pool Matches'!O260)</f>
      </c>
      <c r="G17" s="20"/>
      <c r="K17" s="20"/>
    </row>
    <row r="18">
      <c r="A18" s="22"/>
      <c r="D18" s="22"/>
      <c r="E18" s="21">
        <v>10</v>
      </c>
      <c r="F18" s="15"/>
      <c r="G18" s="20"/>
      <c r="K18" s="20"/>
    </row>
    <row r="19">
      <c r="A19" s="24" t="str">
        <f>data!$A$39</f>
      </c>
      <c r="C19" s="23" t="str">
        <f>CONCATENATE("Pool V-2nd ",'Pool Matches'!O303)</f>
      </c>
      <c r="D19" s="15"/>
      <c r="E19" s="20"/>
      <c r="K19" s="20"/>
    </row>
    <row r="20">
      <c r="A20" s="25" t="str">
        <f>"1. " &amp; data!$B$37</f>
      </c>
      <c r="K20" s="21">
        <v>54</v>
      </c>
    </row>
    <row r="21">
      <c r="A21" s="26" t="str">
        <f>"2. " &amp; data!$B$38</f>
      </c>
      <c r="C21" s="23" t="str">
        <f>CONCATENATE("Pool W-1st ",'Pool Matches'!O344)</f>
      </c>
      <c r="K21" s="20"/>
    </row>
    <row r="22">
      <c r="A22" s="27" t="str">
        <f>"3. " &amp; data!$B$39</f>
      </c>
      <c r="D22" s="22"/>
      <c r="E22" s="21">
        <v>11</v>
      </c>
      <c r="K22" s="20"/>
    </row>
    <row r="23">
      <c r="A23" s="22"/>
      <c r="C23" s="23" t="str">
        <f>CONCATENATE("Pool X-2nd ",'Pool Matches'!O387)</f>
      </c>
      <c r="D23" s="15"/>
      <c r="E23" s="20"/>
      <c r="F23" s="22"/>
      <c r="G23" s="20"/>
      <c r="K23" s="20"/>
    </row>
    <row r="24">
      <c r="A24" s="24" t="str">
        <f>data!$A$42</f>
      </c>
      <c r="G24" s="21">
        <v>35</v>
      </c>
      <c r="K24" s="20"/>
    </row>
    <row r="25">
      <c r="A25" s="25" t="str">
        <f>"1. " &amp; data!$B$40</f>
      </c>
      <c r="C25" s="23" t="str">
        <f>CONCATENATE("Pool Y-1st ",'Pool Matches'!O428)</f>
      </c>
      <c r="G25" s="20"/>
      <c r="H25" s="22"/>
      <c r="I25" s="20"/>
      <c r="K25" s="20"/>
    </row>
    <row r="26">
      <c r="A26" s="26" t="str">
        <f>"2. " &amp; data!$B$41</f>
      </c>
      <c r="D26" s="22"/>
      <c r="E26" s="21">
        <v>12</v>
      </c>
      <c r="F26" s="15"/>
      <c r="G26" s="20"/>
      <c r="I26" s="20"/>
      <c r="K26" s="20"/>
    </row>
    <row r="27">
      <c r="A27" s="27" t="str">
        <f>"3. " &amp; data!$B$42</f>
      </c>
      <c r="C27" s="23" t="str">
        <f>CONCATENATE("Pool Z-2nd ",'Pool Matches'!O471)</f>
      </c>
      <c r="D27" s="15"/>
      <c r="E27" s="20"/>
      <c r="I27" s="20"/>
      <c r="K27" s="20"/>
    </row>
    <row r="28">
      <c r="A28" s="22"/>
      <c r="I28" s="21">
        <v>48</v>
      </c>
      <c r="J28" s="15"/>
      <c r="K28" s="20"/>
    </row>
    <row r="29">
      <c r="A29" s="24" t="str">
        <f>data!$A$45</f>
      </c>
      <c r="C29" s="23" t="str">
        <f>CONCATENATE("Pool AA-1st ",'Pool Matches'!O512)</f>
      </c>
      <c r="I29" s="20"/>
    </row>
    <row r="30">
      <c r="A30" s="25" t="str">
        <f>"1. " &amp; data!$B$43</f>
      </c>
      <c r="D30" s="22"/>
      <c r="E30" s="21">
        <v>13</v>
      </c>
      <c r="I30" s="20"/>
    </row>
    <row r="31">
      <c r="A31" s="26" t="str">
        <f>"2. " &amp; data!$B$44</f>
      </c>
      <c r="C31" s="23" t="str">
        <f>CONCATENATE("Pool BB-2nd ",'Pool Matches'!O555)</f>
      </c>
      <c r="D31" s="15"/>
      <c r="E31" s="20"/>
      <c r="F31" s="22"/>
      <c r="G31" s="20"/>
      <c r="I31" s="20"/>
    </row>
    <row r="32">
      <c r="A32" s="27" t="str">
        <f>"3. " &amp; data!$B$45</f>
      </c>
      <c r="G32" s="21">
        <v>36</v>
      </c>
      <c r="H32" s="15"/>
      <c r="I32" s="20"/>
    </row>
    <row r="33">
      <c r="A33" s="22"/>
      <c r="C33" s="23" t="str">
        <f>CONCATENATE("Pool CC-1st ",'Pool Matches'!O596)</f>
      </c>
      <c r="G33" s="20"/>
    </row>
    <row r="34">
      <c r="A34" s="24" t="str">
        <f>data!$A$48</f>
      </c>
      <c r="D34" s="22"/>
      <c r="E34" s="21">
        <v>14</v>
      </c>
      <c r="F34" s="15"/>
      <c r="G34" s="20"/>
    </row>
    <row r="35">
      <c r="A35" s="25" t="str">
        <f>"1. " &amp; data!$B$46</f>
      </c>
      <c r="C35" s="23" t="str">
        <f>CONCATENATE("Pool DD-2nd ",'Pool Matches'!O639)</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data!$A$51</f>
      </c>
    </row>
    <row r="5">
      <c r="A5" s="25" t="str">
        <f>"1. " &amp; data!$B$49</f>
      </c>
    </row>
    <row r="6">
      <c r="A6" s="26" t="str">
        <f>"2. " &amp; data!$B$50</f>
      </c>
      <c r="E6" s="23" t="str">
        <f>CONCATENATE("Pool B-1st ",'Pool Matches'!G92)</f>
      </c>
    </row>
    <row r="7">
      <c r="A7" s="27" t="str">
        <f>"3. " &amp; data!$B$51</f>
      </c>
      <c r="F7" s="22"/>
      <c r="G7" s="20"/>
    </row>
    <row r="8">
      <c r="A8" s="22"/>
      <c r="G8" s="21">
        <v>37</v>
      </c>
    </row>
    <row r="9">
      <c r="A9" s="24" t="str">
        <f>data!$A$54</f>
      </c>
      <c r="C9" s="23" t="str">
        <f>CONCATENATE("Pool A-2nd ",'Pool Matches'!G51)</f>
      </c>
      <c r="G9" s="20"/>
      <c r="H9" s="22"/>
      <c r="I9" s="20"/>
    </row>
    <row r="10">
      <c r="A10" s="25" t="str">
        <f>"1. " &amp; data!$B$52</f>
      </c>
      <c r="D10" s="22"/>
      <c r="E10" s="21">
        <v>15</v>
      </c>
      <c r="F10" s="15"/>
      <c r="G10" s="20"/>
      <c r="I10" s="20"/>
    </row>
    <row r="11">
      <c r="A11" s="26" t="str">
        <f>"2. " &amp; data!$B$53</f>
      </c>
      <c r="C11" s="23" t="str">
        <f>CONCATENATE("Pool C-2nd ",'Pool Matches'!G135)</f>
      </c>
      <c r="D11" s="15"/>
      <c r="E11" s="20"/>
      <c r="I11" s="20"/>
    </row>
    <row r="12">
      <c r="A12" s="27" t="str">
        <f>"3. " &amp; data!$B$54</f>
      </c>
      <c r="I12" s="21">
        <v>49</v>
      </c>
    </row>
    <row r="13">
      <c r="A13" s="22"/>
      <c r="C13" s="23" t="str">
        <f>CONCATENATE("Pool D-1st ",'Pool Matches'!G176)</f>
      </c>
      <c r="I13" s="20"/>
      <c r="J13" s="22"/>
      <c r="K13" s="20"/>
    </row>
    <row r="14">
      <c r="A14" s="24" t="str">
        <f>data!$A$57</f>
      </c>
      <c r="D14" s="22"/>
      <c r="E14" s="21">
        <v>16</v>
      </c>
      <c r="I14" s="20"/>
      <c r="K14" s="20"/>
    </row>
    <row r="15">
      <c r="A15" s="25" t="str">
        <f>"1. " &amp; data!$B$55</f>
      </c>
      <c r="C15" s="23" t="str">
        <f>CONCATENATE("Pool E-2nd ",'Pool Matches'!G219)</f>
      </c>
      <c r="D15" s="15"/>
      <c r="E15" s="20"/>
      <c r="F15" s="22"/>
      <c r="G15" s="20"/>
      <c r="I15" s="20"/>
      <c r="K15" s="20"/>
    </row>
    <row r="16">
      <c r="A16" s="26" t="str">
        <f>"2. " &amp; data!$B$56</f>
      </c>
      <c r="G16" s="21">
        <v>38</v>
      </c>
      <c r="H16" s="15"/>
      <c r="I16" s="20"/>
      <c r="K16" s="20"/>
    </row>
    <row r="17">
      <c r="A17" s="27" t="str">
        <f>"3. " &amp; data!$B$57</f>
      </c>
      <c r="C17" s="23" t="str">
        <f>CONCATENATE("Pool F-1st ",'Pool Matches'!G260)</f>
      </c>
      <c r="G17" s="20"/>
      <c r="K17" s="20"/>
    </row>
    <row r="18">
      <c r="A18" s="22"/>
      <c r="D18" s="22"/>
      <c r="E18" s="21">
        <v>17</v>
      </c>
      <c r="F18" s="15"/>
      <c r="G18" s="20"/>
      <c r="K18" s="20"/>
    </row>
    <row r="19">
      <c r="A19" s="24" t="str">
        <f>data!$A$60</f>
      </c>
      <c r="C19" s="23" t="str">
        <f>CONCATENATE("Pool G-2nd ",'Pool Matches'!G303)</f>
      </c>
      <c r="D19" s="15"/>
      <c r="E19" s="20"/>
      <c r="K19" s="20"/>
    </row>
    <row r="20">
      <c r="A20" s="25" t="str">
        <f>"1. " &amp; data!$B$58</f>
      </c>
      <c r="K20" s="21">
        <v>55</v>
      </c>
    </row>
    <row r="21">
      <c r="A21" s="26" t="str">
        <f>"2. " &amp; data!$B$59</f>
      </c>
      <c r="C21" s="23" t="str">
        <f>CONCATENATE("Pool H-1st ",'Pool Matches'!G344)</f>
      </c>
      <c r="K21" s="20"/>
    </row>
    <row r="22">
      <c r="A22" s="27" t="str">
        <f>"3. " &amp; data!$B$60</f>
      </c>
      <c r="D22" s="22"/>
      <c r="E22" s="21">
        <v>18</v>
      </c>
      <c r="K22" s="20"/>
    </row>
    <row r="23">
      <c r="A23" s="22"/>
      <c r="C23" s="23" t="str">
        <f>CONCATENATE("Pool I-2nd ",'Pool Matches'!G387)</f>
      </c>
      <c r="D23" s="15"/>
      <c r="E23" s="20"/>
      <c r="F23" s="22"/>
      <c r="G23" s="20"/>
      <c r="K23" s="20"/>
    </row>
    <row r="24">
      <c r="A24" s="24" t="str">
        <f>data!$A$63</f>
      </c>
      <c r="G24" s="21">
        <v>39</v>
      </c>
      <c r="K24" s="20"/>
    </row>
    <row r="25">
      <c r="A25" s="25" t="str">
        <f>"1. " &amp; data!$B$61</f>
      </c>
      <c r="C25" s="23" t="str">
        <f>CONCATENATE("Pool J-1st ",'Pool Matches'!G428)</f>
      </c>
      <c r="G25" s="20"/>
      <c r="H25" s="22"/>
      <c r="I25" s="20"/>
      <c r="K25" s="20"/>
    </row>
    <row r="26">
      <c r="A26" s="26" t="str">
        <f>"2. " &amp; data!$B$62</f>
      </c>
      <c r="D26" s="22"/>
      <c r="E26" s="21">
        <v>19</v>
      </c>
      <c r="F26" s="15"/>
      <c r="G26" s="20"/>
      <c r="I26" s="20"/>
      <c r="K26" s="20"/>
    </row>
    <row r="27">
      <c r="A27" s="27" t="str">
        <f>"3. " &amp; data!$B$63</f>
      </c>
      <c r="C27" s="23" t="str">
        <f>CONCATENATE("Pool K-2nd ",'Pool Matches'!G471)</f>
      </c>
      <c r="D27" s="15"/>
      <c r="E27" s="20"/>
      <c r="I27" s="20"/>
      <c r="K27" s="20"/>
    </row>
    <row r="28">
      <c r="A28" s="22"/>
      <c r="I28" s="21">
        <v>50</v>
      </c>
      <c r="J28" s="15"/>
      <c r="K28" s="20"/>
    </row>
    <row r="29">
      <c r="A29" s="24" t="str">
        <f>data!$A$66</f>
      </c>
      <c r="C29" s="23" t="str">
        <f>CONCATENATE("Pool L-1st ",'Pool Matches'!G512)</f>
      </c>
      <c r="I29" s="20"/>
    </row>
    <row r="30">
      <c r="A30" s="25" t="str">
        <f>"1. " &amp; data!$B$64</f>
      </c>
      <c r="D30" s="22"/>
      <c r="E30" s="21">
        <v>20</v>
      </c>
      <c r="I30" s="20"/>
    </row>
    <row r="31">
      <c r="A31" s="26" t="str">
        <f>"2. " &amp; data!$B$65</f>
      </c>
      <c r="C31" s="23" t="str">
        <f>CONCATENATE("Pool M-2nd ",'Pool Matches'!G555)</f>
      </c>
      <c r="D31" s="15"/>
      <c r="E31" s="20"/>
      <c r="F31" s="22"/>
      <c r="G31" s="20"/>
      <c r="I31" s="20"/>
    </row>
    <row r="32">
      <c r="A32" s="27" t="str">
        <f>"3. " &amp; data!$B$66</f>
      </c>
      <c r="G32" s="21">
        <v>40</v>
      </c>
      <c r="H32" s="15"/>
      <c r="I32" s="20"/>
    </row>
    <row r="33">
      <c r="A33" s="22"/>
      <c r="C33" s="23" t="str">
        <f>CONCATENATE("Pool N-1st ",'Pool Matches'!G596)</f>
      </c>
      <c r="G33" s="20"/>
    </row>
    <row r="34">
      <c r="A34" s="24" t="str">
        <f>data!$A$69</f>
      </c>
      <c r="D34" s="22"/>
      <c r="E34" s="21">
        <v>21</v>
      </c>
      <c r="F34" s="15"/>
      <c r="G34" s="20"/>
    </row>
    <row r="35">
      <c r="A35" s="25" t="str">
        <f>"1. " &amp; data!$B$67</f>
      </c>
      <c r="C35" s="23" t="str">
        <f>CONCATENATE("Pool O-2nd ",'Pool Matches'!G639)</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data!$A$75</f>
      </c>
    </row>
    <row r="5">
      <c r="A5" s="25" t="str">
        <f>"1. " &amp; data!$B$73</f>
      </c>
    </row>
    <row r="6">
      <c r="A6" s="26" t="str">
        <f>"2. " &amp; data!$B$74</f>
      </c>
      <c r="E6" s="23" t="str">
        <f>CONCATENATE("Pool P-1st ",'Pool Matches'!O48)</f>
      </c>
    </row>
    <row r="7">
      <c r="A7" s="27" t="str">
        <f>"3. " &amp; data!$B$75</f>
      </c>
      <c r="F7" s="22"/>
      <c r="G7" s="20"/>
    </row>
    <row r="8">
      <c r="A8" s="22"/>
      <c r="G8" s="21">
        <v>41</v>
      </c>
    </row>
    <row r="9">
      <c r="A9" s="24" t="str">
        <f>data!$A$78</f>
      </c>
      <c r="C9" s="23" t="str">
        <f>CONCATENATE("Pool R-1st ",'Pool Matches'!O134)</f>
      </c>
      <c r="G9" s="20"/>
      <c r="H9" s="22"/>
      <c r="I9" s="20"/>
    </row>
    <row r="10">
      <c r="A10" s="25" t="str">
        <f>"1. " &amp; data!$B$76</f>
      </c>
      <c r="D10" s="22"/>
      <c r="E10" s="21">
        <v>22</v>
      </c>
      <c r="F10" s="15"/>
      <c r="G10" s="20"/>
      <c r="I10" s="20"/>
    </row>
    <row r="11">
      <c r="A11" s="26" t="str">
        <f>"2. " &amp; data!$B$77</f>
      </c>
      <c r="C11" s="23" t="str">
        <f>CONCATENATE("Pool Q-2nd ",'Pool Matches'!O93)</f>
      </c>
      <c r="D11" s="15"/>
      <c r="E11" s="20"/>
      <c r="I11" s="20"/>
    </row>
    <row r="12">
      <c r="A12" s="27" t="str">
        <f>"3. " &amp; data!$B$78</f>
      </c>
      <c r="I12" s="21">
        <v>51</v>
      </c>
    </row>
    <row r="13">
      <c r="A13" s="22"/>
      <c r="C13" s="23" t="str">
        <f>CONCATENATE("Pool T-1st ",'Pool Matches'!O218)</f>
      </c>
      <c r="I13" s="20"/>
      <c r="J13" s="22"/>
      <c r="K13" s="20"/>
    </row>
    <row r="14">
      <c r="A14" s="24" t="str">
        <f>data!$A$81</f>
      </c>
      <c r="D14" s="22"/>
      <c r="E14" s="21">
        <v>23</v>
      </c>
      <c r="I14" s="20"/>
      <c r="K14" s="20"/>
    </row>
    <row r="15">
      <c r="A15" s="25" t="str">
        <f>"1. " &amp; data!$B$79</f>
      </c>
      <c r="C15" s="23" t="str">
        <f>CONCATENATE("Pool S-2nd ",'Pool Matches'!O177)</f>
      </c>
      <c r="D15" s="15"/>
      <c r="E15" s="20"/>
      <c r="F15" s="22"/>
      <c r="G15" s="20"/>
      <c r="I15" s="20"/>
      <c r="K15" s="20"/>
    </row>
    <row r="16">
      <c r="A16" s="26" t="str">
        <f>"2. " &amp; data!$B$80</f>
      </c>
      <c r="G16" s="21">
        <v>42</v>
      </c>
      <c r="H16" s="15"/>
      <c r="I16" s="20"/>
      <c r="K16" s="20"/>
    </row>
    <row r="17">
      <c r="A17" s="27" t="str">
        <f>"3. " &amp; data!$B$81</f>
      </c>
      <c r="C17" s="23" t="str">
        <f>CONCATENATE("Pool V-1st ",'Pool Matches'!O302)</f>
      </c>
      <c r="G17" s="20"/>
      <c r="K17" s="20"/>
    </row>
    <row r="18">
      <c r="A18" s="22"/>
      <c r="D18" s="22"/>
      <c r="E18" s="21">
        <v>24</v>
      </c>
      <c r="F18" s="15"/>
      <c r="G18" s="20"/>
      <c r="K18" s="20"/>
    </row>
    <row r="19">
      <c r="A19" s="24" t="str">
        <f>data!$A$84</f>
      </c>
      <c r="C19" s="23" t="str">
        <f>CONCATENATE("Pool U-2nd ",'Pool Matches'!O261)</f>
      </c>
      <c r="D19" s="15"/>
      <c r="E19" s="20"/>
      <c r="K19" s="20"/>
    </row>
    <row r="20">
      <c r="A20" s="25" t="str">
        <f>"1. " &amp; data!$B$82</f>
      </c>
      <c r="K20" s="21">
        <v>56</v>
      </c>
    </row>
    <row r="21">
      <c r="A21" s="26" t="str">
        <f>"2. " &amp; data!$B$83</f>
      </c>
      <c r="C21" s="23" t="str">
        <f>CONCATENATE("Pool X-1st ",'Pool Matches'!O386)</f>
      </c>
      <c r="K21" s="20"/>
    </row>
    <row r="22">
      <c r="A22" s="27" t="str">
        <f>"3. " &amp; data!$B$84</f>
      </c>
      <c r="D22" s="22"/>
      <c r="E22" s="21">
        <v>25</v>
      </c>
      <c r="K22" s="20"/>
    </row>
    <row r="23">
      <c r="A23" s="22"/>
      <c r="C23" s="23" t="str">
        <f>CONCATENATE("Pool W-2nd ",'Pool Matches'!O345)</f>
      </c>
      <c r="D23" s="15"/>
      <c r="E23" s="20"/>
      <c r="F23" s="22"/>
      <c r="G23" s="20"/>
      <c r="K23" s="20"/>
    </row>
    <row r="24">
      <c r="A24" s="24" t="str">
        <f>data!$A$87</f>
      </c>
      <c r="G24" s="21">
        <v>43</v>
      </c>
      <c r="K24" s="20"/>
    </row>
    <row r="25">
      <c r="A25" s="25" t="str">
        <f>"1. " &amp; data!$B$85</f>
      </c>
      <c r="C25" s="23" t="str">
        <f>CONCATENATE("Pool Z-1st ",'Pool Matches'!O470)</f>
      </c>
      <c r="G25" s="20"/>
      <c r="H25" s="22"/>
      <c r="I25" s="20"/>
      <c r="K25" s="20"/>
    </row>
    <row r="26">
      <c r="A26" s="26" t="str">
        <f>"2. " &amp; data!$B$86</f>
      </c>
      <c r="D26" s="22"/>
      <c r="E26" s="21">
        <v>26</v>
      </c>
      <c r="F26" s="15"/>
      <c r="G26" s="20"/>
      <c r="I26" s="20"/>
      <c r="K26" s="20"/>
    </row>
    <row r="27">
      <c r="A27" s="27" t="str">
        <f>"3. " &amp; data!$B$87</f>
      </c>
      <c r="C27" s="23" t="str">
        <f>CONCATENATE("Pool Y-2nd ",'Pool Matches'!O429)</f>
      </c>
      <c r="D27" s="15"/>
      <c r="E27" s="20"/>
      <c r="I27" s="20"/>
      <c r="K27" s="20"/>
    </row>
    <row r="28">
      <c r="A28" s="22"/>
      <c r="I28" s="21">
        <v>52</v>
      </c>
      <c r="J28" s="15"/>
      <c r="K28" s="20"/>
    </row>
    <row r="29">
      <c r="A29" s="24" t="str">
        <f>data!$A$90</f>
      </c>
      <c r="C29" s="23" t="str">
        <f>CONCATENATE("Pool BB-1st ",'Pool Matches'!O554)</f>
      </c>
      <c r="I29" s="20"/>
    </row>
    <row r="30">
      <c r="A30" s="25" t="str">
        <f>"1. " &amp; data!$B$88</f>
      </c>
      <c r="D30" s="22"/>
      <c r="E30" s="21">
        <v>27</v>
      </c>
      <c r="I30" s="20"/>
    </row>
    <row r="31">
      <c r="A31" s="26" t="str">
        <f>"2. " &amp; data!$B$89</f>
      </c>
      <c r="C31" s="23" t="str">
        <f>CONCATENATE("Pool AA-2nd ",'Pool Matches'!O513)</f>
      </c>
      <c r="D31" s="15"/>
      <c r="E31" s="20"/>
      <c r="F31" s="22"/>
      <c r="G31" s="20"/>
      <c r="I31" s="20"/>
    </row>
    <row r="32">
      <c r="A32" s="27" t="str">
        <f>"3. " &amp; data!$B$90</f>
      </c>
      <c r="G32" s="21">
        <v>44</v>
      </c>
      <c r="H32" s="15"/>
      <c r="I32" s="20"/>
    </row>
    <row r="33">
      <c r="A33" s="22"/>
      <c r="C33" s="23" t="str">
        <f>CONCATENATE("Pool DD-1st ",'Pool Matches'!O638)</f>
      </c>
      <c r="G33" s="20"/>
    </row>
    <row r="34">
      <c r="A34" s="24" t="str">
        <f>data!$A$93</f>
      </c>
      <c r="D34" s="22"/>
      <c r="E34" s="21">
        <v>28</v>
      </c>
      <c r="F34" s="15"/>
      <c r="G34" s="20"/>
    </row>
    <row r="35">
      <c r="A35" s="25" t="str">
        <f>"1. " &amp; data!$B$91</f>
      </c>
      <c r="C35" s="23" t="str">
        <f>CONCATENATE("Pool CC-2nd ",'Pool Matches'!O597)</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254</v>
      </c>
      <c r="B1" s="29" t="str">
        <f>data!D3</f>
      </c>
    </row>
    <row r="2" ht="270" customHeight="true">
      <c r="A2" s="28" t="s">
        <v>255</v>
      </c>
      <c r="B2" s="29" t="str">
        <f>data!D4</f>
      </c>
    </row>
    <row r="3" ht="270" customHeight="true">
      <c r="A3" s="28" t="s">
        <v>256</v>
      </c>
      <c r="B3" s="29" t="str">
        <f>data!D5</f>
      </c>
    </row>
    <row r="4" ht="270" customHeight="true">
      <c r="A4" s="28" t="s">
        <v>257</v>
      </c>
      <c r="B4" s="29" t="str">
        <f>data!D6</f>
      </c>
    </row>
    <row r="5" ht="270" customHeight="true">
      <c r="A5" s="28" t="s">
        <v>258</v>
      </c>
      <c r="B5" s="29" t="str">
        <f>data!D7</f>
      </c>
    </row>
    <row r="6" ht="270" customHeight="true">
      <c r="A6" s="28" t="s">
        <v>259</v>
      </c>
      <c r="B6" s="29" t="str">
        <f>data!D8</f>
      </c>
    </row>
    <row r="7" ht="270" customHeight="true">
      <c r="A7" s="28" t="s">
        <v>260</v>
      </c>
      <c r="B7" s="29" t="str">
        <f>data!D9</f>
      </c>
    </row>
    <row r="8" ht="270" customHeight="true">
      <c r="A8" s="28" t="s">
        <v>261</v>
      </c>
      <c r="B8" s="29" t="str">
        <f>data!D10</f>
      </c>
    </row>
    <row r="9" ht="270" customHeight="true">
      <c r="A9" s="28" t="s">
        <v>262</v>
      </c>
      <c r="B9" s="29" t="str">
        <f>data!D11</f>
      </c>
    </row>
    <row r="10" ht="270" customHeight="true">
      <c r="A10" s="28" t="s">
        <v>263</v>
      </c>
      <c r="B10" s="29" t="str">
        <f>data!D12</f>
      </c>
    </row>
    <row r="11" ht="270" customHeight="true">
      <c r="A11" s="28" t="s">
        <v>264</v>
      </c>
      <c r="B11" s="29" t="str">
        <f>data!D13</f>
      </c>
    </row>
    <row r="12" ht="270" customHeight="true">
      <c r="A12" s="28" t="s">
        <v>265</v>
      </c>
      <c r="B12" s="29" t="str">
        <f>data!D14</f>
      </c>
    </row>
    <row r="13" ht="270" customHeight="true">
      <c r="A13" s="28" t="s">
        <v>266</v>
      </c>
      <c r="B13" s="29" t="str">
        <f>data!D15</f>
      </c>
    </row>
    <row r="14" ht="270" customHeight="true">
      <c r="A14" s="28" t="s">
        <v>267</v>
      </c>
      <c r="B14" s="29" t="str">
        <f>data!D16</f>
      </c>
    </row>
    <row r="15" ht="270" customHeight="true">
      <c r="A15" s="28" t="s">
        <v>268</v>
      </c>
      <c r="B15" s="29" t="str">
        <f>data!D17</f>
      </c>
    </row>
    <row r="16" ht="270" customHeight="true">
      <c r="A16" s="28" t="s">
        <v>269</v>
      </c>
      <c r="B16" s="29" t="str">
        <f>data!D18</f>
      </c>
    </row>
    <row r="17" ht="270" customHeight="true">
      <c r="A17" s="28" t="s">
        <v>270</v>
      </c>
      <c r="B17" s="29" t="str">
        <f>data!D19</f>
      </c>
    </row>
    <row r="18" ht="270" customHeight="true">
      <c r="A18" s="28" t="s">
        <v>271</v>
      </c>
      <c r="B18" s="29" t="str">
        <f>data!D20</f>
      </c>
    </row>
    <row r="19" ht="270" customHeight="true">
      <c r="A19" s="28" t="s">
        <v>272</v>
      </c>
      <c r="B19" s="29" t="str">
        <f>data!D21</f>
      </c>
    </row>
    <row r="20" ht="270" customHeight="true">
      <c r="A20" s="28" t="s">
        <v>273</v>
      </c>
      <c r="B20" s="29" t="str">
        <f>data!D22</f>
      </c>
    </row>
    <row r="21" ht="270" customHeight="true">
      <c r="A21" s="28" t="s">
        <v>274</v>
      </c>
      <c r="B21" s="29" t="str">
        <f>data!D23</f>
      </c>
    </row>
    <row r="22" ht="270" customHeight="true">
      <c r="A22" s="28" t="s">
        <v>275</v>
      </c>
      <c r="B22" s="29" t="str">
        <f>data!D24</f>
      </c>
    </row>
    <row r="23" ht="270" customHeight="true">
      <c r="A23" s="28" t="s">
        <v>276</v>
      </c>
      <c r="B23" s="29" t="str">
        <f>data!D25</f>
      </c>
    </row>
    <row r="24" ht="270" customHeight="true">
      <c r="A24" s="28" t="s">
        <v>277</v>
      </c>
      <c r="B24" s="29" t="str">
        <f>data!D26</f>
      </c>
    </row>
    <row r="25" ht="270" customHeight="true">
      <c r="A25" s="28" t="s">
        <v>278</v>
      </c>
      <c r="B25" s="29" t="str">
        <f>data!D27</f>
      </c>
    </row>
    <row r="26" ht="270" customHeight="true">
      <c r="A26" s="28" t="s">
        <v>279</v>
      </c>
      <c r="B26" s="29" t="str">
        <f>data!D28</f>
      </c>
    </row>
    <row r="27" ht="270" customHeight="true">
      <c r="A27" s="28" t="s">
        <v>280</v>
      </c>
      <c r="B27" s="29" t="str">
        <f>data!D29</f>
      </c>
    </row>
    <row r="28" ht="270" customHeight="true">
      <c r="A28" s="28" t="s">
        <v>281</v>
      </c>
      <c r="B28" s="29" t="str">
        <f>data!D30</f>
      </c>
    </row>
    <row r="29" ht="270" customHeight="true">
      <c r="A29" s="28" t="s">
        <v>282</v>
      </c>
      <c r="B29" s="29" t="str">
        <f>data!D31</f>
      </c>
    </row>
    <row r="30" ht="270" customHeight="true">
      <c r="A30" s="28" t="s">
        <v>283</v>
      </c>
      <c r="B30" s="29" t="str">
        <f>data!D32</f>
      </c>
    </row>
    <row r="31" ht="270" customHeight="true">
      <c r="A31" s="28" t="s">
        <v>284</v>
      </c>
      <c r="B31" s="29" t="str">
        <f>data!D33</f>
      </c>
    </row>
    <row r="32" ht="270" customHeight="true">
      <c r="A32" s="28" t="s">
        <v>285</v>
      </c>
      <c r="B32" s="29" t="str">
        <f>data!D34</f>
      </c>
    </row>
    <row r="33" ht="270" customHeight="true">
      <c r="A33" s="28" t="s">
        <v>286</v>
      </c>
      <c r="B33" s="29" t="str">
        <f>data!D35</f>
      </c>
    </row>
    <row r="34" ht="270" customHeight="true">
      <c r="A34" s="28" t="s">
        <v>287</v>
      </c>
      <c r="B34" s="29" t="str">
        <f>data!D36</f>
      </c>
    </row>
    <row r="35" ht="270" customHeight="true">
      <c r="A35" s="28" t="s">
        <v>288</v>
      </c>
      <c r="B35" s="29" t="str">
        <f>data!D37</f>
      </c>
    </row>
    <row r="36" ht="270" customHeight="true">
      <c r="A36" s="28" t="s">
        <v>289</v>
      </c>
      <c r="B36" s="29" t="str">
        <f>data!D38</f>
      </c>
    </row>
    <row r="37" ht="270" customHeight="true">
      <c r="A37" s="28" t="s">
        <v>290</v>
      </c>
      <c r="B37" s="29" t="str">
        <f>data!D39</f>
      </c>
    </row>
    <row r="38" ht="270" customHeight="true">
      <c r="A38" s="28" t="s">
        <v>291</v>
      </c>
      <c r="B38" s="29" t="str">
        <f>data!D40</f>
      </c>
    </row>
    <row r="39" ht="270" customHeight="true">
      <c r="A39" s="28" t="s">
        <v>292</v>
      </c>
      <c r="B39" s="29" t="str">
        <f>data!D41</f>
      </c>
    </row>
    <row r="40" ht="270" customHeight="true">
      <c r="A40" s="28" t="s">
        <v>293</v>
      </c>
      <c r="B40" s="29" t="str">
        <f>data!D42</f>
      </c>
    </row>
    <row r="41" ht="270" customHeight="true">
      <c r="A41" s="28" t="s">
        <v>294</v>
      </c>
      <c r="B41" s="29" t="str">
        <f>data!D43</f>
      </c>
    </row>
    <row r="42" ht="270" customHeight="true">
      <c r="A42" s="28" t="s">
        <v>295</v>
      </c>
      <c r="B42" s="29" t="str">
        <f>data!D44</f>
      </c>
    </row>
    <row r="43" ht="270" customHeight="true">
      <c r="A43" s="28" t="s">
        <v>296</v>
      </c>
      <c r="B43" s="29" t="str">
        <f>data!D45</f>
      </c>
    </row>
    <row r="44" ht="270" customHeight="true">
      <c r="A44" s="28" t="s">
        <v>297</v>
      </c>
      <c r="B44" s="29" t="str">
        <f>data!D46</f>
      </c>
    </row>
    <row r="45" ht="270" customHeight="true">
      <c r="A45" s="28" t="s">
        <v>298</v>
      </c>
      <c r="B45" s="29" t="str">
        <f>data!D47</f>
      </c>
    </row>
    <row r="46" ht="270" customHeight="true">
      <c r="A46" s="28" t="s">
        <v>299</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300</v>
      </c>
      <c r="B1" s="29" t="str">
        <f>data!D49</f>
      </c>
    </row>
    <row r="2" ht="270" customHeight="true">
      <c r="A2" s="28" t="s">
        <v>301</v>
      </c>
      <c r="B2" s="29" t="str">
        <f>data!D50</f>
      </c>
    </row>
    <row r="3" ht="270" customHeight="true">
      <c r="A3" s="28" t="s">
        <v>302</v>
      </c>
      <c r="B3" s="29" t="str">
        <f>data!D51</f>
      </c>
    </row>
    <row r="4" ht="270" customHeight="true">
      <c r="A4" s="28" t="s">
        <v>303</v>
      </c>
      <c r="B4" s="29" t="str">
        <f>data!D52</f>
      </c>
    </row>
    <row r="5" ht="270" customHeight="true">
      <c r="A5" s="28" t="s">
        <v>304</v>
      </c>
      <c r="B5" s="29" t="str">
        <f>data!D53</f>
      </c>
    </row>
    <row r="6" ht="270" customHeight="true">
      <c r="A6" s="28" t="s">
        <v>305</v>
      </c>
      <c r="B6" s="29" t="str">
        <f>data!D54</f>
      </c>
    </row>
    <row r="7" ht="270" customHeight="true">
      <c r="A7" s="28" t="s">
        <v>306</v>
      </c>
      <c r="B7" s="29" t="str">
        <f>data!D55</f>
      </c>
    </row>
    <row r="8" ht="270" customHeight="true">
      <c r="A8" s="28" t="s">
        <v>307</v>
      </c>
      <c r="B8" s="29" t="str">
        <f>data!D56</f>
      </c>
    </row>
    <row r="9" ht="270" customHeight="true">
      <c r="A9" s="28" t="s">
        <v>308</v>
      </c>
      <c r="B9" s="29" t="str">
        <f>data!D57</f>
      </c>
    </row>
    <row r="10" ht="270" customHeight="true">
      <c r="A10" s="28" t="s">
        <v>309</v>
      </c>
      <c r="B10" s="29" t="str">
        <f>data!D58</f>
      </c>
    </row>
    <row r="11" ht="270" customHeight="true">
      <c r="A11" s="28" t="s">
        <v>310</v>
      </c>
      <c r="B11" s="29" t="str">
        <f>data!D59</f>
      </c>
    </row>
    <row r="12" ht="270" customHeight="true">
      <c r="A12" s="28" t="s">
        <v>311</v>
      </c>
      <c r="B12" s="29" t="str">
        <f>data!D60</f>
      </c>
    </row>
    <row r="13" ht="270" customHeight="true">
      <c r="A13" s="28" t="s">
        <v>312</v>
      </c>
      <c r="B13" s="29" t="str">
        <f>data!D61</f>
      </c>
    </row>
    <row r="14" ht="270" customHeight="true">
      <c r="A14" s="28" t="s">
        <v>313</v>
      </c>
      <c r="B14" s="29" t="str">
        <f>data!D62</f>
      </c>
    </row>
    <row r="15" ht="270" customHeight="true">
      <c r="A15" s="28" t="s">
        <v>314</v>
      </c>
      <c r="B15" s="29" t="str">
        <f>data!D63</f>
      </c>
    </row>
    <row r="16" ht="270" customHeight="true">
      <c r="A16" s="28" t="s">
        <v>315</v>
      </c>
      <c r="B16" s="29" t="str">
        <f>data!D64</f>
      </c>
    </row>
    <row r="17" ht="270" customHeight="true">
      <c r="A17" s="28" t="s">
        <v>316</v>
      </c>
      <c r="B17" s="29" t="str">
        <f>data!D65</f>
      </c>
    </row>
    <row r="18" ht="270" customHeight="true">
      <c r="A18" s="28" t="s">
        <v>317</v>
      </c>
      <c r="B18" s="29" t="str">
        <f>data!D66</f>
      </c>
    </row>
    <row r="19" ht="270" customHeight="true">
      <c r="A19" s="28" t="s">
        <v>318</v>
      </c>
      <c r="B19" s="29" t="str">
        <f>data!D67</f>
      </c>
    </row>
    <row r="20" ht="270" customHeight="true">
      <c r="A20" s="28" t="s">
        <v>319</v>
      </c>
      <c r="B20" s="29" t="str">
        <f>data!D68</f>
      </c>
    </row>
    <row r="21" ht="270" customHeight="true">
      <c r="A21" s="28" t="s">
        <v>320</v>
      </c>
      <c r="B21" s="29" t="str">
        <f>data!D69</f>
      </c>
    </row>
    <row r="22" ht="270" customHeight="true">
      <c r="A22" s="28" t="s">
        <v>321</v>
      </c>
      <c r="B22" s="29" t="str">
        <f>data!D70</f>
      </c>
    </row>
    <row r="23" ht="270" customHeight="true">
      <c r="A23" s="28" t="s">
        <v>322</v>
      </c>
      <c r="B23" s="29" t="str">
        <f>data!D71</f>
      </c>
    </row>
    <row r="24" ht="270" customHeight="true">
      <c r="A24" s="28" t="s">
        <v>323</v>
      </c>
      <c r="B24" s="29" t="str">
        <f>data!D72</f>
      </c>
    </row>
    <row r="25" ht="270" customHeight="true">
      <c r="A25" s="28" t="s">
        <v>324</v>
      </c>
      <c r="B25" s="29" t="str">
        <f>data!D73</f>
      </c>
    </row>
    <row r="26" ht="270" customHeight="true">
      <c r="A26" s="28" t="s">
        <v>325</v>
      </c>
      <c r="B26" s="29" t="str">
        <f>data!D74</f>
      </c>
    </row>
    <row r="27" ht="270" customHeight="true">
      <c r="A27" s="28" t="s">
        <v>326</v>
      </c>
      <c r="B27" s="29" t="str">
        <f>data!D75</f>
      </c>
    </row>
    <row r="28" ht="270" customHeight="true">
      <c r="A28" s="28" t="s">
        <v>327</v>
      </c>
      <c r="B28" s="29" t="str">
        <f>data!D76</f>
      </c>
    </row>
    <row r="29" ht="270" customHeight="true">
      <c r="A29" s="28" t="s">
        <v>328</v>
      </c>
      <c r="B29" s="29" t="str">
        <f>data!D77</f>
      </c>
    </row>
    <row r="30" ht="270" customHeight="true">
      <c r="A30" s="28" t="s">
        <v>329</v>
      </c>
      <c r="B30" s="29" t="str">
        <f>data!D78</f>
      </c>
    </row>
    <row r="31" ht="270" customHeight="true">
      <c r="A31" s="28" t="s">
        <v>330</v>
      </c>
      <c r="B31" s="29" t="str">
        <f>data!D79</f>
      </c>
    </row>
    <row r="32" ht="270" customHeight="true">
      <c r="A32" s="28" t="s">
        <v>331</v>
      </c>
      <c r="B32" s="29" t="str">
        <f>data!D80</f>
      </c>
    </row>
    <row r="33" ht="270" customHeight="true">
      <c r="A33" s="28" t="s">
        <v>332</v>
      </c>
      <c r="B33" s="29" t="str">
        <f>data!D81</f>
      </c>
    </row>
    <row r="34" ht="270" customHeight="true">
      <c r="A34" s="28" t="s">
        <v>333</v>
      </c>
      <c r="B34" s="29" t="str">
        <f>data!D82</f>
      </c>
    </row>
    <row r="35" ht="270" customHeight="true">
      <c r="A35" s="28" t="s">
        <v>334</v>
      </c>
      <c r="B35" s="29" t="str">
        <f>data!D83</f>
      </c>
    </row>
    <row r="36" ht="270" customHeight="true">
      <c r="A36" s="28" t="s">
        <v>335</v>
      </c>
      <c r="B36" s="29" t="str">
        <f>data!D84</f>
      </c>
    </row>
    <row r="37" ht="270" customHeight="true">
      <c r="A37" s="28" t="s">
        <v>336</v>
      </c>
      <c r="B37" s="29" t="str">
        <f>data!D85</f>
      </c>
    </row>
    <row r="38" ht="270" customHeight="true">
      <c r="A38" s="28" t="s">
        <v>337</v>
      </c>
      <c r="B38" s="29" t="str">
        <f>data!D86</f>
      </c>
    </row>
    <row r="39" ht="270" customHeight="true">
      <c r="A39" s="28" t="s">
        <v>338</v>
      </c>
      <c r="B39" s="29" t="str">
        <f>data!D87</f>
      </c>
    </row>
    <row r="40" ht="270" customHeight="true">
      <c r="A40" s="28" t="s">
        <v>339</v>
      </c>
      <c r="B40" s="29" t="str">
        <f>data!D88</f>
      </c>
    </row>
    <row r="41" ht="270" customHeight="true">
      <c r="A41" s="28" t="s">
        <v>340</v>
      </c>
      <c r="B41" s="29" t="str">
        <f>data!D89</f>
      </c>
    </row>
    <row r="42" ht="270" customHeight="true">
      <c r="A42" s="28" t="s">
        <v>341</v>
      </c>
      <c r="B42" s="29" t="str">
        <f>data!D90</f>
      </c>
    </row>
    <row r="43" ht="270" customHeight="true">
      <c r="A43" s="28" t="s">
        <v>342</v>
      </c>
      <c r="B43" s="29" t="str">
        <f>data!D91</f>
      </c>
    </row>
    <row r="44" ht="270" customHeight="true">
      <c r="A44" s="28" t="s">
        <v>343</v>
      </c>
      <c r="B44" s="29" t="str">
        <f>data!D92</f>
      </c>
    </row>
    <row r="45" ht="270" customHeight="true">
      <c r="A45" s="28" t="s">
        <v>344</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254</v>
      </c>
    </row>
    <row r="2" ht="390" customHeight="true">
      <c r="A2" s="30" t="s">
        <v>254</v>
      </c>
    </row>
    <row r="3" ht="390" customHeight="true">
      <c r="A3" s="30" t="s">
        <v>255</v>
      </c>
    </row>
    <row r="4" ht="390" customHeight="true">
      <c r="A4" s="30" t="s">
        <v>255</v>
      </c>
    </row>
    <row r="5" ht="390" customHeight="true">
      <c r="A5" s="30" t="s">
        <v>256</v>
      </c>
    </row>
    <row r="6" ht="390" customHeight="true">
      <c r="A6" s="30" t="s">
        <v>256</v>
      </c>
    </row>
    <row r="7" ht="390" customHeight="true">
      <c r="A7" s="30" t="s">
        <v>257</v>
      </c>
    </row>
    <row r="8" ht="390" customHeight="true">
      <c r="A8" s="30" t="s">
        <v>257</v>
      </c>
    </row>
    <row r="9" ht="390" customHeight="true">
      <c r="A9" s="30" t="s">
        <v>258</v>
      </c>
    </row>
    <row r="10" ht="390" customHeight="true">
      <c r="A10" s="30" t="s">
        <v>258</v>
      </c>
    </row>
    <row r="11" ht="390" customHeight="true">
      <c r="A11" s="30" t="s">
        <v>259</v>
      </c>
    </row>
    <row r="12" ht="390" customHeight="true">
      <c r="A12" s="30" t="s">
        <v>259</v>
      </c>
    </row>
    <row r="13" ht="390" customHeight="true">
      <c r="A13" s="30" t="s">
        <v>260</v>
      </c>
    </row>
    <row r="14" ht="390" customHeight="true">
      <c r="A14" s="30" t="s">
        <v>260</v>
      </c>
    </row>
    <row r="15" ht="390" customHeight="true">
      <c r="A15" s="30" t="s">
        <v>261</v>
      </c>
    </row>
    <row r="16" ht="390" customHeight="true">
      <c r="A16" s="30" t="s">
        <v>261</v>
      </c>
    </row>
    <row r="17" ht="390" customHeight="true">
      <c r="A17" s="30" t="s">
        <v>262</v>
      </c>
    </row>
    <row r="18" ht="390" customHeight="true">
      <c r="A18" s="30" t="s">
        <v>262</v>
      </c>
    </row>
    <row r="19" ht="390" customHeight="true">
      <c r="A19" s="30" t="s">
        <v>263</v>
      </c>
    </row>
    <row r="20" ht="390" customHeight="true">
      <c r="A20" s="30" t="s">
        <v>263</v>
      </c>
    </row>
    <row r="21" ht="390" customHeight="true">
      <c r="A21" s="30" t="s">
        <v>264</v>
      </c>
    </row>
    <row r="22" ht="390" customHeight="true">
      <c r="A22" s="30" t="s">
        <v>264</v>
      </c>
    </row>
    <row r="23" ht="390" customHeight="true">
      <c r="A23" s="30" t="s">
        <v>265</v>
      </c>
    </row>
    <row r="24" ht="390" customHeight="true">
      <c r="A24" s="30" t="s">
        <v>265</v>
      </c>
    </row>
    <row r="25" ht="390" customHeight="true">
      <c r="A25" s="30" t="s">
        <v>266</v>
      </c>
    </row>
    <row r="26" ht="390" customHeight="true">
      <c r="A26" s="30" t="s">
        <v>266</v>
      </c>
    </row>
    <row r="27" ht="390" customHeight="true">
      <c r="A27" s="30" t="s">
        <v>267</v>
      </c>
    </row>
    <row r="28" ht="390" customHeight="true">
      <c r="A28" s="30" t="s">
        <v>267</v>
      </c>
    </row>
    <row r="29" ht="390" customHeight="true">
      <c r="A29" s="30" t="s">
        <v>268</v>
      </c>
    </row>
    <row r="30" ht="390" customHeight="true">
      <c r="A30" s="30" t="s">
        <v>268</v>
      </c>
    </row>
    <row r="31" ht="390" customHeight="true">
      <c r="A31" s="30" t="s">
        <v>269</v>
      </c>
    </row>
    <row r="32" ht="390" customHeight="true">
      <c r="A32" s="30" t="s">
        <v>269</v>
      </c>
    </row>
    <row r="33" ht="390" customHeight="true">
      <c r="A33" s="30" t="s">
        <v>270</v>
      </c>
    </row>
    <row r="34" ht="390" customHeight="true">
      <c r="A34" s="30" t="s">
        <v>270</v>
      </c>
    </row>
    <row r="35" ht="390" customHeight="true">
      <c r="A35" s="30" t="s">
        <v>271</v>
      </c>
    </row>
    <row r="36" ht="390" customHeight="true">
      <c r="A36" s="30" t="s">
        <v>271</v>
      </c>
    </row>
    <row r="37" ht="390" customHeight="true">
      <c r="A37" s="30" t="s">
        <v>272</v>
      </c>
    </row>
    <row r="38" ht="390" customHeight="true">
      <c r="A38" s="30" t="s">
        <v>272</v>
      </c>
    </row>
    <row r="39" ht="390" customHeight="true">
      <c r="A39" s="30" t="s">
        <v>273</v>
      </c>
    </row>
    <row r="40" ht="390" customHeight="true">
      <c r="A40" s="30" t="s">
        <v>273</v>
      </c>
    </row>
    <row r="41" ht="390" customHeight="true">
      <c r="A41" s="30" t="s">
        <v>274</v>
      </c>
    </row>
    <row r="42" ht="390" customHeight="true">
      <c r="A42" s="30" t="s">
        <v>274</v>
      </c>
    </row>
    <row r="43" ht="390" customHeight="true">
      <c r="A43" s="30" t="s">
        <v>275</v>
      </c>
    </row>
    <row r="44" ht="390" customHeight="true">
      <c r="A44" s="30" t="s">
        <v>275</v>
      </c>
    </row>
    <row r="45" ht="390" customHeight="true">
      <c r="A45" s="30" t="s">
        <v>276</v>
      </c>
    </row>
    <row r="46" ht="390" customHeight="true">
      <c r="A46" s="30" t="s">
        <v>276</v>
      </c>
    </row>
    <row r="47" ht="390" customHeight="true">
      <c r="A47" s="30" t="s">
        <v>277</v>
      </c>
    </row>
    <row r="48" ht="390" customHeight="true">
      <c r="A48" s="30" t="s">
        <v>277</v>
      </c>
    </row>
    <row r="49" ht="390" customHeight="true">
      <c r="A49" s="30" t="s">
        <v>278</v>
      </c>
    </row>
    <row r="50" ht="390" customHeight="true">
      <c r="A50" s="30" t="s">
        <v>278</v>
      </c>
    </row>
    <row r="51" ht="390" customHeight="true">
      <c r="A51" s="30" t="s">
        <v>279</v>
      </c>
    </row>
    <row r="52" ht="390" customHeight="true">
      <c r="A52" s="30" t="s">
        <v>279</v>
      </c>
    </row>
    <row r="53" ht="390" customHeight="true">
      <c r="A53" s="30" t="s">
        <v>280</v>
      </c>
    </row>
    <row r="54" ht="390" customHeight="true">
      <c r="A54" s="30" t="s">
        <v>280</v>
      </c>
    </row>
    <row r="55" ht="390" customHeight="true">
      <c r="A55" s="30" t="s">
        <v>281</v>
      </c>
    </row>
    <row r="56" ht="390" customHeight="true">
      <c r="A56" s="30" t="s">
        <v>281</v>
      </c>
    </row>
    <row r="57" ht="390" customHeight="true">
      <c r="A57" s="30" t="s">
        <v>282</v>
      </c>
    </row>
    <row r="58" ht="390" customHeight="true">
      <c r="A58" s="30" t="s">
        <v>282</v>
      </c>
    </row>
    <row r="59" ht="390" customHeight="true">
      <c r="A59" s="30" t="s">
        <v>283</v>
      </c>
    </row>
    <row r="60" ht="390" customHeight="true">
      <c r="A60" s="30" t="s">
        <v>283</v>
      </c>
    </row>
    <row r="61" ht="390" customHeight="true">
      <c r="A61" s="30" t="s">
        <v>284</v>
      </c>
    </row>
    <row r="62" ht="390" customHeight="true">
      <c r="A62" s="30" t="s">
        <v>284</v>
      </c>
    </row>
    <row r="63" ht="390" customHeight="true">
      <c r="A63" s="30" t="s">
        <v>285</v>
      </c>
    </row>
    <row r="64" ht="390" customHeight="true">
      <c r="A64" s="30" t="s">
        <v>285</v>
      </c>
    </row>
    <row r="65" ht="390" customHeight="true">
      <c r="A65" s="30" t="s">
        <v>286</v>
      </c>
    </row>
    <row r="66" ht="390" customHeight="true">
      <c r="A66" s="30" t="s">
        <v>286</v>
      </c>
    </row>
    <row r="67" ht="390" customHeight="true">
      <c r="A67" s="30" t="s">
        <v>287</v>
      </c>
    </row>
    <row r="68" ht="390" customHeight="true">
      <c r="A68" s="30" t="s">
        <v>287</v>
      </c>
    </row>
    <row r="69" ht="390" customHeight="true">
      <c r="A69" s="30" t="s">
        <v>288</v>
      </c>
    </row>
    <row r="70" ht="390" customHeight="true">
      <c r="A70" s="30" t="s">
        <v>288</v>
      </c>
    </row>
    <row r="71" ht="390" customHeight="true">
      <c r="A71" s="30" t="s">
        <v>289</v>
      </c>
    </row>
    <row r="72" ht="390" customHeight="true">
      <c r="A72" s="30" t="s">
        <v>289</v>
      </c>
    </row>
    <row r="73" ht="390" customHeight="true">
      <c r="A73" s="30" t="s">
        <v>290</v>
      </c>
    </row>
    <row r="74" ht="390" customHeight="true">
      <c r="A74" s="30" t="s">
        <v>290</v>
      </c>
    </row>
    <row r="75" ht="390" customHeight="true">
      <c r="A75" s="30" t="s">
        <v>291</v>
      </c>
    </row>
    <row r="76" ht="390" customHeight="true">
      <c r="A76" s="30" t="s">
        <v>291</v>
      </c>
    </row>
    <row r="77" ht="390" customHeight="true">
      <c r="A77" s="30" t="s">
        <v>292</v>
      </c>
    </row>
    <row r="78" ht="390" customHeight="true">
      <c r="A78" s="30" t="s">
        <v>292</v>
      </c>
    </row>
    <row r="79" ht="390" customHeight="true">
      <c r="A79" s="30" t="s">
        <v>293</v>
      </c>
    </row>
    <row r="80" ht="390" customHeight="true">
      <c r="A80" s="30" t="s">
        <v>293</v>
      </c>
    </row>
    <row r="81" ht="390" customHeight="true">
      <c r="A81" s="30" t="s">
        <v>294</v>
      </c>
    </row>
    <row r="82" ht="390" customHeight="true">
      <c r="A82" s="30" t="s">
        <v>294</v>
      </c>
    </row>
    <row r="83" ht="390" customHeight="true">
      <c r="A83" s="30" t="s">
        <v>295</v>
      </c>
    </row>
    <row r="84" ht="390" customHeight="true">
      <c r="A84" s="30" t="s">
        <v>295</v>
      </c>
    </row>
    <row r="85" ht="390" customHeight="true">
      <c r="A85" s="30" t="s">
        <v>296</v>
      </c>
    </row>
    <row r="86" ht="390" customHeight="true">
      <c r="A86" s="30" t="s">
        <v>296</v>
      </c>
    </row>
    <row r="87" ht="390" customHeight="true">
      <c r="A87" s="30" t="s">
        <v>297</v>
      </c>
    </row>
    <row r="88" ht="390" customHeight="true">
      <c r="A88" s="30" t="s">
        <v>297</v>
      </c>
    </row>
    <row r="89" ht="390" customHeight="true">
      <c r="A89" s="30" t="s">
        <v>298</v>
      </c>
    </row>
    <row r="90" ht="390" customHeight="true">
      <c r="A90" s="30" t="s">
        <v>298</v>
      </c>
    </row>
    <row r="91" ht="390" customHeight="true">
      <c r="A91" s="30" t="s">
        <v>299</v>
      </c>
    </row>
    <row r="92" ht="390" customHeight="true">
      <c r="A92" s="30" t="s">
        <v>299</v>
      </c>
    </row>
    <row r="93" ht="390" customHeight="true">
      <c r="A93" s="30" t="s">
        <v>300</v>
      </c>
    </row>
    <row r="94" ht="390" customHeight="true">
      <c r="A94" s="30" t="s">
        <v>300</v>
      </c>
    </row>
    <row r="95" ht="390" customHeight="true">
      <c r="A95" s="30" t="s">
        <v>301</v>
      </c>
    </row>
    <row r="96" ht="390" customHeight="true">
      <c r="A96" s="30" t="s">
        <v>301</v>
      </c>
    </row>
    <row r="97" ht="390" customHeight="true">
      <c r="A97" s="30" t="s">
        <v>302</v>
      </c>
    </row>
    <row r="98" ht="390" customHeight="true">
      <c r="A98" s="30" t="s">
        <v>302</v>
      </c>
    </row>
    <row r="99" ht="390" customHeight="true">
      <c r="A99" s="30" t="s">
        <v>303</v>
      </c>
    </row>
    <row r="100" ht="390" customHeight="true">
      <c r="A100" s="30" t="s">
        <v>303</v>
      </c>
    </row>
    <row r="101" ht="390" customHeight="true">
      <c r="A101" s="30" t="s">
        <v>304</v>
      </c>
    </row>
    <row r="102" ht="390" customHeight="true">
      <c r="A102" s="30" t="s">
        <v>304</v>
      </c>
    </row>
    <row r="103" ht="390" customHeight="true">
      <c r="A103" s="30" t="s">
        <v>305</v>
      </c>
    </row>
    <row r="104" ht="390" customHeight="true">
      <c r="A104" s="30" t="s">
        <v>305</v>
      </c>
    </row>
    <row r="105" ht="390" customHeight="true">
      <c r="A105" s="30" t="s">
        <v>306</v>
      </c>
    </row>
    <row r="106" ht="390" customHeight="true">
      <c r="A106" s="30" t="s">
        <v>306</v>
      </c>
    </row>
    <row r="107" ht="390" customHeight="true">
      <c r="A107" s="30" t="s">
        <v>307</v>
      </c>
    </row>
    <row r="108" ht="390" customHeight="true">
      <c r="A108" s="30" t="s">
        <v>307</v>
      </c>
    </row>
    <row r="109" ht="390" customHeight="true">
      <c r="A109" s="30" t="s">
        <v>308</v>
      </c>
    </row>
    <row r="110" ht="390" customHeight="true">
      <c r="A110" s="30" t="s">
        <v>308</v>
      </c>
    </row>
    <row r="111" ht="390" customHeight="true">
      <c r="A111" s="30" t="s">
        <v>309</v>
      </c>
    </row>
    <row r="112" ht="390" customHeight="true">
      <c r="A112" s="30" t="s">
        <v>309</v>
      </c>
    </row>
    <row r="113" ht="390" customHeight="true">
      <c r="A113" s="30" t="s">
        <v>310</v>
      </c>
    </row>
    <row r="114" ht="390" customHeight="true">
      <c r="A114" s="30" t="s">
        <v>310</v>
      </c>
    </row>
    <row r="115" ht="390" customHeight="true">
      <c r="A115" s="30" t="s">
        <v>311</v>
      </c>
    </row>
    <row r="116" ht="390" customHeight="true">
      <c r="A116" s="30" t="s">
        <v>311</v>
      </c>
    </row>
    <row r="117" ht="390" customHeight="true">
      <c r="A117" s="30" t="s">
        <v>312</v>
      </c>
    </row>
    <row r="118" ht="390" customHeight="true">
      <c r="A118" s="30" t="s">
        <v>312</v>
      </c>
    </row>
    <row r="119" ht="390" customHeight="true">
      <c r="A119" s="30" t="s">
        <v>313</v>
      </c>
    </row>
    <row r="120" ht="390" customHeight="true">
      <c r="A120" s="30" t="s">
        <v>313</v>
      </c>
    </row>
    <row r="121" ht="390" customHeight="true">
      <c r="A121" s="30" t="s">
        <v>314</v>
      </c>
    </row>
    <row r="122" ht="390" customHeight="true">
      <c r="A122" s="30" t="s">
        <v>314</v>
      </c>
    </row>
    <row r="123" ht="390" customHeight="true">
      <c r="A123" s="30" t="s">
        <v>315</v>
      </c>
    </row>
    <row r="124" ht="390" customHeight="true">
      <c r="A124" s="30" t="s">
        <v>315</v>
      </c>
    </row>
    <row r="125" ht="390" customHeight="true">
      <c r="A125" s="30" t="s">
        <v>316</v>
      </c>
    </row>
    <row r="126" ht="390" customHeight="true">
      <c r="A126" s="30" t="s">
        <v>316</v>
      </c>
    </row>
    <row r="127" ht="390" customHeight="true">
      <c r="A127" s="30" t="s">
        <v>317</v>
      </c>
    </row>
    <row r="128" ht="390" customHeight="true">
      <c r="A128" s="30" t="s">
        <v>317</v>
      </c>
    </row>
    <row r="129" ht="390" customHeight="true">
      <c r="A129" s="30" t="s">
        <v>318</v>
      </c>
    </row>
    <row r="130" ht="390" customHeight="true">
      <c r="A130" s="30" t="s">
        <v>318</v>
      </c>
    </row>
    <row r="131" ht="390" customHeight="true">
      <c r="A131" s="30" t="s">
        <v>319</v>
      </c>
    </row>
    <row r="132" ht="390" customHeight="true">
      <c r="A132" s="30" t="s">
        <v>319</v>
      </c>
    </row>
    <row r="133" ht="390" customHeight="true">
      <c r="A133" s="30" t="s">
        <v>320</v>
      </c>
    </row>
    <row r="134" ht="390" customHeight="true">
      <c r="A134" s="30" t="s">
        <v>320</v>
      </c>
    </row>
    <row r="135" ht="390" customHeight="true">
      <c r="A135" s="30" t="s">
        <v>321</v>
      </c>
    </row>
    <row r="136" ht="390" customHeight="true">
      <c r="A136" s="30" t="s">
        <v>321</v>
      </c>
    </row>
    <row r="137" ht="390" customHeight="true">
      <c r="A137" s="30" t="s">
        <v>322</v>
      </c>
    </row>
    <row r="138" ht="390" customHeight="true">
      <c r="A138" s="30" t="s">
        <v>322</v>
      </c>
    </row>
    <row r="139" ht="390" customHeight="true">
      <c r="A139" s="30" t="s">
        <v>323</v>
      </c>
    </row>
    <row r="140" ht="390" customHeight="true">
      <c r="A140" s="30" t="s">
        <v>323</v>
      </c>
    </row>
    <row r="141" ht="390" customHeight="true">
      <c r="A141" s="30" t="s">
        <v>324</v>
      </c>
    </row>
    <row r="142" ht="390" customHeight="true">
      <c r="A142" s="30" t="s">
        <v>324</v>
      </c>
    </row>
    <row r="143" ht="390" customHeight="true">
      <c r="A143" s="30" t="s">
        <v>325</v>
      </c>
    </row>
    <row r="144" ht="390" customHeight="true">
      <c r="A144" s="30" t="s">
        <v>325</v>
      </c>
    </row>
    <row r="145" ht="390" customHeight="true">
      <c r="A145" s="30" t="s">
        <v>326</v>
      </c>
    </row>
    <row r="146" ht="390" customHeight="true">
      <c r="A146" s="30" t="s">
        <v>326</v>
      </c>
    </row>
    <row r="147" ht="390" customHeight="true">
      <c r="A147" s="30" t="s">
        <v>327</v>
      </c>
    </row>
    <row r="148" ht="390" customHeight="true">
      <c r="A148" s="30" t="s">
        <v>327</v>
      </c>
    </row>
    <row r="149" ht="390" customHeight="true">
      <c r="A149" s="30" t="s">
        <v>328</v>
      </c>
    </row>
    <row r="150" ht="390" customHeight="true">
      <c r="A150" s="30" t="s">
        <v>328</v>
      </c>
    </row>
    <row r="151" ht="390" customHeight="true">
      <c r="A151" s="30" t="s">
        <v>329</v>
      </c>
    </row>
    <row r="152" ht="390" customHeight="true">
      <c r="A152" s="30" t="s">
        <v>329</v>
      </c>
    </row>
    <row r="153" ht="390" customHeight="true">
      <c r="A153" s="30" t="s">
        <v>330</v>
      </c>
    </row>
    <row r="154" ht="390" customHeight="true">
      <c r="A154" s="30" t="s">
        <v>330</v>
      </c>
    </row>
    <row r="155" ht="390" customHeight="true">
      <c r="A155" s="30" t="s">
        <v>331</v>
      </c>
    </row>
    <row r="156" ht="390" customHeight="true">
      <c r="A156" s="30" t="s">
        <v>331</v>
      </c>
    </row>
    <row r="157" ht="390" customHeight="true">
      <c r="A157" s="30" t="s">
        <v>332</v>
      </c>
    </row>
    <row r="158" ht="390" customHeight="true">
      <c r="A158" s="30" t="s">
        <v>332</v>
      </c>
    </row>
    <row r="159" ht="390" customHeight="true">
      <c r="A159" s="30" t="s">
        <v>333</v>
      </c>
    </row>
    <row r="160" ht="390" customHeight="true">
      <c r="A160" s="30" t="s">
        <v>333</v>
      </c>
    </row>
    <row r="161" ht="390" customHeight="true">
      <c r="A161" s="30" t="s">
        <v>334</v>
      </c>
    </row>
    <row r="162" ht="390" customHeight="true">
      <c r="A162" s="30" t="s">
        <v>334</v>
      </c>
    </row>
    <row r="163" ht="390" customHeight="true">
      <c r="A163" s="30" t="s">
        <v>335</v>
      </c>
    </row>
    <row r="164" ht="390" customHeight="true">
      <c r="A164" s="30" t="s">
        <v>335</v>
      </c>
    </row>
    <row r="165" ht="390" customHeight="true">
      <c r="A165" s="30" t="s">
        <v>336</v>
      </c>
    </row>
    <row r="166" ht="390" customHeight="true">
      <c r="A166" s="30" t="s">
        <v>336</v>
      </c>
    </row>
    <row r="167" ht="390" customHeight="true">
      <c r="A167" s="30" t="s">
        <v>337</v>
      </c>
    </row>
    <row r="168" ht="390" customHeight="true">
      <c r="A168" s="30" t="s">
        <v>337</v>
      </c>
    </row>
    <row r="169" ht="390" customHeight="true">
      <c r="A169" s="30" t="s">
        <v>338</v>
      </c>
    </row>
    <row r="170" ht="390" customHeight="true">
      <c r="A170" s="30" t="s">
        <v>338</v>
      </c>
    </row>
    <row r="171" ht="390" customHeight="true">
      <c r="A171" s="30" t="s">
        <v>339</v>
      </c>
    </row>
    <row r="172" ht="390" customHeight="true">
      <c r="A172" s="30" t="s">
        <v>339</v>
      </c>
    </row>
    <row r="173" ht="390" customHeight="true">
      <c r="A173" s="30" t="s">
        <v>340</v>
      </c>
    </row>
    <row r="174" ht="390" customHeight="true">
      <c r="A174" s="30" t="s">
        <v>340</v>
      </c>
    </row>
    <row r="175" ht="390" customHeight="true">
      <c r="A175" s="30" t="s">
        <v>341</v>
      </c>
    </row>
    <row r="176" ht="390" customHeight="true">
      <c r="A176" s="30" t="s">
        <v>341</v>
      </c>
    </row>
    <row r="177" ht="390" customHeight="true">
      <c r="A177" s="30" t="s">
        <v>342</v>
      </c>
    </row>
    <row r="178" ht="390" customHeight="true">
      <c r="A178" s="30" t="s">
        <v>342</v>
      </c>
    </row>
    <row r="179" ht="390" customHeight="true">
      <c r="A179" s="30" t="s">
        <v>343</v>
      </c>
    </row>
    <row r="180" ht="390" customHeight="true">
      <c r="A180" s="30" t="s">
        <v>343</v>
      </c>
    </row>
    <row r="181" ht="390" customHeight="true">
      <c r="A181" s="30" t="s">
        <v>344</v>
      </c>
    </row>
    <row r="182" ht="390" customHeight="true">
      <c r="A182" s="30" t="s">
        <v>344</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