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11" name="_xlnm.Print_Area">'Tags'!$A$1:$A$182</definedName>
    <definedName localSheetId="4" name="_xlnm.Print_Area">'Elimination Matches'!$A$1:$P$271</definedName>
  </definedNames>
  <calcPr calcId="122211"/>
</workbook>
</file>

<file path=xl/sharedStrings.xml><?xml version="1.0" encoding="utf-8"?>
<sst xmlns="http://schemas.openxmlformats.org/spreadsheetml/2006/main" count="411" uniqueCount="411">
  <si>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</si>
  <si>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</si>
  <si>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</si>
  <si>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</si>
  <si>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</si>
  <si>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</si>
  <si>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</si>
  <si>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</si>
  <si>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</si>
  <si>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</si>
  <si>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</si>
  <si>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</si>
  <si>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</si>
  <si>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</si>
  <si>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</si>
  <si>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</si>
  <si>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</si>
  <si>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</si>
  <si>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Kevin Clark</t>
  </si>
  <si>
    <t>Team Alpha</t>
  </si>
  <si>
    <t>CLARK</t>
  </si>
  <si>
    <t>K1</t>
  </si>
  <si>
    <t>Oliver Walker</t>
  </si>
  <si>
    <t>Team Epsilon</t>
  </si>
  <si>
    <t>WALKER</t>
  </si>
  <si>
    <t>K2</t>
  </si>
  <si>
    <t>Mason Martinez</t>
  </si>
  <si>
    <t>Team Gamma</t>
  </si>
  <si>
    <t>MARTINEZ</t>
  </si>
  <si>
    <t>K3</t>
  </si>
  <si>
    <t>Ron Weasley</t>
  </si>
  <si>
    <t>Team Sigma</t>
  </si>
  <si>
    <t>WEASLEY</t>
  </si>
  <si>
    <t>K4</t>
  </si>
  <si>
    <t>Pool B</t>
  </si>
  <si>
    <t>Liam Thompson</t>
  </si>
  <si>
    <t>Team Beta</t>
  </si>
  <si>
    <t>THOMPSON</t>
  </si>
  <si>
    <t>K5</t>
  </si>
  <si>
    <t>Tristan Young</t>
  </si>
  <si>
    <t>Team Kappa</t>
  </si>
  <si>
    <t>YOUNG</t>
  </si>
  <si>
    <t>K6</t>
  </si>
  <si>
    <t>Virginia Woolf</t>
  </si>
  <si>
    <t>Team Chi</t>
  </si>
  <si>
    <t>WOOLF</t>
  </si>
  <si>
    <t>K7</t>
  </si>
  <si>
    <t>Pool C</t>
  </si>
  <si>
    <t>Steven Hernandez</t>
  </si>
  <si>
    <t>Team Delta</t>
  </si>
  <si>
    <t>HERNANDEZ</t>
  </si>
  <si>
    <t>K8</t>
  </si>
  <si>
    <t>Ryan Hall</t>
  </si>
  <si>
    <t>Team Theta</t>
  </si>
  <si>
    <t>HALL</t>
  </si>
  <si>
    <t>K9</t>
  </si>
  <si>
    <t>Petyr Baelish</t>
  </si>
  <si>
    <t>Team Pi</t>
  </si>
  <si>
    <t>BAELISH</t>
  </si>
  <si>
    <t>K10</t>
  </si>
  <si>
    <t>Pool D</t>
  </si>
  <si>
    <t>Gabriel Thomas</t>
  </si>
  <si>
    <t>Team Eta</t>
  </si>
  <si>
    <t>THOMAS</t>
  </si>
  <si>
    <t>K11</t>
  </si>
  <si>
    <t>Lewis Carroll</t>
  </si>
  <si>
    <t>Team Mu</t>
  </si>
  <si>
    <t>CARROLL</t>
  </si>
  <si>
    <t>K12</t>
  </si>
  <si>
    <t>Ygritte</t>
  </si>
  <si>
    <t>YGRITTE</t>
  </si>
  <si>
    <t>K13</t>
  </si>
  <si>
    <t>Pool E</t>
  </si>
  <si>
    <t>Quentin Allen</t>
  </si>
  <si>
    <t>ALLEN</t>
  </si>
  <si>
    <t>K14</t>
  </si>
  <si>
    <t>Parker Lewis</t>
  </si>
  <si>
    <t>Team Zeta</t>
  </si>
  <si>
    <t>LEWIS</t>
  </si>
  <si>
    <t>K15</t>
  </si>
  <si>
    <t>Moby Dick</t>
  </si>
  <si>
    <t>Team Nu</t>
  </si>
  <si>
    <t>DICK</t>
  </si>
  <si>
    <t>K16</t>
  </si>
  <si>
    <t>Pool F</t>
  </si>
  <si>
    <t>Caleb Wilson</t>
  </si>
  <si>
    <t>WILSON</t>
  </si>
  <si>
    <t>K17</t>
  </si>
  <si>
    <t>Yosef Hill</t>
  </si>
  <si>
    <t>HILL</t>
  </si>
  <si>
    <t>K18</t>
  </si>
  <si>
    <t>Yann Martel</t>
  </si>
  <si>
    <t>MARTEL</t>
  </si>
  <si>
    <t>K19</t>
  </si>
  <si>
    <t>Pool G</t>
  </si>
  <si>
    <t>Aaron Thompson</t>
  </si>
  <si>
    <t>K20</t>
  </si>
  <si>
    <t>Nolan Clark</t>
  </si>
  <si>
    <t>K21</t>
  </si>
  <si>
    <t>Katniss Everdeen</t>
  </si>
  <si>
    <t>Team Lambda</t>
  </si>
  <si>
    <t>EVERDEEN</t>
  </si>
  <si>
    <t>K22</t>
  </si>
  <si>
    <t>Pool H</t>
  </si>
  <si>
    <t>Isaac White</t>
  </si>
  <si>
    <t>Team Iota</t>
  </si>
  <si>
    <t>WHITE</t>
  </si>
  <si>
    <t>K23</t>
  </si>
  <si>
    <t>Nathaniel Hawthorne</t>
  </si>
  <si>
    <t>Team Xi</t>
  </si>
  <si>
    <t>HAWTHORNE</t>
  </si>
  <si>
    <t>K24</t>
  </si>
  <si>
    <t>Ulysses</t>
  </si>
  <si>
    <t>Team Phi</t>
  </si>
  <si>
    <t>ULYSSES</t>
  </si>
  <si>
    <t>K25</t>
  </si>
  <si>
    <t>Pool I</t>
  </si>
  <si>
    <t>Uriel Wright</t>
  </si>
  <si>
    <t>WRIGHT</t>
  </si>
  <si>
    <t>K26</t>
  </si>
  <si>
    <t>Quentin Blake</t>
  </si>
  <si>
    <t>Team Rho</t>
  </si>
  <si>
    <t>BLAKE</t>
  </si>
  <si>
    <t>K27</t>
  </si>
  <si>
    <t>Hermione Granger</t>
  </si>
  <si>
    <t>GRANGER</t>
  </si>
  <si>
    <t>K28</t>
  </si>
  <si>
    <t>Pool J</t>
  </si>
  <si>
    <t>Xavier Scott</t>
  </si>
  <si>
    <t>SCOTT</t>
  </si>
  <si>
    <t>K29</t>
  </si>
  <si>
    <t>Isaac Asimov</t>
  </si>
  <si>
    <t>ASIMOV</t>
  </si>
  <si>
    <t>K30</t>
  </si>
  <si>
    <t>Xavier Herbert</t>
  </si>
  <si>
    <t>Team Omega</t>
  </si>
  <si>
    <t>HERBERT</t>
  </si>
  <si>
    <t>K31</t>
  </si>
  <si>
    <t>Pool K</t>
  </si>
  <si>
    <t>Victor Lopez</t>
  </si>
  <si>
    <t>LOPEZ</t>
  </si>
  <si>
    <t>K32</t>
  </si>
  <si>
    <t>Charles Dickens</t>
  </si>
  <si>
    <t>DICKENS</t>
  </si>
  <si>
    <t>K33</t>
  </si>
  <si>
    <t>Frodo Baggins</t>
  </si>
  <si>
    <t>BAGGINS</t>
  </si>
  <si>
    <t>K34</t>
  </si>
  <si>
    <t>Pool L</t>
  </si>
  <si>
    <t>Elijah Taylor</t>
  </si>
  <si>
    <t>TAYLOR</t>
  </si>
  <si>
    <t>K35</t>
  </si>
  <si>
    <t>Oscar Wilde</t>
  </si>
  <si>
    <t>Team Omicron</t>
  </si>
  <si>
    <t>WILDE</t>
  </si>
  <si>
    <t>K36</t>
  </si>
  <si>
    <t>Willy Wonka</t>
  </si>
  <si>
    <t>Team Psi</t>
  </si>
  <si>
    <t>WONKA</t>
  </si>
  <si>
    <t>K37</t>
  </si>
  <si>
    <t>Pool M</t>
  </si>
  <si>
    <t>Bram Stoker</t>
  </si>
  <si>
    <t>STOKER</t>
  </si>
  <si>
    <t>K38</t>
  </si>
  <si>
    <t>Emily Bronte</t>
  </si>
  <si>
    <t>BRONTE</t>
  </si>
  <si>
    <t>K39</t>
  </si>
  <si>
    <t>Daenerys Targaryen</t>
  </si>
  <si>
    <t>TARGARYEN</t>
  </si>
  <si>
    <t>K40</t>
  </si>
  <si>
    <t>Pool N</t>
  </si>
  <si>
    <t>Arthur Conan</t>
  </si>
  <si>
    <t>CONAN</t>
  </si>
  <si>
    <t>K41</t>
  </si>
  <si>
    <t>George Orwell</t>
  </si>
  <si>
    <t>ORWELL</t>
  </si>
  <si>
    <t>K42</t>
  </si>
  <si>
    <t>Tyrion Lannister</t>
  </si>
  <si>
    <t>Team Upsilon</t>
  </si>
  <si>
    <t>LANNISTER</t>
  </si>
  <si>
    <t>K43</t>
  </si>
  <si>
    <t>Pool O</t>
  </si>
  <si>
    <t>Michael Lewis</t>
  </si>
  <si>
    <t>K44</t>
  </si>
  <si>
    <t>Sylvia Plath</t>
  </si>
  <si>
    <t>Team Tau</t>
  </si>
  <si>
    <t>PLATH</t>
  </si>
  <si>
    <t>K45</t>
  </si>
  <si>
    <t>Jon Snow</t>
  </si>
  <si>
    <t>SNOW</t>
  </si>
  <si>
    <t>K46</t>
  </si>
  <si>
    <t>Pool P</t>
  </si>
  <si>
    <t>Luke Rodriguez</t>
  </si>
  <si>
    <t>RODRIGUEZ</t>
  </si>
  <si>
    <t>K47</t>
  </si>
  <si>
    <t>Owen Rodriguez</t>
  </si>
  <si>
    <t>K48</t>
  </si>
  <si>
    <t>Quirinus Quirrell</t>
  </si>
  <si>
    <t>QUIRRELL</t>
  </si>
  <si>
    <t>K49</t>
  </si>
  <si>
    <t>Pool Q</t>
  </si>
  <si>
    <t>Finn Anderson</t>
  </si>
  <si>
    <t>ANDERSON</t>
  </si>
  <si>
    <t>K50</t>
  </si>
  <si>
    <t>Xavier Lopez</t>
  </si>
  <si>
    <t>K51</t>
  </si>
  <si>
    <t>William Shakespeare</t>
  </si>
  <si>
    <t>SHAKESPEARE</t>
  </si>
  <si>
    <t>K52</t>
  </si>
  <si>
    <t>Pool R</t>
  </si>
  <si>
    <t>Robert Young</t>
  </si>
  <si>
    <t>K53</t>
  </si>
  <si>
    <t>Thomas Hardy</t>
  </si>
  <si>
    <t>HARDY</t>
  </si>
  <si>
    <t>K54</t>
  </si>
  <si>
    <t>Zachary Adams</t>
  </si>
  <si>
    <t>ADAMS</t>
  </si>
  <si>
    <t>K55</t>
  </si>
  <si>
    <t>Pool S</t>
  </si>
  <si>
    <t>Hudson Jackson</t>
  </si>
  <si>
    <t>JACKSON</t>
  </si>
  <si>
    <t>K56</t>
  </si>
  <si>
    <t>Mary Shelley</t>
  </si>
  <si>
    <t>SHELLEY</t>
  </si>
  <si>
    <t>K57</t>
  </si>
  <si>
    <t>Samwise Gamgee</t>
  </si>
  <si>
    <t>GAMGEE</t>
  </si>
  <si>
    <t>K58</t>
  </si>
  <si>
    <t>Pool T</t>
  </si>
  <si>
    <t>Paul Hall</t>
  </si>
  <si>
    <t>K59</t>
  </si>
  <si>
    <t>Quinn Walker</t>
  </si>
  <si>
    <t>K60</t>
  </si>
  <si>
    <t>Legolas Greenleaf</t>
  </si>
  <si>
    <t>GREENLEAF</t>
  </si>
  <si>
    <t>K61</t>
  </si>
  <si>
    <t>Pool U</t>
  </si>
  <si>
    <t>Dylan Moore</t>
  </si>
  <si>
    <t>MOORE</t>
  </si>
  <si>
    <t>K62</t>
  </si>
  <si>
    <t>William Wright</t>
  </si>
  <si>
    <t>K63</t>
  </si>
  <si>
    <t>Othello</t>
  </si>
  <si>
    <t>OTHELLO</t>
  </si>
  <si>
    <t>K64</t>
  </si>
  <si>
    <t>Pool V</t>
  </si>
  <si>
    <t>Thomas King</t>
  </si>
  <si>
    <t>KING</t>
  </si>
  <si>
    <t>K65</t>
  </si>
  <si>
    <t>Sebastian Allen</t>
  </si>
  <si>
    <t>K66</t>
  </si>
  <si>
    <t>Xaro Xhoan Daxos</t>
  </si>
  <si>
    <t>DAXOS</t>
  </si>
  <si>
    <t>K67</t>
  </si>
  <si>
    <t>Pool W</t>
  </si>
  <si>
    <t>Jackson Harris</t>
  </si>
  <si>
    <t>HARRIS</t>
  </si>
  <si>
    <t>K68</t>
  </si>
  <si>
    <t>Vincent King</t>
  </si>
  <si>
    <t>K69</t>
  </si>
  <si>
    <t>Albus Dumbledore</t>
  </si>
  <si>
    <t>DUMBLEDORE</t>
  </si>
  <si>
    <t>K70</t>
  </si>
  <si>
    <t>Pool X</t>
  </si>
  <si>
    <t>William Hill</t>
  </si>
  <si>
    <t>K71</t>
  </si>
  <si>
    <t>Philip K Dick</t>
  </si>
  <si>
    <t>K72</t>
  </si>
  <si>
    <t>Inigo Montoya</t>
  </si>
  <si>
    <t>MONTOYA</t>
  </si>
  <si>
    <t>K73</t>
  </si>
  <si>
    <t>Pool Y</t>
  </si>
  <si>
    <t>Benjamin Evans</t>
  </si>
  <si>
    <t>EVANS</t>
  </si>
  <si>
    <t>K74</t>
  </si>
  <si>
    <t>Herman Melville</t>
  </si>
  <si>
    <t>MELVILLE</t>
  </si>
  <si>
    <t>K75</t>
  </si>
  <si>
    <t>Ursula K Le Guin</t>
  </si>
  <si>
    <t>LE GUIN</t>
  </si>
  <si>
    <t>K76</t>
  </si>
  <si>
    <t>Pool Z</t>
  </si>
  <si>
    <t>Yosef Green</t>
  </si>
  <si>
    <t>GREEN</t>
  </si>
  <si>
    <t>K77</t>
  </si>
  <si>
    <t>Daniel Defoe</t>
  </si>
  <si>
    <t>DEFOE</t>
  </si>
  <si>
    <t>K78</t>
  </si>
  <si>
    <t>Gandalf The Grey</t>
  </si>
  <si>
    <t>GANDALF</t>
  </si>
  <si>
    <t>K79</t>
  </si>
  <si>
    <t>Pool AA</t>
  </si>
  <si>
    <t>Neville Longbottom</t>
  </si>
  <si>
    <t>LONGBOTTOM</t>
  </si>
  <si>
    <t>K80</t>
  </si>
  <si>
    <t>Jane Austen</t>
  </si>
  <si>
    <t>AUSTEN</t>
  </si>
  <si>
    <t>K81</t>
  </si>
  <si>
    <t>Voldemort</t>
  </si>
  <si>
    <t>VOLDEMORT</t>
  </si>
  <si>
    <t>K82</t>
  </si>
  <si>
    <t>Pool BB</t>
  </si>
  <si>
    <t>Ulysses Hernandez</t>
  </si>
  <si>
    <t>K83</t>
  </si>
  <si>
    <t>Fyodor Dostoevsky</t>
  </si>
  <si>
    <t>DOSTOEVSKY</t>
  </si>
  <si>
    <t>K84</t>
  </si>
  <si>
    <t>Eddard Stark</t>
  </si>
  <si>
    <t>STARK</t>
  </si>
  <si>
    <t>K85</t>
  </si>
  <si>
    <t>Pool CC</t>
  </si>
  <si>
    <t>Kurt Vonnegut</t>
  </si>
  <si>
    <t>VONNEGUT</t>
  </si>
  <si>
    <t>K86</t>
  </si>
  <si>
    <t>Ray Bradbury</t>
  </si>
  <si>
    <t>BRADBURY</t>
  </si>
  <si>
    <t>K87</t>
  </si>
  <si>
    <t>Bilbo Baggins</t>
  </si>
  <si>
    <t>K88</t>
  </si>
  <si>
    <t>Pool DD</t>
  </si>
  <si>
    <t>Nathan Lee</t>
  </si>
  <si>
    <t>LEE</t>
  </si>
  <si>
    <t>K89</t>
  </si>
  <si>
    <t>Kaden Martin</t>
  </si>
  <si>
    <t>MARTIN</t>
  </si>
  <si>
    <t>K90</t>
  </si>
  <si>
    <t>Cersei Lannister</t>
  </si>
  <si>
    <t>K91</t>
  </si>
  <si>
    <t>Shiaijo A</t>
  </si>
  <si>
    <t>Shiaijo B</t>
  </si>
  <si>
    <t>White</t>
  </si>
  <si>
    <t>vs</t>
  </si>
  <si>
    <t>Red</t>
  </si>
  <si>
    <t>Results</t>
  </si>
  <si>
    <t>W</t>
  </si>
  <si>
    <t>L</t>
  </si>
  <si>
    <t>T</t>
  </si>
  <si>
    <t>PW</t>
  </si>
  <si>
    <t>PL</t>
  </si>
  <si>
    <t>Rank</t>
  </si>
  <si>
    <t>Ranking</t>
  </si>
  <si>
    <t>1.</t>
  </si>
  <si>
    <t>2.</t>
  </si>
  <si>
    <t>3.</t>
  </si>
  <si>
    <t>4.</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</si>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</sst>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54</v>
      </c>
      <c r="E11" t="s">
        <v>55</v>
      </c>
    </row>
    <row r="12">
      <c r="A12" t="s">
        <v>47</v>
      </c>
      <c r="B12" t="s">
        <v>56</v>
      </c>
      <c r="C12" t="s">
        <v>57</v>
      </c>
      <c r="D12" t="s">
        <v>58</v>
      </c>
      <c r="E12" t="s">
        <v>59</v>
      </c>
    </row>
    <row r="13">
      <c r="A13" t="s">
        <v>60</v>
      </c>
      <c r="B13" t="s">
        <v>61</v>
      </c>
      <c r="C13" t="s">
        <v>62</v>
      </c>
      <c r="D13" t="s">
        <v>63</v>
      </c>
      <c r="E13" t="s">
        <v>64</v>
      </c>
    </row>
    <row r="14">
      <c r="A14" t="s">
        <v>60</v>
      </c>
      <c r="B14" t="s">
        <v>65</v>
      </c>
      <c r="C14" t="s">
        <v>66</v>
      </c>
      <c r="D14" t="s">
        <v>67</v>
      </c>
      <c r="E14" t="s">
        <v>68</v>
      </c>
    </row>
    <row r="15">
      <c r="A15" t="s">
        <v>60</v>
      </c>
      <c r="B15" t="s">
        <v>69</v>
      </c>
      <c r="C15" t="s">
        <v>19</v>
      </c>
      <c r="D15" t="s">
        <v>70</v>
      </c>
      <c r="E15" t="s">
        <v>71</v>
      </c>
    </row>
    <row r="16">
      <c r="A16" t="s">
        <v>72</v>
      </c>
      <c r="B16" t="s">
        <v>73</v>
      </c>
      <c r="C16" t="s">
        <v>36</v>
      </c>
      <c r="D16" t="s">
        <v>74</v>
      </c>
      <c r="E16" t="s">
        <v>75</v>
      </c>
    </row>
    <row r="17">
      <c r="A17" t="s">
        <v>72</v>
      </c>
      <c r="B17" t="s">
        <v>76</v>
      </c>
      <c r="C17" t="s">
        <v>77</v>
      </c>
      <c r="D17" t="s">
        <v>78</v>
      </c>
      <c r="E17" t="s">
        <v>79</v>
      </c>
    </row>
    <row r="18">
      <c r="A18" t="s">
        <v>72</v>
      </c>
      <c r="B18" t="s">
        <v>80</v>
      </c>
      <c r="C18" t="s">
        <v>81</v>
      </c>
      <c r="D18" t="s">
        <v>82</v>
      </c>
      <c r="E18" t="s">
        <v>83</v>
      </c>
    </row>
    <row r="19">
      <c r="A19" t="s">
        <v>84</v>
      </c>
      <c r="B19" t="s">
        <v>85</v>
      </c>
      <c r="C19" t="s">
        <v>27</v>
      </c>
      <c r="D19" t="s">
        <v>86</v>
      </c>
      <c r="E19" t="s">
        <v>87</v>
      </c>
    </row>
    <row r="20">
      <c r="A20" t="s">
        <v>84</v>
      </c>
      <c r="B20" t="s">
        <v>88</v>
      </c>
      <c r="C20" t="s">
        <v>23</v>
      </c>
      <c r="D20" t="s">
        <v>89</v>
      </c>
      <c r="E20" t="s">
        <v>90</v>
      </c>
    </row>
    <row r="21">
      <c r="A21" t="s">
        <v>84</v>
      </c>
      <c r="B21" t="s">
        <v>91</v>
      </c>
      <c r="C21" t="s">
        <v>19</v>
      </c>
      <c r="D21" t="s">
        <v>92</v>
      </c>
      <c r="E21" t="s">
        <v>93</v>
      </c>
    </row>
    <row r="22">
      <c r="A22" t="s">
        <v>94</v>
      </c>
      <c r="B22" t="s">
        <v>95</v>
      </c>
      <c r="C22" t="s">
        <v>19</v>
      </c>
      <c r="D22" t="s">
        <v>37</v>
      </c>
      <c r="E22" t="s">
        <v>96</v>
      </c>
    </row>
    <row r="23">
      <c r="A23" t="s">
        <v>94</v>
      </c>
      <c r="B23" t="s">
        <v>97</v>
      </c>
      <c r="C23" t="s">
        <v>49</v>
      </c>
      <c r="D23" t="s">
        <v>20</v>
      </c>
      <c r="E23" t="s">
        <v>98</v>
      </c>
    </row>
    <row r="24">
      <c r="A24" t="s">
        <v>94</v>
      </c>
      <c r="B24" t="s">
        <v>99</v>
      </c>
      <c r="C24" t="s">
        <v>100</v>
      </c>
      <c r="D24" t="s">
        <v>101</v>
      </c>
      <c r="E24" t="s">
        <v>102</v>
      </c>
    </row>
    <row r="25">
      <c r="A25" t="s">
        <v>103</v>
      </c>
      <c r="B25" t="s">
        <v>104</v>
      </c>
      <c r="C25" t="s">
        <v>105</v>
      </c>
      <c r="D25" t="s">
        <v>106</v>
      </c>
      <c r="E25" t="s">
        <v>107</v>
      </c>
    </row>
    <row r="26">
      <c r="A26" t="s">
        <v>103</v>
      </c>
      <c r="B26" t="s">
        <v>108</v>
      </c>
      <c r="C26" t="s">
        <v>109</v>
      </c>
      <c r="D26" t="s">
        <v>110</v>
      </c>
      <c r="E26" t="s">
        <v>111</v>
      </c>
    </row>
    <row r="27">
      <c r="A27" t="s">
        <v>103</v>
      </c>
      <c r="B27" t="s">
        <v>112</v>
      </c>
      <c r="C27" t="s">
        <v>113</v>
      </c>
      <c r="D27" t="s">
        <v>114</v>
      </c>
      <c r="E27" t="s">
        <v>115</v>
      </c>
    </row>
    <row r="28">
      <c r="A28" t="s">
        <v>116</v>
      </c>
      <c r="B28" t="s">
        <v>117</v>
      </c>
      <c r="C28" t="s">
        <v>19</v>
      </c>
      <c r="D28" t="s">
        <v>118</v>
      </c>
      <c r="E28" t="s">
        <v>119</v>
      </c>
    </row>
    <row r="29">
      <c r="A29" t="s">
        <v>116</v>
      </c>
      <c r="B29" t="s">
        <v>120</v>
      </c>
      <c r="C29" t="s">
        <v>121</v>
      </c>
      <c r="D29" t="s">
        <v>122</v>
      </c>
      <c r="E29" t="s">
        <v>123</v>
      </c>
    </row>
    <row r="30">
      <c r="A30" t="s">
        <v>116</v>
      </c>
      <c r="B30" t="s">
        <v>124</v>
      </c>
      <c r="C30" t="s">
        <v>53</v>
      </c>
      <c r="D30" t="s">
        <v>125</v>
      </c>
      <c r="E30" t="s">
        <v>126</v>
      </c>
    </row>
    <row r="31">
      <c r="A31" t="s">
        <v>127</v>
      </c>
      <c r="B31" t="s">
        <v>128</v>
      </c>
      <c r="C31" t="s">
        <v>49</v>
      </c>
      <c r="D31" t="s">
        <v>129</v>
      </c>
      <c r="E31" t="s">
        <v>130</v>
      </c>
    </row>
    <row r="32">
      <c r="A32" t="s">
        <v>127</v>
      </c>
      <c r="B32" t="s">
        <v>131</v>
      </c>
      <c r="C32" t="s">
        <v>105</v>
      </c>
      <c r="D32" t="s">
        <v>132</v>
      </c>
      <c r="E32" t="s">
        <v>133</v>
      </c>
    </row>
    <row r="33">
      <c r="A33" t="s">
        <v>127</v>
      </c>
      <c r="B33" t="s">
        <v>134</v>
      </c>
      <c r="C33" t="s">
        <v>135</v>
      </c>
      <c r="D33" t="s">
        <v>136</v>
      </c>
      <c r="E33" t="s">
        <v>137</v>
      </c>
    </row>
    <row r="34">
      <c r="A34" t="s">
        <v>138</v>
      </c>
      <c r="B34" t="s">
        <v>139</v>
      </c>
      <c r="C34" t="s">
        <v>36</v>
      </c>
      <c r="D34" t="s">
        <v>140</v>
      </c>
      <c r="E34" t="s">
        <v>141</v>
      </c>
    </row>
    <row r="35">
      <c r="A35" t="s">
        <v>138</v>
      </c>
      <c r="B35" t="s">
        <v>142</v>
      </c>
      <c r="C35" t="s">
        <v>27</v>
      </c>
      <c r="D35" t="s">
        <v>143</v>
      </c>
      <c r="E35" t="s">
        <v>144</v>
      </c>
    </row>
    <row r="36">
      <c r="A36" t="s">
        <v>138</v>
      </c>
      <c r="B36" t="s">
        <v>145</v>
      </c>
      <c r="C36" t="s">
        <v>77</v>
      </c>
      <c r="D36" t="s">
        <v>146</v>
      </c>
      <c r="E36" t="s">
        <v>147</v>
      </c>
    </row>
    <row r="37">
      <c r="A37" t="s">
        <v>148</v>
      </c>
      <c r="B37" t="s">
        <v>149</v>
      </c>
      <c r="C37" t="s">
        <v>23</v>
      </c>
      <c r="D37" t="s">
        <v>150</v>
      </c>
      <c r="E37" t="s">
        <v>151</v>
      </c>
    </row>
    <row r="38">
      <c r="A38" t="s">
        <v>148</v>
      </c>
      <c r="B38" t="s">
        <v>152</v>
      </c>
      <c r="C38" t="s">
        <v>153</v>
      </c>
      <c r="D38" t="s">
        <v>154</v>
      </c>
      <c r="E38" t="s">
        <v>155</v>
      </c>
    </row>
    <row r="39">
      <c r="A39" t="s">
        <v>148</v>
      </c>
      <c r="B39" t="s">
        <v>156</v>
      </c>
      <c r="C39" t="s">
        <v>157</v>
      </c>
      <c r="D39" t="s">
        <v>158</v>
      </c>
      <c r="E39" t="s">
        <v>159</v>
      </c>
    </row>
    <row r="40">
      <c r="A40" t="s">
        <v>160</v>
      </c>
      <c r="B40" t="s">
        <v>161</v>
      </c>
      <c r="C40" t="s">
        <v>36</v>
      </c>
      <c r="D40" t="s">
        <v>162</v>
      </c>
      <c r="E40" t="s">
        <v>163</v>
      </c>
    </row>
    <row r="41">
      <c r="A41" t="s">
        <v>160</v>
      </c>
      <c r="B41" t="s">
        <v>164</v>
      </c>
      <c r="C41" t="s">
        <v>23</v>
      </c>
      <c r="D41" t="s">
        <v>165</v>
      </c>
      <c r="E41" t="s">
        <v>166</v>
      </c>
    </row>
    <row r="42">
      <c r="A42" t="s">
        <v>160</v>
      </c>
      <c r="B42" t="s">
        <v>167</v>
      </c>
      <c r="C42" t="s">
        <v>49</v>
      </c>
      <c r="D42" t="s">
        <v>168</v>
      </c>
      <c r="E42" t="s">
        <v>169</v>
      </c>
    </row>
    <row r="43">
      <c r="A43" t="s">
        <v>170</v>
      </c>
      <c r="B43" t="s">
        <v>171</v>
      </c>
      <c r="C43" t="s">
        <v>19</v>
      </c>
      <c r="D43" t="s">
        <v>172</v>
      </c>
      <c r="E43" t="s">
        <v>173</v>
      </c>
    </row>
    <row r="44">
      <c r="A44" t="s">
        <v>170</v>
      </c>
      <c r="B44" t="s">
        <v>174</v>
      </c>
      <c r="C44" t="s">
        <v>62</v>
      </c>
      <c r="D44" t="s">
        <v>175</v>
      </c>
      <c r="E44" t="s">
        <v>176</v>
      </c>
    </row>
    <row r="45">
      <c r="A45" t="s">
        <v>170</v>
      </c>
      <c r="B45" t="s">
        <v>177</v>
      </c>
      <c r="C45" t="s">
        <v>178</v>
      </c>
      <c r="D45" t="s">
        <v>179</v>
      </c>
      <c r="E45" t="s">
        <v>180</v>
      </c>
    </row>
    <row r="46">
      <c r="A46" t="s">
        <v>181</v>
      </c>
      <c r="B46" t="s">
        <v>182</v>
      </c>
      <c r="C46" t="s">
        <v>27</v>
      </c>
      <c r="D46" t="s">
        <v>78</v>
      </c>
      <c r="E46" t="s">
        <v>183</v>
      </c>
    </row>
    <row r="47">
      <c r="A47" t="s">
        <v>181</v>
      </c>
      <c r="B47" t="s">
        <v>184</v>
      </c>
      <c r="C47" t="s">
        <v>185</v>
      </c>
      <c r="D47" t="s">
        <v>186</v>
      </c>
      <c r="E47" t="s">
        <v>187</v>
      </c>
    </row>
    <row r="48">
      <c r="A48" t="s">
        <v>181</v>
      </c>
      <c r="B48" t="s">
        <v>188</v>
      </c>
      <c r="C48" t="s">
        <v>40</v>
      </c>
      <c r="D48" t="s">
        <v>189</v>
      </c>
      <c r="E48" t="s">
        <v>190</v>
      </c>
    </row>
    <row r="49">
      <c r="A49" t="s">
        <v>191</v>
      </c>
      <c r="B49" t="s">
        <v>192</v>
      </c>
      <c r="C49" t="s">
        <v>36</v>
      </c>
      <c r="D49" t="s">
        <v>193</v>
      </c>
      <c r="E49" t="s">
        <v>194</v>
      </c>
    </row>
    <row r="50">
      <c r="A50" t="s">
        <v>191</v>
      </c>
      <c r="B50" t="s">
        <v>195</v>
      </c>
      <c r="C50" t="s">
        <v>23</v>
      </c>
      <c r="D50" t="s">
        <v>193</v>
      </c>
      <c r="E50" t="s">
        <v>196</v>
      </c>
    </row>
    <row r="51">
      <c r="A51" t="s">
        <v>191</v>
      </c>
      <c r="B51" t="s">
        <v>197</v>
      </c>
      <c r="C51" t="s">
        <v>121</v>
      </c>
      <c r="D51" t="s">
        <v>198</v>
      </c>
      <c r="E51" t="s">
        <v>199</v>
      </c>
    </row>
    <row r="52">
      <c r="A52" t="s">
        <v>200</v>
      </c>
      <c r="B52" t="s">
        <v>201</v>
      </c>
      <c r="C52" t="s">
        <v>77</v>
      </c>
      <c r="D52" t="s">
        <v>202</v>
      </c>
      <c r="E52" t="s">
        <v>203</v>
      </c>
    </row>
    <row r="53">
      <c r="A53" t="s">
        <v>200</v>
      </c>
      <c r="B53" t="s">
        <v>204</v>
      </c>
      <c r="C53" t="s">
        <v>49</v>
      </c>
      <c r="D53" t="s">
        <v>140</v>
      </c>
      <c r="E53" t="s">
        <v>205</v>
      </c>
    </row>
    <row r="54">
      <c r="A54" t="s">
        <v>200</v>
      </c>
      <c r="B54" t="s">
        <v>206</v>
      </c>
      <c r="C54" t="s">
        <v>157</v>
      </c>
      <c r="D54" t="s">
        <v>207</v>
      </c>
      <c r="E54" t="s">
        <v>208</v>
      </c>
    </row>
    <row r="55">
      <c r="A55" t="s">
        <v>209</v>
      </c>
      <c r="B55" t="s">
        <v>210</v>
      </c>
      <c r="C55" t="s">
        <v>27</v>
      </c>
      <c r="D55" t="s">
        <v>41</v>
      </c>
      <c r="E55" t="s">
        <v>211</v>
      </c>
    </row>
    <row r="56">
      <c r="A56" t="s">
        <v>209</v>
      </c>
      <c r="B56" t="s">
        <v>212</v>
      </c>
      <c r="C56" t="s">
        <v>178</v>
      </c>
      <c r="D56" t="s">
        <v>213</v>
      </c>
      <c r="E56" t="s">
        <v>214</v>
      </c>
    </row>
    <row r="57">
      <c r="A57" t="s">
        <v>209</v>
      </c>
      <c r="B57" t="s">
        <v>215</v>
      </c>
      <c r="C57" t="s">
        <v>19</v>
      </c>
      <c r="D57" t="s">
        <v>216</v>
      </c>
      <c r="E57" t="s">
        <v>217</v>
      </c>
    </row>
    <row r="58">
      <c r="A58" t="s">
        <v>218</v>
      </c>
      <c r="B58" t="s">
        <v>219</v>
      </c>
      <c r="C58" t="s">
        <v>53</v>
      </c>
      <c r="D58" t="s">
        <v>220</v>
      </c>
      <c r="E58" t="s">
        <v>221</v>
      </c>
    </row>
    <row r="59">
      <c r="A59" t="s">
        <v>218</v>
      </c>
      <c r="B59" t="s">
        <v>222</v>
      </c>
      <c r="C59" t="s">
        <v>81</v>
      </c>
      <c r="D59" t="s">
        <v>223</v>
      </c>
      <c r="E59" t="s">
        <v>224</v>
      </c>
    </row>
    <row r="60">
      <c r="A60" t="s">
        <v>218</v>
      </c>
      <c r="B60" t="s">
        <v>225</v>
      </c>
      <c r="C60" t="s">
        <v>185</v>
      </c>
      <c r="D60" t="s">
        <v>226</v>
      </c>
      <c r="E60" t="s">
        <v>227</v>
      </c>
    </row>
    <row r="61">
      <c r="A61" t="s">
        <v>228</v>
      </c>
      <c r="B61" t="s">
        <v>229</v>
      </c>
      <c r="C61" t="s">
        <v>19</v>
      </c>
      <c r="D61" t="s">
        <v>54</v>
      </c>
      <c r="E61" t="s">
        <v>230</v>
      </c>
    </row>
    <row r="62">
      <c r="A62" t="s">
        <v>228</v>
      </c>
      <c r="B62" t="s">
        <v>231</v>
      </c>
      <c r="C62" t="s">
        <v>62</v>
      </c>
      <c r="D62" t="s">
        <v>24</v>
      </c>
      <c r="E62" t="s">
        <v>232</v>
      </c>
    </row>
    <row r="63">
      <c r="A63" t="s">
        <v>228</v>
      </c>
      <c r="B63" t="s">
        <v>233</v>
      </c>
      <c r="C63" t="s">
        <v>66</v>
      </c>
      <c r="D63" t="s">
        <v>234</v>
      </c>
      <c r="E63" t="s">
        <v>235</v>
      </c>
    </row>
    <row r="64">
      <c r="A64" t="s">
        <v>236</v>
      </c>
      <c r="B64" t="s">
        <v>237</v>
      </c>
      <c r="C64" t="s">
        <v>49</v>
      </c>
      <c r="D64" t="s">
        <v>238</v>
      </c>
      <c r="E64" t="s">
        <v>239</v>
      </c>
    </row>
    <row r="65">
      <c r="A65" t="s">
        <v>236</v>
      </c>
      <c r="B65" t="s">
        <v>240</v>
      </c>
      <c r="C65" t="s">
        <v>27</v>
      </c>
      <c r="D65" t="s">
        <v>118</v>
      </c>
      <c r="E65" t="s">
        <v>241</v>
      </c>
    </row>
    <row r="66">
      <c r="A66" t="s">
        <v>236</v>
      </c>
      <c r="B66" t="s">
        <v>242</v>
      </c>
      <c r="C66" t="s">
        <v>153</v>
      </c>
      <c r="D66" t="s">
        <v>243</v>
      </c>
      <c r="E66" t="s">
        <v>244</v>
      </c>
    </row>
    <row r="67">
      <c r="A67" t="s">
        <v>245</v>
      </c>
      <c r="B67" t="s">
        <v>246</v>
      </c>
      <c r="C67" t="s">
        <v>23</v>
      </c>
      <c r="D67" t="s">
        <v>247</v>
      </c>
      <c r="E67" t="s">
        <v>248</v>
      </c>
    </row>
    <row r="68">
      <c r="A68" t="s">
        <v>245</v>
      </c>
      <c r="B68" t="s">
        <v>249</v>
      </c>
      <c r="C68" t="s">
        <v>105</v>
      </c>
      <c r="D68" t="s">
        <v>74</v>
      </c>
      <c r="E68" t="s">
        <v>250</v>
      </c>
    </row>
    <row r="69">
      <c r="A69" t="s">
        <v>245</v>
      </c>
      <c r="B69" t="s">
        <v>251</v>
      </c>
      <c r="C69" t="s">
        <v>135</v>
      </c>
      <c r="D69" t="s">
        <v>252</v>
      </c>
      <c r="E69" t="s">
        <v>253</v>
      </c>
    </row>
    <row r="70">
      <c r="A70" t="s">
        <v>254</v>
      </c>
      <c r="B70" t="s">
        <v>255</v>
      </c>
      <c r="C70" t="s">
        <v>40</v>
      </c>
      <c r="D70" t="s">
        <v>256</v>
      </c>
      <c r="E70" t="s">
        <v>257</v>
      </c>
    </row>
    <row r="71">
      <c r="A71" t="s">
        <v>254</v>
      </c>
      <c r="B71" t="s">
        <v>258</v>
      </c>
      <c r="C71" t="s">
        <v>36</v>
      </c>
      <c r="D71" t="s">
        <v>247</v>
      </c>
      <c r="E71" t="s">
        <v>259</v>
      </c>
    </row>
    <row r="72">
      <c r="A72" t="s">
        <v>254</v>
      </c>
      <c r="B72" t="s">
        <v>260</v>
      </c>
      <c r="C72" t="s">
        <v>19</v>
      </c>
      <c r="D72" t="s">
        <v>261</v>
      </c>
      <c r="E72" t="s">
        <v>262</v>
      </c>
    </row>
    <row r="73">
      <c r="A73" t="s">
        <v>263</v>
      </c>
      <c r="B73" t="s">
        <v>264</v>
      </c>
      <c r="C73" t="s">
        <v>27</v>
      </c>
      <c r="D73" t="s">
        <v>89</v>
      </c>
      <c r="E73" t="s">
        <v>265</v>
      </c>
    </row>
    <row r="74">
      <c r="A74" t="s">
        <v>263</v>
      </c>
      <c r="B74" t="s">
        <v>266</v>
      </c>
      <c r="C74" t="s">
        <v>57</v>
      </c>
      <c r="D74" t="s">
        <v>82</v>
      </c>
      <c r="E74" t="s">
        <v>267</v>
      </c>
    </row>
    <row r="75">
      <c r="A75" t="s">
        <v>263</v>
      </c>
      <c r="B75" t="s">
        <v>268</v>
      </c>
      <c r="C75" t="s">
        <v>105</v>
      </c>
      <c r="D75" t="s">
        <v>269</v>
      </c>
      <c r="E75" t="s">
        <v>270</v>
      </c>
    </row>
    <row r="76">
      <c r="A76" t="s">
        <v>271</v>
      </c>
      <c r="B76" t="s">
        <v>272</v>
      </c>
      <c r="C76" t="s">
        <v>36</v>
      </c>
      <c r="D76" t="s">
        <v>273</v>
      </c>
      <c r="E76" t="s">
        <v>274</v>
      </c>
    </row>
    <row r="77">
      <c r="A77" t="s">
        <v>271</v>
      </c>
      <c r="B77" t="s">
        <v>275</v>
      </c>
      <c r="C77" t="s">
        <v>53</v>
      </c>
      <c r="D77" t="s">
        <v>276</v>
      </c>
      <c r="E77" t="s">
        <v>277</v>
      </c>
    </row>
    <row r="78">
      <c r="A78" t="s">
        <v>271</v>
      </c>
      <c r="B78" t="s">
        <v>278</v>
      </c>
      <c r="C78" t="s">
        <v>113</v>
      </c>
      <c r="D78" t="s">
        <v>279</v>
      </c>
      <c r="E78" t="s">
        <v>280</v>
      </c>
    </row>
    <row r="79">
      <c r="A79" t="s">
        <v>281</v>
      </c>
      <c r="B79" t="s">
        <v>282</v>
      </c>
      <c r="C79" t="s">
        <v>23</v>
      </c>
      <c r="D79" t="s">
        <v>283</v>
      </c>
      <c r="E79" t="s">
        <v>284</v>
      </c>
    </row>
    <row r="80">
      <c r="A80" t="s">
        <v>281</v>
      </c>
      <c r="B80" t="s">
        <v>285</v>
      </c>
      <c r="C80" t="s">
        <v>49</v>
      </c>
      <c r="D80" t="s">
        <v>286</v>
      </c>
      <c r="E80" t="s">
        <v>287</v>
      </c>
    </row>
    <row r="81">
      <c r="A81" t="s">
        <v>281</v>
      </c>
      <c r="B81" t="s">
        <v>288</v>
      </c>
      <c r="C81" t="s">
        <v>62</v>
      </c>
      <c r="D81" t="s">
        <v>289</v>
      </c>
      <c r="E81" t="s">
        <v>290</v>
      </c>
    </row>
    <row r="82">
      <c r="A82" t="s">
        <v>291</v>
      </c>
      <c r="B82" t="s">
        <v>292</v>
      </c>
      <c r="C82" t="s">
        <v>109</v>
      </c>
      <c r="D82" t="s">
        <v>293</v>
      </c>
      <c r="E82" t="s">
        <v>294</v>
      </c>
    </row>
    <row r="83">
      <c r="A83" t="s">
        <v>291</v>
      </c>
      <c r="B83" t="s">
        <v>295</v>
      </c>
      <c r="C83" t="s">
        <v>40</v>
      </c>
      <c r="D83" t="s">
        <v>296</v>
      </c>
      <c r="E83" t="s">
        <v>297</v>
      </c>
    </row>
    <row r="84">
      <c r="A84" t="s">
        <v>291</v>
      </c>
      <c r="B84" t="s">
        <v>298</v>
      </c>
      <c r="C84" t="s">
        <v>44</v>
      </c>
      <c r="D84" t="s">
        <v>299</v>
      </c>
      <c r="E84" t="s">
        <v>300</v>
      </c>
    </row>
    <row r="85">
      <c r="A85" t="s">
        <v>301</v>
      </c>
      <c r="B85" t="s">
        <v>302</v>
      </c>
      <c r="C85" t="s">
        <v>19</v>
      </c>
      <c r="D85" t="s">
        <v>50</v>
      </c>
      <c r="E85" t="s">
        <v>303</v>
      </c>
    </row>
    <row r="86">
      <c r="A86" t="s">
        <v>301</v>
      </c>
      <c r="B86" t="s">
        <v>304</v>
      </c>
      <c r="C86" t="s">
        <v>77</v>
      </c>
      <c r="D86" t="s">
        <v>305</v>
      </c>
      <c r="E86" t="s">
        <v>306</v>
      </c>
    </row>
    <row r="87">
      <c r="A87" t="s">
        <v>301</v>
      </c>
      <c r="B87" t="s">
        <v>307</v>
      </c>
      <c r="C87" t="s">
        <v>23</v>
      </c>
      <c r="D87" t="s">
        <v>308</v>
      </c>
      <c r="E87" t="s">
        <v>309</v>
      </c>
    </row>
    <row r="88">
      <c r="A88" t="s">
        <v>310</v>
      </c>
      <c r="B88" t="s">
        <v>311</v>
      </c>
      <c r="C88" t="s">
        <v>100</v>
      </c>
      <c r="D88" t="s">
        <v>312</v>
      </c>
      <c r="E88" t="s">
        <v>313</v>
      </c>
    </row>
    <row r="89">
      <c r="A89" t="s">
        <v>310</v>
      </c>
      <c r="B89" t="s">
        <v>314</v>
      </c>
      <c r="C89" t="s">
        <v>31</v>
      </c>
      <c r="D89" t="s">
        <v>315</v>
      </c>
      <c r="E89" t="s">
        <v>316</v>
      </c>
    </row>
    <row r="90">
      <c r="A90" t="s">
        <v>310</v>
      </c>
      <c r="B90" t="s">
        <v>317</v>
      </c>
      <c r="C90" t="s">
        <v>36</v>
      </c>
      <c r="D90" t="s">
        <v>146</v>
      </c>
      <c r="E90" t="s">
        <v>318</v>
      </c>
    </row>
    <row r="91">
      <c r="A91" t="s">
        <v>319</v>
      </c>
      <c r="B91" t="s">
        <v>320</v>
      </c>
      <c r="C91" t="s">
        <v>49</v>
      </c>
      <c r="D91" t="s">
        <v>321</v>
      </c>
      <c r="E91" t="s">
        <v>322</v>
      </c>
    </row>
    <row r="92">
      <c r="A92" t="s">
        <v>319</v>
      </c>
      <c r="B92" t="s">
        <v>323</v>
      </c>
      <c r="C92" t="s">
        <v>19</v>
      </c>
      <c r="D92" t="s">
        <v>324</v>
      </c>
      <c r="E92" t="s">
        <v>325</v>
      </c>
    </row>
    <row r="93">
      <c r="A93" t="s">
        <v>319</v>
      </c>
      <c r="B93" t="s">
        <v>326</v>
      </c>
      <c r="C93" t="s">
        <v>27</v>
      </c>
      <c r="D93" t="s">
        <v>179</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404</v>
      </c>
      <c r="F13" s="13"/>
      <c r="G13" s="13"/>
      <c r="H13" s="13"/>
    </row>
    <row r="14">
      <c r="A14">
        <v>2</v>
      </c>
      <c r="E14" s="32" t="s">
        <v>405</v>
      </c>
      <c r="F14" s="32"/>
      <c r="G14" s="32"/>
      <c r="H14" s="31" t="str">
        <f>H2</f>
      </c>
    </row>
    <row r="15">
      <c r="E15" s="32" t="s">
        <v>406</v>
      </c>
      <c r="F15" s="32"/>
      <c r="G15" s="32"/>
      <c r="H15" s="31" t="str">
        <f>H8</f>
      </c>
    </row>
    <row r="16">
      <c r="E16" s="32" t="s">
        <v>407</v>
      </c>
      <c r="F16" s="32"/>
      <c r="G16" s="32"/>
      <c r="H16" s="31" t="str">
        <f>H14+H15</f>
      </c>
    </row>
    <row r="17">
      <c r="E17" s="32" t="s">
        <v>408</v>
      </c>
      <c r="F17" s="32"/>
      <c r="G17" s="32"/>
      <c r="H17" s="31" t="str">
        <f>H16/A14</f>
      </c>
    </row>
    <row r="18">
      <c r="E18" s="13" t="s">
        <v>409</v>
      </c>
      <c r="F18" s="13"/>
      <c r="G18" s="13"/>
      <c r="H18" s="33">
        <v>0.375</v>
      </c>
    </row>
    <row r="19">
      <c r="E19" s="13" t="s">
        <v>410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D3" s="14" t="s">
        <v>331</v>
      </c>
      <c r="G3" s="16" t="s">
        <v>332</v>
      </c>
      <c r="I3" s="17" t="s">
        <v>330</v>
      </c>
      <c r="L3" s="14" t="s">
        <v>331</v>
      </c>
      <c r="O3" s="16" t="s">
        <v>332</v>
      </c>
    </row>
    <row r="4">
      <c r="A4" s="14" t="str">
        <f>data!$E$4&amp;" "&amp;data!$B$4</f>
      </c>
      <c r="B4" s="18"/>
      <c r="C4" s="18"/>
      <c r="D4" s="18"/>
      <c r="E4" s="18"/>
      <c r="F4" s="18"/>
      <c r="G4" s="14" t="str">
        <f>data!$E$3&amp;" "&amp;data!$B$3</f>
      </c>
      <c r="I4" s="14" t="str">
        <f>data!$E$50&amp;" "&amp;data!$B$50</f>
      </c>
      <c r="J4" s="18"/>
      <c r="K4" s="18"/>
      <c r="L4" s="18"/>
      <c r="M4" s="18"/>
      <c r="N4" s="18"/>
      <c r="O4" s="14" t="str">
        <f>data!$E$49&amp;" "&amp;data!$B$49</f>
      </c>
    </row>
    <row r="5">
      <c r="A5" s="14" t="str">
        <f>data!$E$4&amp;" "&amp;data!$B$4</f>
      </c>
      <c r="B5" s="18"/>
      <c r="C5" s="18"/>
      <c r="D5" s="18"/>
      <c r="E5" s="18"/>
      <c r="F5" s="18"/>
      <c r="G5" s="14" t="str">
        <f>data!$E$5&amp;" "&amp;data!$B$5</f>
      </c>
      <c r="I5" s="14" t="str">
        <f>data!$E$51&amp;" "&amp;data!$B$51</f>
      </c>
      <c r="J5" s="18"/>
      <c r="K5" s="18"/>
      <c r="L5" s="18"/>
      <c r="M5" s="18"/>
      <c r="N5" s="18"/>
      <c r="O5" s="14" t="str">
        <f>data!$E$49&amp;" "&amp;data!$B$49</f>
      </c>
    </row>
    <row r="6">
      <c r="A6" s="14" t="str">
        <f>data!$E$6&amp;" "&amp;data!$B$6</f>
      </c>
      <c r="B6" s="18"/>
      <c r="C6" s="18"/>
      <c r="D6" s="18"/>
      <c r="E6" s="18"/>
      <c r="F6" s="18"/>
      <c r="G6" s="14" t="str">
        <f>data!$E$5&amp;" "&amp;data!$B$5</f>
      </c>
      <c r="I6" s="14" t="str">
        <f>data!$E$51&amp;" "&amp;data!$B$51</f>
      </c>
      <c r="J6" s="18"/>
      <c r="K6" s="18"/>
      <c r="L6" s="18"/>
      <c r="M6" s="18"/>
      <c r="N6" s="18"/>
      <c r="O6" s="14" t="str">
        <f>data!$E$50&amp;" "&amp;data!$B$50</f>
      </c>
    </row>
    <row r="7">
      <c r="A7" s="14" t="str">
        <f>data!$E$6&amp;" "&amp;data!$B$6</f>
      </c>
      <c r="B7" s="18"/>
      <c r="C7" s="18"/>
      <c r="D7" s="18"/>
      <c r="E7" s="18"/>
      <c r="F7" s="18"/>
      <c r="G7" s="14" t="str">
        <f>data!$E$3&amp;" "&amp;data!$B$3</f>
      </c>
    </row>
    <row r="9">
      <c r="A9" s="13" t="s">
        <v>333</v>
      </c>
      <c r="B9" s="13" t="s">
        <v>334</v>
      </c>
      <c r="C9" s="13" t="s">
        <v>335</v>
      </c>
      <c r="D9" s="13" t="s">
        <v>336</v>
      </c>
      <c r="E9" s="13" t="s">
        <v>337</v>
      </c>
      <c r="F9" s="13" t="s">
        <v>338</v>
      </c>
      <c r="G9" s="13" t="s">
        <v>339</v>
      </c>
      <c r="I9" s="13" t="s">
        <v>333</v>
      </c>
      <c r="J9" s="13" t="s">
        <v>334</v>
      </c>
      <c r="K9" s="13" t="s">
        <v>335</v>
      </c>
      <c r="L9" s="13" t="s">
        <v>336</v>
      </c>
      <c r="M9" s="13" t="s">
        <v>337</v>
      </c>
      <c r="N9" s="13" t="s">
        <v>338</v>
      </c>
      <c r="O9" s="13" t="s">
        <v>339</v>
      </c>
    </row>
    <row r="10">
      <c r="A10" s="14" t="str">
        <f>data!$E$3&amp;" "&amp;data!$B$3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data!$E$49&amp;" "&amp;data!$B$49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data!$E$4&amp;" "&amp;data!$B$4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data!$E$50&amp;" "&amp;data!$B$50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data!$E$5&amp;" "&amp;data!$B$5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data!$E$51&amp;" "&amp;data!$B$51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data!$E$6&amp;" "&amp;data!$B$6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340</v>
      </c>
    </row>
    <row r="16">
      <c r="F16" s="13"/>
      <c r="G16" s="13" t="s">
        <v>340</v>
      </c>
      <c r="N16" t="s">
        <v>341</v>
      </c>
      <c r="O16" s="19" t="str">
        <f>IFERROR(INDEX($I$10:$I$12, MATCH(1, $O$10:$O$12, 0)), "-")</f>
      </c>
    </row>
    <row r="17">
      <c r="F17" t="s">
        <v>341</v>
      </c>
      <c r="G17" s="19" t="str">
        <f>IFERROR(INDEX($A$10:$A$13, MATCH(1, $G$10:$G$13, 0)), "-")</f>
      </c>
      <c r="N17" t="s">
        <v>342</v>
      </c>
      <c r="O17" s="19" t="str">
        <f>IFERROR(INDEX($I$10:$I$12, MATCH(2, $O$10:$O$12, 0)), "-")</f>
      </c>
    </row>
    <row r="18">
      <c r="F18" t="s">
        <v>342</v>
      </c>
      <c r="G18" s="19" t="str">
        <f>IFERROR(INDEX($A$10:$A$13, MATCH(2, $G$10:$G$13, 0)), "-")</f>
      </c>
      <c r="N18" t="s">
        <v>343</v>
      </c>
      <c r="O18" s="19" t="str">
        <f>IFERROR(INDEX($I$10:$I$12, MATCH(3, $O$10:$O$12, 0)), "-")</f>
      </c>
    </row>
    <row r="19">
      <c r="F19" t="s">
        <v>343</v>
      </c>
      <c r="G19" s="19" t="str">
        <f>IFERROR(INDEX($A$10:$A$13, MATCH(3, $G$10:$G$13, 0)), "-")</f>
      </c>
    </row>
    <row r="20">
      <c r="F20" t="s">
        <v>344</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330</v>
      </c>
      <c r="D23" s="14" t="s">
        <v>331</v>
      </c>
      <c r="G23" s="16" t="s">
        <v>332</v>
      </c>
      <c r="I23" s="17" t="s">
        <v>330</v>
      </c>
      <c r="L23" s="14" t="s">
        <v>331</v>
      </c>
      <c r="O23" s="16" t="s">
        <v>332</v>
      </c>
    </row>
    <row r="24">
      <c r="A24" s="14" t="str">
        <f>data!$E$8&amp;" "&amp;data!$B$8</f>
      </c>
      <c r="B24" s="18"/>
      <c r="C24" s="18"/>
      <c r="D24" s="18"/>
      <c r="E24" s="18"/>
      <c r="F24" s="18"/>
      <c r="G24" s="14" t="str">
        <f>data!$E$7&amp;" "&amp;data!$B$7</f>
      </c>
      <c r="I24" s="14" t="str">
        <f>data!$E$53&amp;" "&amp;data!$B$53</f>
      </c>
      <c r="J24" s="18"/>
      <c r="K24" s="18"/>
      <c r="L24" s="18"/>
      <c r="M24" s="18"/>
      <c r="N24" s="18"/>
      <c r="O24" s="14" t="str">
        <f>data!$E$52&amp;" "&amp;data!$B$52</f>
      </c>
    </row>
    <row r="25">
      <c r="A25" s="14" t="str">
        <f>data!$E$9&amp;" "&amp;data!$B$9</f>
      </c>
      <c r="B25" s="18"/>
      <c r="C25" s="18"/>
      <c r="D25" s="18"/>
      <c r="E25" s="18"/>
      <c r="F25" s="18"/>
      <c r="G25" s="14" t="str">
        <f>data!$E$7&amp;" "&amp;data!$B$7</f>
      </c>
      <c r="I25" s="14" t="str">
        <f>data!$E$54&amp;" "&amp;data!$B$54</f>
      </c>
      <c r="J25" s="18"/>
      <c r="K25" s="18"/>
      <c r="L25" s="18"/>
      <c r="M25" s="18"/>
      <c r="N25" s="18"/>
      <c r="O25" s="14" t="str">
        <f>data!$E$52&amp;" "&amp;data!$B$52</f>
      </c>
    </row>
    <row r="26">
      <c r="A26" s="14" t="str">
        <f>data!$E$9&amp;" "&amp;data!$B$9</f>
      </c>
      <c r="B26" s="18"/>
      <c r="C26" s="18"/>
      <c r="D26" s="18"/>
      <c r="E26" s="18"/>
      <c r="F26" s="18"/>
      <c r="G26" s="14" t="str">
        <f>data!$E$8&amp;" "&amp;data!$B$8</f>
      </c>
      <c r="I26" s="14" t="str">
        <f>data!$E$54&amp;" "&amp;data!$B$54</f>
      </c>
      <c r="J26" s="18"/>
      <c r="K26" s="18"/>
      <c r="L26" s="18"/>
      <c r="M26" s="18"/>
      <c r="N26" s="18"/>
      <c r="O26" s="14" t="str">
        <f>data!$E$53&amp;" "&amp;data!$B$53</f>
      </c>
    </row>
    <row r="28">
      <c r="A28" s="13" t="s">
        <v>333</v>
      </c>
      <c r="B28" s="13" t="s">
        <v>334</v>
      </c>
      <c r="C28" s="13" t="s">
        <v>335</v>
      </c>
      <c r="D28" s="13" t="s">
        <v>336</v>
      </c>
      <c r="E28" s="13" t="s">
        <v>337</v>
      </c>
      <c r="F28" s="13" t="s">
        <v>338</v>
      </c>
      <c r="G28" s="13" t="s">
        <v>339</v>
      </c>
      <c r="I28" s="13" t="s">
        <v>333</v>
      </c>
      <c r="J28" s="13" t="s">
        <v>334</v>
      </c>
      <c r="K28" s="13" t="s">
        <v>335</v>
      </c>
      <c r="L28" s="13" t="s">
        <v>336</v>
      </c>
      <c r="M28" s="13" t="s">
        <v>337</v>
      </c>
      <c r="N28" s="13" t="s">
        <v>338</v>
      </c>
      <c r="O28" s="13" t="s">
        <v>339</v>
      </c>
    </row>
    <row r="29">
      <c r="A29" s="14" t="str">
        <f>data!$E$7&amp;" "&amp;data!$B$7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data!$E$52&amp;" "&amp;data!$B$52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data!$E$8&amp;" "&amp;data!$B$8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data!$E$53&amp;" "&amp;data!$B$53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data!$E$9&amp;" "&amp;data!$B$9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data!$E$54&amp;" "&amp;data!$B$54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340</v>
      </c>
      <c r="N34" s="13"/>
      <c r="O34" s="13" t="s">
        <v>340</v>
      </c>
    </row>
    <row r="35">
      <c r="F35" t="s">
        <v>341</v>
      </c>
      <c r="G35" s="19" t="str">
        <f>IFERROR(INDEX($A$29:$A$31, MATCH(1, $G$29:$G$31, 0)), "-")</f>
      </c>
      <c r="N35" t="s">
        <v>341</v>
      </c>
      <c r="O35" s="19" t="str">
        <f>IFERROR(INDEX($I$29:$I$31, MATCH(1, $O$29:$O$31, 0)), "-")</f>
      </c>
    </row>
    <row r="36">
      <c r="F36" t="s">
        <v>342</v>
      </c>
      <c r="G36" s="19" t="str">
        <f>IFERROR(INDEX($A$29:$A$31, MATCH(2, $G$29:$G$31, 0)), "-")</f>
      </c>
      <c r="N36" t="s">
        <v>342</v>
      </c>
      <c r="O36" s="19" t="str">
        <f>IFERROR(INDEX($I$29:$I$31, MATCH(2, $O$29:$O$31, 0)), "-")</f>
      </c>
    </row>
    <row r="37">
      <c r="F37" t="s">
        <v>343</v>
      </c>
      <c r="G37" s="19" t="str">
        <f>IFERROR(INDEX($A$29:$A$31, MATCH(3, $G$29:$G$31, 0)), "-")</f>
      </c>
      <c r="N37" t="s">
        <v>343</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330</v>
      </c>
      <c r="D40" s="14" t="s">
        <v>331</v>
      </c>
      <c r="G40" s="16" t="s">
        <v>332</v>
      </c>
      <c r="I40" s="17" t="s">
        <v>330</v>
      </c>
      <c r="L40" s="14" t="s">
        <v>331</v>
      </c>
      <c r="O40" s="16" t="s">
        <v>332</v>
      </c>
    </row>
    <row r="41">
      <c r="A41" s="14" t="str">
        <f>data!$E$11&amp;" "&amp;data!$B$11</f>
      </c>
      <c r="B41" s="18"/>
      <c r="C41" s="18"/>
      <c r="D41" s="18"/>
      <c r="E41" s="18"/>
      <c r="F41" s="18"/>
      <c r="G41" s="14" t="str">
        <f>data!$E$10&amp;" "&amp;data!$B$10</f>
      </c>
      <c r="I41" s="14" t="str">
        <f>data!$E$56&amp;" "&amp;data!$B$56</f>
      </c>
      <c r="J41" s="18"/>
      <c r="K41" s="18"/>
      <c r="L41" s="18"/>
      <c r="M41" s="18"/>
      <c r="N41" s="18"/>
      <c r="O41" s="14" t="str">
        <f>data!$E$55&amp;" "&amp;data!$B$55</f>
      </c>
    </row>
    <row r="42">
      <c r="A42" s="14" t="str">
        <f>data!$E$12&amp;" "&amp;data!$B$12</f>
      </c>
      <c r="B42" s="18"/>
      <c r="C42" s="18"/>
      <c r="D42" s="18"/>
      <c r="E42" s="18"/>
      <c r="F42" s="18"/>
      <c r="G42" s="14" t="str">
        <f>data!$E$10&amp;" "&amp;data!$B$10</f>
      </c>
      <c r="I42" s="14" t="str">
        <f>data!$E$57&amp;" "&amp;data!$B$57</f>
      </c>
      <c r="J42" s="18"/>
      <c r="K42" s="18"/>
      <c r="L42" s="18"/>
      <c r="M42" s="18"/>
      <c r="N42" s="18"/>
      <c r="O42" s="14" t="str">
        <f>data!$E$55&amp;" "&amp;data!$B$55</f>
      </c>
    </row>
    <row r="43">
      <c r="A43" s="14" t="str">
        <f>data!$E$12&amp;" "&amp;data!$B$12</f>
      </c>
      <c r="B43" s="18"/>
      <c r="C43" s="18"/>
      <c r="D43" s="18"/>
      <c r="E43" s="18"/>
      <c r="F43" s="18"/>
      <c r="G43" s="14" t="str">
        <f>data!$E$11&amp;" "&amp;data!$B$11</f>
      </c>
      <c r="I43" s="14" t="str">
        <f>data!$E$57&amp;" "&amp;data!$B$57</f>
      </c>
      <c r="J43" s="18"/>
      <c r="K43" s="18"/>
      <c r="L43" s="18"/>
      <c r="M43" s="18"/>
      <c r="N43" s="18"/>
      <c r="O43" s="14" t="str">
        <f>data!$E$56&amp;" "&amp;data!$B$56</f>
      </c>
    </row>
    <row r="45">
      <c r="A45" s="13" t="s">
        <v>333</v>
      </c>
      <c r="B45" s="13" t="s">
        <v>334</v>
      </c>
      <c r="C45" s="13" t="s">
        <v>335</v>
      </c>
      <c r="D45" s="13" t="s">
        <v>336</v>
      </c>
      <c r="E45" s="13" t="s">
        <v>337</v>
      </c>
      <c r="F45" s="13" t="s">
        <v>338</v>
      </c>
      <c r="G45" s="13" t="s">
        <v>339</v>
      </c>
      <c r="I45" s="13" t="s">
        <v>333</v>
      </c>
      <c r="J45" s="13" t="s">
        <v>334</v>
      </c>
      <c r="K45" s="13" t="s">
        <v>335</v>
      </c>
      <c r="L45" s="13" t="s">
        <v>336</v>
      </c>
      <c r="M45" s="13" t="s">
        <v>337</v>
      </c>
      <c r="N45" s="13" t="s">
        <v>338</v>
      </c>
      <c r="O45" s="13" t="s">
        <v>339</v>
      </c>
    </row>
    <row r="46">
      <c r="A46" s="14" t="str">
        <f>data!$E$10&amp;" "&amp;data!$B$10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data!$E$55&amp;" "&amp;data!$B$55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data!$E$11&amp;" "&amp;data!$B$11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data!$E$56&amp;" "&amp;data!$B$56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data!$E$12&amp;" "&amp;data!$B$12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data!$E$57&amp;" "&amp;data!$B$57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340</v>
      </c>
      <c r="N51" s="13"/>
      <c r="O51" s="13" t="s">
        <v>340</v>
      </c>
    </row>
    <row r="52">
      <c r="F52" t="s">
        <v>341</v>
      </c>
      <c r="G52" s="19" t="str">
        <f>IFERROR(INDEX($A$46:$A$48, MATCH(1, $G$46:$G$48, 0)), "-")</f>
      </c>
      <c r="N52" t="s">
        <v>341</v>
      </c>
      <c r="O52" s="19" t="str">
        <f>IFERROR(INDEX($I$46:$I$48, MATCH(1, $O$46:$O$48, 0)), "-")</f>
      </c>
    </row>
    <row r="53">
      <c r="F53" t="s">
        <v>342</v>
      </c>
      <c r="G53" s="19" t="str">
        <f>IFERROR(INDEX($A$46:$A$48, MATCH(2, $G$46:$G$48, 0)), "-")</f>
      </c>
      <c r="N53" t="s">
        <v>342</v>
      </c>
      <c r="O53" s="19" t="str">
        <f>IFERROR(INDEX($I$46:$I$48, MATCH(2, $O$46:$O$48, 0)), "-")</f>
      </c>
    </row>
    <row r="54">
      <c r="F54" t="s">
        <v>343</v>
      </c>
      <c r="G54" s="19" t="str">
        <f>IFERROR(INDEX($A$46:$A$48, MATCH(3, $G$46:$G$48, 0)), "-")</f>
      </c>
      <c r="N54" t="s">
        <v>343</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330</v>
      </c>
      <c r="D57" s="14" t="s">
        <v>331</v>
      </c>
      <c r="G57" s="16" t="s">
        <v>332</v>
      </c>
      <c r="I57" s="17" t="s">
        <v>330</v>
      </c>
      <c r="L57" s="14" t="s">
        <v>331</v>
      </c>
      <c r="O57" s="16" t="s">
        <v>332</v>
      </c>
    </row>
    <row r="58">
      <c r="A58" s="14" t="str">
        <f>data!$E$14&amp;" "&amp;data!$B$14</f>
      </c>
      <c r="B58" s="18"/>
      <c r="C58" s="18"/>
      <c r="D58" s="18"/>
      <c r="E58" s="18"/>
      <c r="F58" s="18"/>
      <c r="G58" s="14" t="str">
        <f>data!$E$13&amp;" "&amp;data!$B$13</f>
      </c>
      <c r="I58" s="14" t="str">
        <f>data!$E$59&amp;" "&amp;data!$B$59</f>
      </c>
      <c r="J58" s="18"/>
      <c r="K58" s="18"/>
      <c r="L58" s="18"/>
      <c r="M58" s="18"/>
      <c r="N58" s="18"/>
      <c r="O58" s="14" t="str">
        <f>data!$E$58&amp;" "&amp;data!$B$58</f>
      </c>
    </row>
    <row r="59">
      <c r="A59" s="14" t="str">
        <f>data!$E$15&amp;" "&amp;data!$B$15</f>
      </c>
      <c r="B59" s="18"/>
      <c r="C59" s="18"/>
      <c r="D59" s="18"/>
      <c r="E59" s="18"/>
      <c r="F59" s="18"/>
      <c r="G59" s="14" t="str">
        <f>data!$E$13&amp;" "&amp;data!$B$13</f>
      </c>
      <c r="I59" s="14" t="str">
        <f>data!$E$60&amp;" "&amp;data!$B$60</f>
      </c>
      <c r="J59" s="18"/>
      <c r="K59" s="18"/>
      <c r="L59" s="18"/>
      <c r="M59" s="18"/>
      <c r="N59" s="18"/>
      <c r="O59" s="14" t="str">
        <f>data!$E$58&amp;" "&amp;data!$B$58</f>
      </c>
    </row>
    <row r="60">
      <c r="A60" s="14" t="str">
        <f>data!$E$15&amp;" "&amp;data!$B$15</f>
      </c>
      <c r="B60" s="18"/>
      <c r="C60" s="18"/>
      <c r="D60" s="18"/>
      <c r="E60" s="18"/>
      <c r="F60" s="18"/>
      <c r="G60" s="14" t="str">
        <f>data!$E$14&amp;" "&amp;data!$B$14</f>
      </c>
      <c r="I60" s="14" t="str">
        <f>data!$E$60&amp;" "&amp;data!$B$60</f>
      </c>
      <c r="J60" s="18"/>
      <c r="K60" s="18"/>
      <c r="L60" s="18"/>
      <c r="M60" s="18"/>
      <c r="N60" s="18"/>
      <c r="O60" s="14" t="str">
        <f>data!$E$59&amp;" "&amp;data!$B$59</f>
      </c>
    </row>
    <row r="62">
      <c r="A62" s="13" t="s">
        <v>333</v>
      </c>
      <c r="B62" s="13" t="s">
        <v>334</v>
      </c>
      <c r="C62" s="13" t="s">
        <v>335</v>
      </c>
      <c r="D62" s="13" t="s">
        <v>336</v>
      </c>
      <c r="E62" s="13" t="s">
        <v>337</v>
      </c>
      <c r="F62" s="13" t="s">
        <v>338</v>
      </c>
      <c r="G62" s="13" t="s">
        <v>339</v>
      </c>
      <c r="I62" s="13" t="s">
        <v>333</v>
      </c>
      <c r="J62" s="13" t="s">
        <v>334</v>
      </c>
      <c r="K62" s="13" t="s">
        <v>335</v>
      </c>
      <c r="L62" s="13" t="s">
        <v>336</v>
      </c>
      <c r="M62" s="13" t="s">
        <v>337</v>
      </c>
      <c r="N62" s="13" t="s">
        <v>338</v>
      </c>
      <c r="O62" s="13" t="s">
        <v>339</v>
      </c>
    </row>
    <row r="63">
      <c r="A63" s="14" t="str">
        <f>data!$E$13&amp;" "&amp;data!$B$13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data!$E$58&amp;" "&amp;data!$B$58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data!$E$14&amp;" "&amp;data!$B$14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data!$E$59&amp;" "&amp;data!$B$59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data!$E$15&amp;" "&amp;data!$B$15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data!$E$60&amp;" "&amp;data!$B$60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340</v>
      </c>
      <c r="N68" s="13"/>
      <c r="O68" s="13" t="s">
        <v>340</v>
      </c>
    </row>
    <row r="69">
      <c r="F69" t="s">
        <v>341</v>
      </c>
      <c r="G69" s="19" t="str">
        <f>IFERROR(INDEX($A$63:$A$65, MATCH(1, $G$63:$G$65, 0)), "-")</f>
      </c>
      <c r="N69" t="s">
        <v>341</v>
      </c>
      <c r="O69" s="19" t="str">
        <f>IFERROR(INDEX($I$63:$I$65, MATCH(1, $O$63:$O$65, 0)), "-")</f>
      </c>
    </row>
    <row r="70">
      <c r="F70" t="s">
        <v>342</v>
      </c>
      <c r="G70" s="19" t="str">
        <f>IFERROR(INDEX($A$63:$A$65, MATCH(2, $G$63:$G$65, 0)), "-")</f>
      </c>
      <c r="N70" t="s">
        <v>342</v>
      </c>
      <c r="O70" s="19" t="str">
        <f>IFERROR(INDEX($I$63:$I$65, MATCH(2, $O$63:$O$65, 0)), "-")</f>
      </c>
    </row>
    <row r="71">
      <c r="F71" t="s">
        <v>343</v>
      </c>
      <c r="G71" s="19" t="str">
        <f>IFERROR(INDEX($A$63:$A$65, MATCH(3, $G$63:$G$65, 0)), "-")</f>
      </c>
      <c r="N71" t="s">
        <v>343</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330</v>
      </c>
      <c r="D74" s="14" t="s">
        <v>331</v>
      </c>
      <c r="G74" s="16" t="s">
        <v>332</v>
      </c>
      <c r="I74" s="17" t="s">
        <v>330</v>
      </c>
      <c r="L74" s="14" t="s">
        <v>331</v>
      </c>
      <c r="O74" s="16" t="s">
        <v>332</v>
      </c>
    </row>
    <row r="75">
      <c r="A75" s="14" t="str">
        <f>data!$E$17&amp;" "&amp;data!$B$17</f>
      </c>
      <c r="B75" s="18"/>
      <c r="C75" s="18"/>
      <c r="D75" s="18"/>
      <c r="E75" s="18"/>
      <c r="F75" s="18"/>
      <c r="G75" s="14" t="str">
        <f>data!$E$16&amp;" "&amp;data!$B$16</f>
      </c>
      <c r="I75" s="14" t="str">
        <f>data!$E$62&amp;" "&amp;data!$B$62</f>
      </c>
      <c r="J75" s="18"/>
      <c r="K75" s="18"/>
      <c r="L75" s="18"/>
      <c r="M75" s="18"/>
      <c r="N75" s="18"/>
      <c r="O75" s="14" t="str">
        <f>data!$E$61&amp;" "&amp;data!$B$61</f>
      </c>
    </row>
    <row r="76">
      <c r="A76" s="14" t="str">
        <f>data!$E$18&amp;" "&amp;data!$B$18</f>
      </c>
      <c r="B76" s="18"/>
      <c r="C76" s="18"/>
      <c r="D76" s="18"/>
      <c r="E76" s="18"/>
      <c r="F76" s="18"/>
      <c r="G76" s="14" t="str">
        <f>data!$E$16&amp;" "&amp;data!$B$16</f>
      </c>
      <c r="I76" s="14" t="str">
        <f>data!$E$63&amp;" "&amp;data!$B$63</f>
      </c>
      <c r="J76" s="18"/>
      <c r="K76" s="18"/>
      <c r="L76" s="18"/>
      <c r="M76" s="18"/>
      <c r="N76" s="18"/>
      <c r="O76" s="14" t="str">
        <f>data!$E$61&amp;" "&amp;data!$B$61</f>
      </c>
    </row>
    <row r="77">
      <c r="A77" s="14" t="str">
        <f>data!$E$18&amp;" "&amp;data!$B$18</f>
      </c>
      <c r="B77" s="18"/>
      <c r="C77" s="18"/>
      <c r="D77" s="18"/>
      <c r="E77" s="18"/>
      <c r="F77" s="18"/>
      <c r="G77" s="14" t="str">
        <f>data!$E$17&amp;" "&amp;data!$B$17</f>
      </c>
      <c r="I77" s="14" t="str">
        <f>data!$E$63&amp;" "&amp;data!$B$63</f>
      </c>
      <c r="J77" s="18"/>
      <c r="K77" s="18"/>
      <c r="L77" s="18"/>
      <c r="M77" s="18"/>
      <c r="N77" s="18"/>
      <c r="O77" s="14" t="str">
        <f>data!$E$62&amp;" "&amp;data!$B$62</f>
      </c>
    </row>
    <row r="79">
      <c r="A79" s="13" t="s">
        <v>333</v>
      </c>
      <c r="B79" s="13" t="s">
        <v>334</v>
      </c>
      <c r="C79" s="13" t="s">
        <v>335</v>
      </c>
      <c r="D79" s="13" t="s">
        <v>336</v>
      </c>
      <c r="E79" s="13" t="s">
        <v>337</v>
      </c>
      <c r="F79" s="13" t="s">
        <v>338</v>
      </c>
      <c r="G79" s="13" t="s">
        <v>339</v>
      </c>
      <c r="I79" s="13" t="s">
        <v>333</v>
      </c>
      <c r="J79" s="13" t="s">
        <v>334</v>
      </c>
      <c r="K79" s="13" t="s">
        <v>335</v>
      </c>
      <c r="L79" s="13" t="s">
        <v>336</v>
      </c>
      <c r="M79" s="13" t="s">
        <v>337</v>
      </c>
      <c r="N79" s="13" t="s">
        <v>338</v>
      </c>
      <c r="O79" s="13" t="s">
        <v>339</v>
      </c>
    </row>
    <row r="80">
      <c r="A80" s="14" t="str">
        <f>data!$E$16&amp;" "&amp;data!$B$16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data!$E$61&amp;" "&amp;data!$B$61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data!$E$17&amp;" "&amp;data!$B$17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data!$E$62&amp;" "&amp;data!$B$62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data!$E$18&amp;" "&amp;data!$B$18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data!$E$63&amp;" "&amp;data!$B$63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340</v>
      </c>
      <c r="N85" s="13"/>
      <c r="O85" s="13" t="s">
        <v>340</v>
      </c>
    </row>
    <row r="86">
      <c r="F86" t="s">
        <v>341</v>
      </c>
      <c r="G86" s="19" t="str">
        <f>IFERROR(INDEX($A$80:$A$82, MATCH(1, $G$80:$G$82, 0)), "-")</f>
      </c>
      <c r="N86" t="s">
        <v>341</v>
      </c>
      <c r="O86" s="19" t="str">
        <f>IFERROR(INDEX($I$80:$I$82, MATCH(1, $O$80:$O$82, 0)), "-")</f>
      </c>
    </row>
    <row r="87">
      <c r="F87" t="s">
        <v>342</v>
      </c>
      <c r="G87" s="19" t="str">
        <f>IFERROR(INDEX($A$80:$A$82, MATCH(2, $G$80:$G$82, 0)), "-")</f>
      </c>
      <c r="N87" t="s">
        <v>342</v>
      </c>
      <c r="O87" s="19" t="str">
        <f>IFERROR(INDEX($I$80:$I$82, MATCH(2, $O$80:$O$82, 0)), "-")</f>
      </c>
    </row>
    <row r="88">
      <c r="F88" t="s">
        <v>343</v>
      </c>
      <c r="G88" s="19" t="str">
        <f>IFERROR(INDEX($A$80:$A$82, MATCH(3, $G$80:$G$82, 0)), "-")</f>
      </c>
      <c r="N88" t="s">
        <v>343</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330</v>
      </c>
      <c r="D91" s="14" t="s">
        <v>331</v>
      </c>
      <c r="G91" s="16" t="s">
        <v>332</v>
      </c>
      <c r="I91" s="17" t="s">
        <v>330</v>
      </c>
      <c r="L91" s="14" t="s">
        <v>331</v>
      </c>
      <c r="O91" s="16" t="s">
        <v>332</v>
      </c>
    </row>
    <row r="92">
      <c r="A92" s="14" t="str">
        <f>data!$E$20&amp;" "&amp;data!$B$20</f>
      </c>
      <c r="B92" s="18"/>
      <c r="C92" s="18"/>
      <c r="D92" s="18"/>
      <c r="E92" s="18"/>
      <c r="F92" s="18"/>
      <c r="G92" s="14" t="str">
        <f>data!$E$19&amp;" "&amp;data!$B$19</f>
      </c>
      <c r="I92" s="14" t="str">
        <f>data!$E$65&amp;" "&amp;data!$B$65</f>
      </c>
      <c r="J92" s="18"/>
      <c r="K92" s="18"/>
      <c r="L92" s="18"/>
      <c r="M92" s="18"/>
      <c r="N92" s="18"/>
      <c r="O92" s="14" t="str">
        <f>data!$E$64&amp;" "&amp;data!$B$64</f>
      </c>
    </row>
    <row r="93">
      <c r="A93" s="14" t="str">
        <f>data!$E$21&amp;" "&amp;data!$B$21</f>
      </c>
      <c r="B93" s="18"/>
      <c r="C93" s="18"/>
      <c r="D93" s="18"/>
      <c r="E93" s="18"/>
      <c r="F93" s="18"/>
      <c r="G93" s="14" t="str">
        <f>data!$E$19&amp;" "&amp;data!$B$19</f>
      </c>
      <c r="I93" s="14" t="str">
        <f>data!$E$66&amp;" "&amp;data!$B$66</f>
      </c>
      <c r="J93" s="18"/>
      <c r="K93" s="18"/>
      <c r="L93" s="18"/>
      <c r="M93" s="18"/>
      <c r="N93" s="18"/>
      <c r="O93" s="14" t="str">
        <f>data!$E$64&amp;" "&amp;data!$B$64</f>
      </c>
    </row>
    <row r="94">
      <c r="A94" s="14" t="str">
        <f>data!$E$21&amp;" "&amp;data!$B$21</f>
      </c>
      <c r="B94" s="18"/>
      <c r="C94" s="18"/>
      <c r="D94" s="18"/>
      <c r="E94" s="18"/>
      <c r="F94" s="18"/>
      <c r="G94" s="14" t="str">
        <f>data!$E$20&amp;" "&amp;data!$B$20</f>
      </c>
      <c r="I94" s="14" t="str">
        <f>data!$E$66&amp;" "&amp;data!$B$66</f>
      </c>
      <c r="J94" s="18"/>
      <c r="K94" s="18"/>
      <c r="L94" s="18"/>
      <c r="M94" s="18"/>
      <c r="N94" s="18"/>
      <c r="O94" s="14" t="str">
        <f>data!$E$65&amp;" "&amp;data!$B$65</f>
      </c>
    </row>
    <row r="96">
      <c r="A96" s="13" t="s">
        <v>333</v>
      </c>
      <c r="B96" s="13" t="s">
        <v>334</v>
      </c>
      <c r="C96" s="13" t="s">
        <v>335</v>
      </c>
      <c r="D96" s="13" t="s">
        <v>336</v>
      </c>
      <c r="E96" s="13" t="s">
        <v>337</v>
      </c>
      <c r="F96" s="13" t="s">
        <v>338</v>
      </c>
      <c r="G96" s="13" t="s">
        <v>339</v>
      </c>
      <c r="I96" s="13" t="s">
        <v>333</v>
      </c>
      <c r="J96" s="13" t="s">
        <v>334</v>
      </c>
      <c r="K96" s="13" t="s">
        <v>335</v>
      </c>
      <c r="L96" s="13" t="s">
        <v>336</v>
      </c>
      <c r="M96" s="13" t="s">
        <v>337</v>
      </c>
      <c r="N96" s="13" t="s">
        <v>338</v>
      </c>
      <c r="O96" s="13" t="s">
        <v>339</v>
      </c>
    </row>
    <row r="97">
      <c r="A97" s="14" t="str">
        <f>data!$E$19&amp;" "&amp;data!$B$19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data!$E$64&amp;" "&amp;data!$B$64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data!$E$20&amp;" "&amp;data!$B$20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data!$E$65&amp;" "&amp;data!$B$65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data!$E$21&amp;" "&amp;data!$B$21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data!$E$66&amp;" "&amp;data!$B$66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340</v>
      </c>
      <c r="N102" s="13"/>
      <c r="O102" s="13" t="s">
        <v>340</v>
      </c>
    </row>
    <row r="103">
      <c r="F103" t="s">
        <v>341</v>
      </c>
      <c r="G103" s="19" t="str">
        <f>IFERROR(INDEX($A$97:$A$99, MATCH(1, $G$97:$G$99, 0)), "-")</f>
      </c>
      <c r="N103" t="s">
        <v>341</v>
      </c>
      <c r="O103" s="19" t="str">
        <f>IFERROR(INDEX($I$97:$I$99, MATCH(1, $O$97:$O$99, 0)), "-")</f>
      </c>
    </row>
    <row r="104">
      <c r="F104" t="s">
        <v>342</v>
      </c>
      <c r="G104" s="19" t="str">
        <f>IFERROR(INDEX($A$97:$A$99, MATCH(2, $G$97:$G$99, 0)), "-")</f>
      </c>
      <c r="N104" t="s">
        <v>342</v>
      </c>
      <c r="O104" s="19" t="str">
        <f>IFERROR(INDEX($I$97:$I$99, MATCH(2, $O$97:$O$99, 0)), "-")</f>
      </c>
    </row>
    <row r="105">
      <c r="F105" t="s">
        <v>343</v>
      </c>
      <c r="G105" s="19" t="str">
        <f>IFERROR(INDEX($A$97:$A$99, MATCH(3, $G$97:$G$99, 0)), "-")</f>
      </c>
      <c r="N105" t="s">
        <v>343</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330</v>
      </c>
      <c r="D108" s="14" t="s">
        <v>331</v>
      </c>
      <c r="G108" s="16" t="s">
        <v>332</v>
      </c>
      <c r="I108" s="17" t="s">
        <v>330</v>
      </c>
      <c r="L108" s="14" t="s">
        <v>331</v>
      </c>
      <c r="O108" s="16" t="s">
        <v>332</v>
      </c>
    </row>
    <row r="109">
      <c r="A109" s="14" t="str">
        <f>data!$E$23&amp;" "&amp;data!$B$23</f>
      </c>
      <c r="B109" s="18"/>
      <c r="C109" s="18"/>
      <c r="D109" s="18"/>
      <c r="E109" s="18"/>
      <c r="F109" s="18"/>
      <c r="G109" s="14" t="str">
        <f>data!$E$22&amp;" "&amp;data!$B$22</f>
      </c>
      <c r="I109" s="14" t="str">
        <f>data!$E$68&amp;" "&amp;data!$B$68</f>
      </c>
      <c r="J109" s="18"/>
      <c r="K109" s="18"/>
      <c r="L109" s="18"/>
      <c r="M109" s="18"/>
      <c r="N109" s="18"/>
      <c r="O109" s="14" t="str">
        <f>data!$E$67&amp;" "&amp;data!$B$67</f>
      </c>
    </row>
    <row r="110">
      <c r="A110" s="14" t="str">
        <f>data!$E$24&amp;" "&amp;data!$B$24</f>
      </c>
      <c r="B110" s="18"/>
      <c r="C110" s="18"/>
      <c r="D110" s="18"/>
      <c r="E110" s="18"/>
      <c r="F110" s="18"/>
      <c r="G110" s="14" t="str">
        <f>data!$E$22&amp;" "&amp;data!$B$22</f>
      </c>
      <c r="I110" s="14" t="str">
        <f>data!$E$69&amp;" "&amp;data!$B$69</f>
      </c>
      <c r="J110" s="18"/>
      <c r="K110" s="18"/>
      <c r="L110" s="18"/>
      <c r="M110" s="18"/>
      <c r="N110" s="18"/>
      <c r="O110" s="14" t="str">
        <f>data!$E$67&amp;" "&amp;data!$B$67</f>
      </c>
    </row>
    <row r="111">
      <c r="A111" s="14" t="str">
        <f>data!$E$24&amp;" "&amp;data!$B$24</f>
      </c>
      <c r="B111" s="18"/>
      <c r="C111" s="18"/>
      <c r="D111" s="18"/>
      <c r="E111" s="18"/>
      <c r="F111" s="18"/>
      <c r="G111" s="14" t="str">
        <f>data!$E$23&amp;" "&amp;data!$B$23</f>
      </c>
      <c r="I111" s="14" t="str">
        <f>data!$E$69&amp;" "&amp;data!$B$69</f>
      </c>
      <c r="J111" s="18"/>
      <c r="K111" s="18"/>
      <c r="L111" s="18"/>
      <c r="M111" s="18"/>
      <c r="N111" s="18"/>
      <c r="O111" s="14" t="str">
        <f>data!$E$68&amp;" "&amp;data!$B$68</f>
      </c>
    </row>
    <row r="113">
      <c r="A113" s="13" t="s">
        <v>333</v>
      </c>
      <c r="B113" s="13" t="s">
        <v>334</v>
      </c>
      <c r="C113" s="13" t="s">
        <v>335</v>
      </c>
      <c r="D113" s="13" t="s">
        <v>336</v>
      </c>
      <c r="E113" s="13" t="s">
        <v>337</v>
      </c>
      <c r="F113" s="13" t="s">
        <v>338</v>
      </c>
      <c r="G113" s="13" t="s">
        <v>339</v>
      </c>
      <c r="I113" s="13" t="s">
        <v>333</v>
      </c>
      <c r="J113" s="13" t="s">
        <v>334</v>
      </c>
      <c r="K113" s="13" t="s">
        <v>335</v>
      </c>
      <c r="L113" s="13" t="s">
        <v>336</v>
      </c>
      <c r="M113" s="13" t="s">
        <v>337</v>
      </c>
      <c r="N113" s="13" t="s">
        <v>338</v>
      </c>
      <c r="O113" s="13" t="s">
        <v>339</v>
      </c>
    </row>
    <row r="114">
      <c r="A114" s="14" t="str">
        <f>data!$E$22&amp;" "&amp;data!$B$22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data!$E$67&amp;" "&amp;data!$B$67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data!$E$23&amp;" "&amp;data!$B$23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data!$E$68&amp;" "&amp;data!$B$68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data!$E$24&amp;" "&amp;data!$B$24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data!$E$69&amp;" "&amp;data!$B$69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340</v>
      </c>
      <c r="N119" s="13"/>
      <c r="O119" s="13" t="s">
        <v>340</v>
      </c>
    </row>
    <row r="120">
      <c r="F120" t="s">
        <v>341</v>
      </c>
      <c r="G120" s="19" t="str">
        <f>IFERROR(INDEX($A$114:$A$116, MATCH(1, $G$114:$G$116, 0)), "-")</f>
      </c>
      <c r="N120" t="s">
        <v>341</v>
      </c>
      <c r="O120" s="19" t="str">
        <f>IFERROR(INDEX($I$114:$I$116, MATCH(1, $O$114:$O$116, 0)), "-")</f>
      </c>
    </row>
    <row r="121">
      <c r="F121" t="s">
        <v>342</v>
      </c>
      <c r="G121" s="19" t="str">
        <f>IFERROR(INDEX($A$114:$A$116, MATCH(2, $G$114:$G$116, 0)), "-")</f>
      </c>
      <c r="N121" t="s">
        <v>342</v>
      </c>
      <c r="O121" s="19" t="str">
        <f>IFERROR(INDEX($I$114:$I$116, MATCH(2, $O$114:$O$116, 0)), "-")</f>
      </c>
    </row>
    <row r="122">
      <c r="F122" t="s">
        <v>343</v>
      </c>
      <c r="G122" s="19" t="str">
        <f>IFERROR(INDEX($A$114:$A$116, MATCH(3, $G$114:$G$116, 0)), "-")</f>
      </c>
      <c r="N122" t="s">
        <v>343</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330</v>
      </c>
      <c r="D125" s="14" t="s">
        <v>331</v>
      </c>
      <c r="G125" s="16" t="s">
        <v>332</v>
      </c>
      <c r="I125" s="17" t="s">
        <v>330</v>
      </c>
      <c r="L125" s="14" t="s">
        <v>331</v>
      </c>
      <c r="O125" s="16" t="s">
        <v>332</v>
      </c>
    </row>
    <row r="126">
      <c r="A126" s="14" t="str">
        <f>data!$E$26&amp;" "&amp;data!$B$26</f>
      </c>
      <c r="B126" s="18"/>
      <c r="C126" s="18"/>
      <c r="D126" s="18"/>
      <c r="E126" s="18"/>
      <c r="F126" s="18"/>
      <c r="G126" s="14" t="str">
        <f>data!$E$25&amp;" "&amp;data!$B$25</f>
      </c>
      <c r="I126" s="14" t="str">
        <f>data!$E$71&amp;" "&amp;data!$B$71</f>
      </c>
      <c r="J126" s="18"/>
      <c r="K126" s="18"/>
      <c r="L126" s="18"/>
      <c r="M126" s="18"/>
      <c r="N126" s="18"/>
      <c r="O126" s="14" t="str">
        <f>data!$E$70&amp;" "&amp;data!$B$70</f>
      </c>
    </row>
    <row r="127">
      <c r="A127" s="14" t="str">
        <f>data!$E$27&amp;" "&amp;data!$B$27</f>
      </c>
      <c r="B127" s="18"/>
      <c r="C127" s="18"/>
      <c r="D127" s="18"/>
      <c r="E127" s="18"/>
      <c r="F127" s="18"/>
      <c r="G127" s="14" t="str">
        <f>data!$E$25&amp;" "&amp;data!$B$25</f>
      </c>
      <c r="I127" s="14" t="str">
        <f>data!$E$72&amp;" "&amp;data!$B$72</f>
      </c>
      <c r="J127" s="18"/>
      <c r="K127" s="18"/>
      <c r="L127" s="18"/>
      <c r="M127" s="18"/>
      <c r="N127" s="18"/>
      <c r="O127" s="14" t="str">
        <f>data!$E$70&amp;" "&amp;data!$B$70</f>
      </c>
    </row>
    <row r="128">
      <c r="A128" s="14" t="str">
        <f>data!$E$27&amp;" "&amp;data!$B$27</f>
      </c>
      <c r="B128" s="18"/>
      <c r="C128" s="18"/>
      <c r="D128" s="18"/>
      <c r="E128" s="18"/>
      <c r="F128" s="18"/>
      <c r="G128" s="14" t="str">
        <f>data!$E$26&amp;" "&amp;data!$B$26</f>
      </c>
      <c r="I128" s="14" t="str">
        <f>data!$E$72&amp;" "&amp;data!$B$72</f>
      </c>
      <c r="J128" s="18"/>
      <c r="K128" s="18"/>
      <c r="L128" s="18"/>
      <c r="M128" s="18"/>
      <c r="N128" s="18"/>
      <c r="O128" s="14" t="str">
        <f>data!$E$71&amp;" "&amp;data!$B$71</f>
      </c>
    </row>
    <row r="130">
      <c r="A130" s="13" t="s">
        <v>333</v>
      </c>
      <c r="B130" s="13" t="s">
        <v>334</v>
      </c>
      <c r="C130" s="13" t="s">
        <v>335</v>
      </c>
      <c r="D130" s="13" t="s">
        <v>336</v>
      </c>
      <c r="E130" s="13" t="s">
        <v>337</v>
      </c>
      <c r="F130" s="13" t="s">
        <v>338</v>
      </c>
      <c r="G130" s="13" t="s">
        <v>339</v>
      </c>
      <c r="I130" s="13" t="s">
        <v>333</v>
      </c>
      <c r="J130" s="13" t="s">
        <v>334</v>
      </c>
      <c r="K130" s="13" t="s">
        <v>335</v>
      </c>
      <c r="L130" s="13" t="s">
        <v>336</v>
      </c>
      <c r="M130" s="13" t="s">
        <v>337</v>
      </c>
      <c r="N130" s="13" t="s">
        <v>338</v>
      </c>
      <c r="O130" s="13" t="s">
        <v>339</v>
      </c>
    </row>
    <row r="131">
      <c r="A131" s="14" t="str">
        <f>data!$E$25&amp;" "&amp;data!$B$25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data!$E$70&amp;" "&amp;data!$B$70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data!$E$26&amp;" "&amp;data!$B$26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data!$E$71&amp;" "&amp;data!$B$71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data!$E$27&amp;" "&amp;data!$B$27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data!$E$72&amp;" "&amp;data!$B$72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340</v>
      </c>
      <c r="N136" s="13"/>
      <c r="O136" s="13" t="s">
        <v>340</v>
      </c>
    </row>
    <row r="137">
      <c r="F137" t="s">
        <v>341</v>
      </c>
      <c r="G137" s="19" t="str">
        <f>IFERROR(INDEX($A$131:$A$133, MATCH(1, $G$131:$G$133, 0)), "-")</f>
      </c>
      <c r="N137" t="s">
        <v>341</v>
      </c>
      <c r="O137" s="19" t="str">
        <f>IFERROR(INDEX($I$131:$I$133, MATCH(1, $O$131:$O$133, 0)), "-")</f>
      </c>
    </row>
    <row r="138">
      <c r="F138" t="s">
        <v>342</v>
      </c>
      <c r="G138" s="19" t="str">
        <f>IFERROR(INDEX($A$131:$A$133, MATCH(2, $G$131:$G$133, 0)), "-")</f>
      </c>
      <c r="N138" t="s">
        <v>342</v>
      </c>
      <c r="O138" s="19" t="str">
        <f>IFERROR(INDEX($I$131:$I$133, MATCH(2, $O$131:$O$133, 0)), "-")</f>
      </c>
    </row>
    <row r="139">
      <c r="F139" t="s">
        <v>343</v>
      </c>
      <c r="G139" s="19" t="str">
        <f>IFERROR(INDEX($A$131:$A$133, MATCH(3, $G$131:$G$133, 0)), "-")</f>
      </c>
      <c r="N139" t="s">
        <v>343</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330</v>
      </c>
      <c r="D142" s="14" t="s">
        <v>331</v>
      </c>
      <c r="G142" s="16" t="s">
        <v>332</v>
      </c>
      <c r="I142" s="17" t="s">
        <v>330</v>
      </c>
      <c r="L142" s="14" t="s">
        <v>331</v>
      </c>
      <c r="O142" s="16" t="s">
        <v>332</v>
      </c>
    </row>
    <row r="143">
      <c r="A143" s="14" t="str">
        <f>data!$E$29&amp;" "&amp;data!$B$29</f>
      </c>
      <c r="B143" s="18"/>
      <c r="C143" s="18"/>
      <c r="D143" s="18"/>
      <c r="E143" s="18"/>
      <c r="F143" s="18"/>
      <c r="G143" s="14" t="str">
        <f>data!$E$28&amp;" "&amp;data!$B$28</f>
      </c>
      <c r="I143" s="14" t="str">
        <f>data!$E$74&amp;" "&amp;data!$B$74</f>
      </c>
      <c r="J143" s="18"/>
      <c r="K143" s="18"/>
      <c r="L143" s="18"/>
      <c r="M143" s="18"/>
      <c r="N143" s="18"/>
      <c r="O143" s="14" t="str">
        <f>data!$E$73&amp;" "&amp;data!$B$73</f>
      </c>
    </row>
    <row r="144">
      <c r="A144" s="14" t="str">
        <f>data!$E$30&amp;" "&amp;data!$B$30</f>
      </c>
      <c r="B144" s="18"/>
      <c r="C144" s="18"/>
      <c r="D144" s="18"/>
      <c r="E144" s="18"/>
      <c r="F144" s="18"/>
      <c r="G144" s="14" t="str">
        <f>data!$E$28&amp;" "&amp;data!$B$28</f>
      </c>
      <c r="I144" s="14" t="str">
        <f>data!$E$75&amp;" "&amp;data!$B$75</f>
      </c>
      <c r="J144" s="18"/>
      <c r="K144" s="18"/>
      <c r="L144" s="18"/>
      <c r="M144" s="18"/>
      <c r="N144" s="18"/>
      <c r="O144" s="14" t="str">
        <f>data!$E$73&amp;" "&amp;data!$B$73</f>
      </c>
    </row>
    <row r="145">
      <c r="A145" s="14" t="str">
        <f>data!$E$30&amp;" "&amp;data!$B$30</f>
      </c>
      <c r="B145" s="18"/>
      <c r="C145" s="18"/>
      <c r="D145" s="18"/>
      <c r="E145" s="18"/>
      <c r="F145" s="18"/>
      <c r="G145" s="14" t="str">
        <f>data!$E$29&amp;" "&amp;data!$B$29</f>
      </c>
      <c r="I145" s="14" t="str">
        <f>data!$E$75&amp;" "&amp;data!$B$75</f>
      </c>
      <c r="J145" s="18"/>
      <c r="K145" s="18"/>
      <c r="L145" s="18"/>
      <c r="M145" s="18"/>
      <c r="N145" s="18"/>
      <c r="O145" s="14" t="str">
        <f>data!$E$74&amp;" "&amp;data!$B$74</f>
      </c>
    </row>
    <row r="147">
      <c r="A147" s="13" t="s">
        <v>333</v>
      </c>
      <c r="B147" s="13" t="s">
        <v>334</v>
      </c>
      <c r="C147" s="13" t="s">
        <v>335</v>
      </c>
      <c r="D147" s="13" t="s">
        <v>336</v>
      </c>
      <c r="E147" s="13" t="s">
        <v>337</v>
      </c>
      <c r="F147" s="13" t="s">
        <v>338</v>
      </c>
      <c r="G147" s="13" t="s">
        <v>339</v>
      </c>
      <c r="I147" s="13" t="s">
        <v>333</v>
      </c>
      <c r="J147" s="13" t="s">
        <v>334</v>
      </c>
      <c r="K147" s="13" t="s">
        <v>335</v>
      </c>
      <c r="L147" s="13" t="s">
        <v>336</v>
      </c>
      <c r="M147" s="13" t="s">
        <v>337</v>
      </c>
      <c r="N147" s="13" t="s">
        <v>338</v>
      </c>
      <c r="O147" s="13" t="s">
        <v>339</v>
      </c>
    </row>
    <row r="148">
      <c r="A148" s="14" t="str">
        <f>data!$E$28&amp;" "&amp;data!$B$28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data!$E$73&amp;" "&amp;data!$B$73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data!$E$29&amp;" "&amp;data!$B$29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data!$E$74&amp;" "&amp;data!$B$74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data!$E$30&amp;" "&amp;data!$B$30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data!$E$75&amp;" "&amp;data!$B$75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340</v>
      </c>
      <c r="N153" s="13"/>
      <c r="O153" s="13" t="s">
        <v>340</v>
      </c>
    </row>
    <row r="154">
      <c r="F154" t="s">
        <v>341</v>
      </c>
      <c r="G154" s="19" t="str">
        <f>IFERROR(INDEX($A$148:$A$150, MATCH(1, $G$148:$G$150, 0)), "-")</f>
      </c>
      <c r="N154" t="s">
        <v>341</v>
      </c>
      <c r="O154" s="19" t="str">
        <f>IFERROR(INDEX($I$148:$I$150, MATCH(1, $O$148:$O$150, 0)), "-")</f>
      </c>
    </row>
    <row r="155">
      <c r="F155" t="s">
        <v>342</v>
      </c>
      <c r="G155" s="19" t="str">
        <f>IFERROR(INDEX($A$148:$A$150, MATCH(2, $G$148:$G$150, 0)), "-")</f>
      </c>
      <c r="N155" t="s">
        <v>342</v>
      </c>
      <c r="O155" s="19" t="str">
        <f>IFERROR(INDEX($I$148:$I$150, MATCH(2, $O$148:$O$150, 0)), "-")</f>
      </c>
    </row>
    <row r="156">
      <c r="F156" t="s">
        <v>343</v>
      </c>
      <c r="G156" s="19" t="str">
        <f>IFERROR(INDEX($A$148:$A$150, MATCH(3, $G$148:$G$150, 0)), "-")</f>
      </c>
      <c r="N156" t="s">
        <v>343</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330</v>
      </c>
      <c r="D159" s="14" t="s">
        <v>331</v>
      </c>
      <c r="G159" s="16" t="s">
        <v>332</v>
      </c>
      <c r="I159" s="17" t="s">
        <v>330</v>
      </c>
      <c r="L159" s="14" t="s">
        <v>331</v>
      </c>
      <c r="O159" s="16" t="s">
        <v>332</v>
      </c>
    </row>
    <row r="160">
      <c r="A160" s="14" t="str">
        <f>data!$E$32&amp;" "&amp;data!$B$32</f>
      </c>
      <c r="B160" s="18"/>
      <c r="C160" s="18"/>
      <c r="D160" s="18"/>
      <c r="E160" s="18"/>
      <c r="F160" s="18"/>
      <c r="G160" s="14" t="str">
        <f>data!$E$31&amp;" "&amp;data!$B$31</f>
      </c>
      <c r="I160" s="14" t="str">
        <f>data!$E$77&amp;" "&amp;data!$B$77</f>
      </c>
      <c r="J160" s="18"/>
      <c r="K160" s="18"/>
      <c r="L160" s="18"/>
      <c r="M160" s="18"/>
      <c r="N160" s="18"/>
      <c r="O160" s="14" t="str">
        <f>data!$E$76&amp;" "&amp;data!$B$76</f>
      </c>
    </row>
    <row r="161">
      <c r="A161" s="14" t="str">
        <f>data!$E$33&amp;" "&amp;data!$B$33</f>
      </c>
      <c r="B161" s="18"/>
      <c r="C161" s="18"/>
      <c r="D161" s="18"/>
      <c r="E161" s="18"/>
      <c r="F161" s="18"/>
      <c r="G161" s="14" t="str">
        <f>data!$E$31&amp;" "&amp;data!$B$31</f>
      </c>
      <c r="I161" s="14" t="str">
        <f>data!$E$78&amp;" "&amp;data!$B$78</f>
      </c>
      <c r="J161" s="18"/>
      <c r="K161" s="18"/>
      <c r="L161" s="18"/>
      <c r="M161" s="18"/>
      <c r="N161" s="18"/>
      <c r="O161" s="14" t="str">
        <f>data!$E$76&amp;" "&amp;data!$B$76</f>
      </c>
    </row>
    <row r="162">
      <c r="A162" s="14" t="str">
        <f>data!$E$33&amp;" "&amp;data!$B$33</f>
      </c>
      <c r="B162" s="18"/>
      <c r="C162" s="18"/>
      <c r="D162" s="18"/>
      <c r="E162" s="18"/>
      <c r="F162" s="18"/>
      <c r="G162" s="14" t="str">
        <f>data!$E$32&amp;" "&amp;data!$B$32</f>
      </c>
      <c r="I162" s="14" t="str">
        <f>data!$E$78&amp;" "&amp;data!$B$78</f>
      </c>
      <c r="J162" s="18"/>
      <c r="K162" s="18"/>
      <c r="L162" s="18"/>
      <c r="M162" s="18"/>
      <c r="N162" s="18"/>
      <c r="O162" s="14" t="str">
        <f>data!$E$77&amp;" "&amp;data!$B$77</f>
      </c>
    </row>
    <row r="164">
      <c r="A164" s="13" t="s">
        <v>333</v>
      </c>
      <c r="B164" s="13" t="s">
        <v>334</v>
      </c>
      <c r="C164" s="13" t="s">
        <v>335</v>
      </c>
      <c r="D164" s="13" t="s">
        <v>336</v>
      </c>
      <c r="E164" s="13" t="s">
        <v>337</v>
      </c>
      <c r="F164" s="13" t="s">
        <v>338</v>
      </c>
      <c r="G164" s="13" t="s">
        <v>339</v>
      </c>
      <c r="I164" s="13" t="s">
        <v>333</v>
      </c>
      <c r="J164" s="13" t="s">
        <v>334</v>
      </c>
      <c r="K164" s="13" t="s">
        <v>335</v>
      </c>
      <c r="L164" s="13" t="s">
        <v>336</v>
      </c>
      <c r="M164" s="13" t="s">
        <v>337</v>
      </c>
      <c r="N164" s="13" t="s">
        <v>338</v>
      </c>
      <c r="O164" s="13" t="s">
        <v>339</v>
      </c>
    </row>
    <row r="165">
      <c r="A165" s="14" t="str">
        <f>data!$E$31&amp;" "&amp;data!$B$31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data!$E$76&amp;" "&amp;data!$B$76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data!$E$32&amp;" "&amp;data!$B$32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data!$E$77&amp;" "&amp;data!$B$77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data!$E$33&amp;" "&amp;data!$B$33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data!$E$78&amp;" "&amp;data!$B$78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340</v>
      </c>
      <c r="N170" s="13"/>
      <c r="O170" s="13" t="s">
        <v>340</v>
      </c>
    </row>
    <row r="171">
      <c r="F171" t="s">
        <v>341</v>
      </c>
      <c r="G171" s="19" t="str">
        <f>IFERROR(INDEX($A$165:$A$167, MATCH(1, $G$165:$G$167, 0)), "-")</f>
      </c>
      <c r="N171" t="s">
        <v>341</v>
      </c>
      <c r="O171" s="19" t="str">
        <f>IFERROR(INDEX($I$165:$I$167, MATCH(1, $O$165:$O$167, 0)), "-")</f>
      </c>
    </row>
    <row r="172">
      <c r="F172" t="s">
        <v>342</v>
      </c>
      <c r="G172" s="19" t="str">
        <f>IFERROR(INDEX($A$165:$A$167, MATCH(2, $G$165:$G$167, 0)), "-")</f>
      </c>
      <c r="N172" t="s">
        <v>342</v>
      </c>
      <c r="O172" s="19" t="str">
        <f>IFERROR(INDEX($I$165:$I$167, MATCH(2, $O$165:$O$167, 0)), "-")</f>
      </c>
    </row>
    <row r="173">
      <c r="F173" t="s">
        <v>343</v>
      </c>
      <c r="G173" s="19" t="str">
        <f>IFERROR(INDEX($A$165:$A$167, MATCH(3, $G$165:$G$167, 0)), "-")</f>
      </c>
      <c r="N173" t="s">
        <v>343</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330</v>
      </c>
      <c r="D176" s="14" t="s">
        <v>331</v>
      </c>
      <c r="G176" s="16" t="s">
        <v>332</v>
      </c>
      <c r="I176" s="17" t="s">
        <v>330</v>
      </c>
      <c r="L176" s="14" t="s">
        <v>331</v>
      </c>
      <c r="O176" s="16" t="s">
        <v>332</v>
      </c>
    </row>
    <row r="177">
      <c r="A177" s="14" t="str">
        <f>data!$E$35&amp;" "&amp;data!$B$35</f>
      </c>
      <c r="B177" s="18"/>
      <c r="C177" s="18"/>
      <c r="D177" s="18"/>
      <c r="E177" s="18"/>
      <c r="F177" s="18"/>
      <c r="G177" s="14" t="str">
        <f>data!$E$34&amp;" "&amp;data!$B$34</f>
      </c>
      <c r="I177" s="14" t="str">
        <f>data!$E$80&amp;" "&amp;data!$B$80</f>
      </c>
      <c r="J177" s="18"/>
      <c r="K177" s="18"/>
      <c r="L177" s="18"/>
      <c r="M177" s="18"/>
      <c r="N177" s="18"/>
      <c r="O177" s="14" t="str">
        <f>data!$E$79&amp;" "&amp;data!$B$79</f>
      </c>
    </row>
    <row r="178">
      <c r="A178" s="14" t="str">
        <f>data!$E$36&amp;" "&amp;data!$B$36</f>
      </c>
      <c r="B178" s="18"/>
      <c r="C178" s="18"/>
      <c r="D178" s="18"/>
      <c r="E178" s="18"/>
      <c r="F178" s="18"/>
      <c r="G178" s="14" t="str">
        <f>data!$E$34&amp;" "&amp;data!$B$34</f>
      </c>
      <c r="I178" s="14" t="str">
        <f>data!$E$81&amp;" "&amp;data!$B$81</f>
      </c>
      <c r="J178" s="18"/>
      <c r="K178" s="18"/>
      <c r="L178" s="18"/>
      <c r="M178" s="18"/>
      <c r="N178" s="18"/>
      <c r="O178" s="14" t="str">
        <f>data!$E$79&amp;" "&amp;data!$B$79</f>
      </c>
    </row>
    <row r="179">
      <c r="A179" s="14" t="str">
        <f>data!$E$36&amp;" "&amp;data!$B$36</f>
      </c>
      <c r="B179" s="18"/>
      <c r="C179" s="18"/>
      <c r="D179" s="18"/>
      <c r="E179" s="18"/>
      <c r="F179" s="18"/>
      <c r="G179" s="14" t="str">
        <f>data!$E$35&amp;" "&amp;data!$B$35</f>
      </c>
      <c r="I179" s="14" t="str">
        <f>data!$E$81&amp;" "&amp;data!$B$81</f>
      </c>
      <c r="J179" s="18"/>
      <c r="K179" s="18"/>
      <c r="L179" s="18"/>
      <c r="M179" s="18"/>
      <c r="N179" s="18"/>
      <c r="O179" s="14" t="str">
        <f>data!$E$80&amp;" "&amp;data!$B$80</f>
      </c>
    </row>
    <row r="181">
      <c r="A181" s="13" t="s">
        <v>333</v>
      </c>
      <c r="B181" s="13" t="s">
        <v>334</v>
      </c>
      <c r="C181" s="13" t="s">
        <v>335</v>
      </c>
      <c r="D181" s="13" t="s">
        <v>336</v>
      </c>
      <c r="E181" s="13" t="s">
        <v>337</v>
      </c>
      <c r="F181" s="13" t="s">
        <v>338</v>
      </c>
      <c r="G181" s="13" t="s">
        <v>339</v>
      </c>
      <c r="I181" s="13" t="s">
        <v>333</v>
      </c>
      <c r="J181" s="13" t="s">
        <v>334</v>
      </c>
      <c r="K181" s="13" t="s">
        <v>335</v>
      </c>
      <c r="L181" s="13" t="s">
        <v>336</v>
      </c>
      <c r="M181" s="13" t="s">
        <v>337</v>
      </c>
      <c r="N181" s="13" t="s">
        <v>338</v>
      </c>
      <c r="O181" s="13" t="s">
        <v>339</v>
      </c>
    </row>
    <row r="182">
      <c r="A182" s="14" t="str">
        <f>data!$E$34&amp;" "&amp;data!$B$34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data!$E$79&amp;" "&amp;data!$B$79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data!$E$35&amp;" "&amp;data!$B$35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data!$E$80&amp;" "&amp;data!$B$80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data!$E$36&amp;" "&amp;data!$B$36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data!$E$81&amp;" "&amp;data!$B$81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340</v>
      </c>
      <c r="N187" s="13"/>
      <c r="O187" s="13" t="s">
        <v>340</v>
      </c>
    </row>
    <row r="188">
      <c r="F188" t="s">
        <v>341</v>
      </c>
      <c r="G188" s="19" t="str">
        <f>IFERROR(INDEX($A$182:$A$184, MATCH(1, $G$182:$G$184, 0)), "-")</f>
      </c>
      <c r="N188" t="s">
        <v>341</v>
      </c>
      <c r="O188" s="19" t="str">
        <f>IFERROR(INDEX($I$182:$I$184, MATCH(1, $O$182:$O$184, 0)), "-")</f>
      </c>
    </row>
    <row r="189">
      <c r="F189" t="s">
        <v>342</v>
      </c>
      <c r="G189" s="19" t="str">
        <f>IFERROR(INDEX($A$182:$A$184, MATCH(2, $G$182:$G$184, 0)), "-")</f>
      </c>
      <c r="N189" t="s">
        <v>342</v>
      </c>
      <c r="O189" s="19" t="str">
        <f>IFERROR(INDEX($I$182:$I$184, MATCH(2, $O$182:$O$184, 0)), "-")</f>
      </c>
    </row>
    <row r="190">
      <c r="F190" t="s">
        <v>343</v>
      </c>
      <c r="G190" s="19" t="str">
        <f>IFERROR(INDEX($A$182:$A$184, MATCH(3, $G$182:$G$184, 0)), "-")</f>
      </c>
      <c r="N190" t="s">
        <v>343</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330</v>
      </c>
      <c r="D193" s="14" t="s">
        <v>331</v>
      </c>
      <c r="G193" s="16" t="s">
        <v>332</v>
      </c>
      <c r="I193" s="17" t="s">
        <v>330</v>
      </c>
      <c r="L193" s="14" t="s">
        <v>331</v>
      </c>
      <c r="O193" s="16" t="s">
        <v>332</v>
      </c>
    </row>
    <row r="194">
      <c r="A194" s="14" t="str">
        <f>data!$E$38&amp;" "&amp;data!$B$38</f>
      </c>
      <c r="B194" s="18"/>
      <c r="C194" s="18"/>
      <c r="D194" s="18"/>
      <c r="E194" s="18"/>
      <c r="F194" s="18"/>
      <c r="G194" s="14" t="str">
        <f>data!$E$37&amp;" "&amp;data!$B$37</f>
      </c>
      <c r="I194" s="14" t="str">
        <f>data!$E$83&amp;" "&amp;data!$B$83</f>
      </c>
      <c r="J194" s="18"/>
      <c r="K194" s="18"/>
      <c r="L194" s="18"/>
      <c r="M194" s="18"/>
      <c r="N194" s="18"/>
      <c r="O194" s="14" t="str">
        <f>data!$E$82&amp;" "&amp;data!$B$82</f>
      </c>
    </row>
    <row r="195">
      <c r="A195" s="14" t="str">
        <f>data!$E$39&amp;" "&amp;data!$B$39</f>
      </c>
      <c r="B195" s="18"/>
      <c r="C195" s="18"/>
      <c r="D195" s="18"/>
      <c r="E195" s="18"/>
      <c r="F195" s="18"/>
      <c r="G195" s="14" t="str">
        <f>data!$E$37&amp;" "&amp;data!$B$37</f>
      </c>
      <c r="I195" s="14" t="str">
        <f>data!$E$84&amp;" "&amp;data!$B$84</f>
      </c>
      <c r="J195" s="18"/>
      <c r="K195" s="18"/>
      <c r="L195" s="18"/>
      <c r="M195" s="18"/>
      <c r="N195" s="18"/>
      <c r="O195" s="14" t="str">
        <f>data!$E$82&amp;" "&amp;data!$B$82</f>
      </c>
    </row>
    <row r="196">
      <c r="A196" s="14" t="str">
        <f>data!$E$39&amp;" "&amp;data!$B$39</f>
      </c>
      <c r="B196" s="18"/>
      <c r="C196" s="18"/>
      <c r="D196" s="18"/>
      <c r="E196" s="18"/>
      <c r="F196" s="18"/>
      <c r="G196" s="14" t="str">
        <f>data!$E$38&amp;" "&amp;data!$B$38</f>
      </c>
      <c r="I196" s="14" t="str">
        <f>data!$E$84&amp;" "&amp;data!$B$84</f>
      </c>
      <c r="J196" s="18"/>
      <c r="K196" s="18"/>
      <c r="L196" s="18"/>
      <c r="M196" s="18"/>
      <c r="N196" s="18"/>
      <c r="O196" s="14" t="str">
        <f>data!$E$83&amp;" "&amp;data!$B$83</f>
      </c>
    </row>
    <row r="198">
      <c r="A198" s="13" t="s">
        <v>333</v>
      </c>
      <c r="B198" s="13" t="s">
        <v>334</v>
      </c>
      <c r="C198" s="13" t="s">
        <v>335</v>
      </c>
      <c r="D198" s="13" t="s">
        <v>336</v>
      </c>
      <c r="E198" s="13" t="s">
        <v>337</v>
      </c>
      <c r="F198" s="13" t="s">
        <v>338</v>
      </c>
      <c r="G198" s="13" t="s">
        <v>339</v>
      </c>
      <c r="I198" s="13" t="s">
        <v>333</v>
      </c>
      <c r="J198" s="13" t="s">
        <v>334</v>
      </c>
      <c r="K198" s="13" t="s">
        <v>335</v>
      </c>
      <c r="L198" s="13" t="s">
        <v>336</v>
      </c>
      <c r="M198" s="13" t="s">
        <v>337</v>
      </c>
      <c r="N198" s="13" t="s">
        <v>338</v>
      </c>
      <c r="O198" s="13" t="s">
        <v>339</v>
      </c>
    </row>
    <row r="199">
      <c r="A199" s="14" t="str">
        <f>data!$E$37&amp;" "&amp;data!$B$37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data!$E$82&amp;" "&amp;data!$B$82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data!$E$38&amp;" "&amp;data!$B$38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data!$E$83&amp;" "&amp;data!$B$83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data!$E$39&amp;" "&amp;data!$B$39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data!$E$84&amp;" "&amp;data!$B$84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340</v>
      </c>
      <c r="N204" s="13"/>
      <c r="O204" s="13" t="s">
        <v>340</v>
      </c>
    </row>
    <row r="205">
      <c r="F205" t="s">
        <v>341</v>
      </c>
      <c r="G205" s="19" t="str">
        <f>IFERROR(INDEX($A$199:$A$201, MATCH(1, $G$199:$G$201, 0)), "-")</f>
      </c>
      <c r="N205" t="s">
        <v>341</v>
      </c>
      <c r="O205" s="19" t="str">
        <f>IFERROR(INDEX($I$199:$I$201, MATCH(1, $O$199:$O$201, 0)), "-")</f>
      </c>
    </row>
    <row r="206">
      <c r="F206" t="s">
        <v>342</v>
      </c>
      <c r="G206" s="19" t="str">
        <f>IFERROR(INDEX($A$199:$A$201, MATCH(2, $G$199:$G$201, 0)), "-")</f>
      </c>
      <c r="N206" t="s">
        <v>342</v>
      </c>
      <c r="O206" s="19" t="str">
        <f>IFERROR(INDEX($I$199:$I$201, MATCH(2, $O$199:$O$201, 0)), "-")</f>
      </c>
    </row>
    <row r="207">
      <c r="F207" t="s">
        <v>343</v>
      </c>
      <c r="G207" s="19" t="str">
        <f>IFERROR(INDEX($A$199:$A$201, MATCH(3, $G$199:$G$201, 0)), "-")</f>
      </c>
      <c r="N207" t="s">
        <v>343</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330</v>
      </c>
      <c r="D210" s="14" t="s">
        <v>331</v>
      </c>
      <c r="G210" s="16" t="s">
        <v>332</v>
      </c>
      <c r="I210" s="17" t="s">
        <v>330</v>
      </c>
      <c r="L210" s="14" t="s">
        <v>331</v>
      </c>
      <c r="O210" s="16" t="s">
        <v>332</v>
      </c>
    </row>
    <row r="211">
      <c r="A211" s="14" t="str">
        <f>data!$E$41&amp;" "&amp;data!$B$41</f>
      </c>
      <c r="B211" s="18"/>
      <c r="C211" s="18"/>
      <c r="D211" s="18"/>
      <c r="E211" s="18"/>
      <c r="F211" s="18"/>
      <c r="G211" s="14" t="str">
        <f>data!$E$40&amp;" "&amp;data!$B$40</f>
      </c>
      <c r="I211" s="14" t="str">
        <f>data!$E$86&amp;" "&amp;data!$B$86</f>
      </c>
      <c r="J211" s="18"/>
      <c r="K211" s="18"/>
      <c r="L211" s="18"/>
      <c r="M211" s="18"/>
      <c r="N211" s="18"/>
      <c r="O211" s="14" t="str">
        <f>data!$E$85&amp;" "&amp;data!$B$85</f>
      </c>
    </row>
    <row r="212">
      <c r="A212" s="14" t="str">
        <f>data!$E$42&amp;" "&amp;data!$B$42</f>
      </c>
      <c r="B212" s="18"/>
      <c r="C212" s="18"/>
      <c r="D212" s="18"/>
      <c r="E212" s="18"/>
      <c r="F212" s="18"/>
      <c r="G212" s="14" t="str">
        <f>data!$E$40&amp;" "&amp;data!$B$40</f>
      </c>
      <c r="I212" s="14" t="str">
        <f>data!$E$87&amp;" "&amp;data!$B$87</f>
      </c>
      <c r="J212" s="18"/>
      <c r="K212" s="18"/>
      <c r="L212" s="18"/>
      <c r="M212" s="18"/>
      <c r="N212" s="18"/>
      <c r="O212" s="14" t="str">
        <f>data!$E$85&amp;" "&amp;data!$B$85</f>
      </c>
    </row>
    <row r="213">
      <c r="A213" s="14" t="str">
        <f>data!$E$42&amp;" "&amp;data!$B$42</f>
      </c>
      <c r="B213" s="18"/>
      <c r="C213" s="18"/>
      <c r="D213" s="18"/>
      <c r="E213" s="18"/>
      <c r="F213" s="18"/>
      <c r="G213" s="14" t="str">
        <f>data!$E$41&amp;" "&amp;data!$B$41</f>
      </c>
      <c r="I213" s="14" t="str">
        <f>data!$E$87&amp;" "&amp;data!$B$87</f>
      </c>
      <c r="J213" s="18"/>
      <c r="K213" s="18"/>
      <c r="L213" s="18"/>
      <c r="M213" s="18"/>
      <c r="N213" s="18"/>
      <c r="O213" s="14" t="str">
        <f>data!$E$86&amp;" "&amp;data!$B$86</f>
      </c>
    </row>
    <row r="215">
      <c r="A215" s="13" t="s">
        <v>333</v>
      </c>
      <c r="B215" s="13" t="s">
        <v>334</v>
      </c>
      <c r="C215" s="13" t="s">
        <v>335</v>
      </c>
      <c r="D215" s="13" t="s">
        <v>336</v>
      </c>
      <c r="E215" s="13" t="s">
        <v>337</v>
      </c>
      <c r="F215" s="13" t="s">
        <v>338</v>
      </c>
      <c r="G215" s="13" t="s">
        <v>339</v>
      </c>
      <c r="I215" s="13" t="s">
        <v>333</v>
      </c>
      <c r="J215" s="13" t="s">
        <v>334</v>
      </c>
      <c r="K215" s="13" t="s">
        <v>335</v>
      </c>
      <c r="L215" s="13" t="s">
        <v>336</v>
      </c>
      <c r="M215" s="13" t="s">
        <v>337</v>
      </c>
      <c r="N215" s="13" t="s">
        <v>338</v>
      </c>
      <c r="O215" s="13" t="s">
        <v>339</v>
      </c>
    </row>
    <row r="216">
      <c r="A216" s="14" t="str">
        <f>data!$E$40&amp;" "&amp;data!$B$40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data!$E$85&amp;" "&amp;data!$B$85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data!$E$41&amp;" "&amp;data!$B$41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data!$E$86&amp;" "&amp;data!$B$86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data!$E$42&amp;" "&amp;data!$B$42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data!$E$87&amp;" "&amp;data!$B$87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340</v>
      </c>
      <c r="N221" s="13"/>
      <c r="O221" s="13" t="s">
        <v>340</v>
      </c>
    </row>
    <row r="222">
      <c r="F222" t="s">
        <v>341</v>
      </c>
      <c r="G222" s="19" t="str">
        <f>IFERROR(INDEX($A$216:$A$218, MATCH(1, $G$216:$G$218, 0)), "-")</f>
      </c>
      <c r="N222" t="s">
        <v>341</v>
      </c>
      <c r="O222" s="19" t="str">
        <f>IFERROR(INDEX($I$216:$I$218, MATCH(1, $O$216:$O$218, 0)), "-")</f>
      </c>
    </row>
    <row r="223">
      <c r="F223" t="s">
        <v>342</v>
      </c>
      <c r="G223" s="19" t="str">
        <f>IFERROR(INDEX($A$216:$A$218, MATCH(2, $G$216:$G$218, 0)), "-")</f>
      </c>
      <c r="N223" t="s">
        <v>342</v>
      </c>
      <c r="O223" s="19" t="str">
        <f>IFERROR(INDEX($I$216:$I$218, MATCH(2, $O$216:$O$218, 0)), "-")</f>
      </c>
    </row>
    <row r="224">
      <c r="F224" t="s">
        <v>343</v>
      </c>
      <c r="G224" s="19" t="str">
        <f>IFERROR(INDEX($A$216:$A$218, MATCH(3, $G$216:$G$218, 0)), "-")</f>
      </c>
      <c r="N224" t="s">
        <v>343</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330</v>
      </c>
      <c r="D227" s="14" t="s">
        <v>331</v>
      </c>
      <c r="G227" s="16" t="s">
        <v>332</v>
      </c>
      <c r="I227" s="17" t="s">
        <v>330</v>
      </c>
      <c r="L227" s="14" t="s">
        <v>331</v>
      </c>
      <c r="O227" s="16" t="s">
        <v>332</v>
      </c>
    </row>
    <row r="228">
      <c r="A228" s="14" t="str">
        <f>data!$E$44&amp;" "&amp;data!$B$44</f>
      </c>
      <c r="B228" s="18"/>
      <c r="C228" s="18"/>
      <c r="D228" s="18"/>
      <c r="E228" s="18"/>
      <c r="F228" s="18"/>
      <c r="G228" s="14" t="str">
        <f>data!$E$43&amp;" "&amp;data!$B$43</f>
      </c>
      <c r="I228" s="14" t="str">
        <f>data!$E$89&amp;" "&amp;data!$B$89</f>
      </c>
      <c r="J228" s="18"/>
      <c r="K228" s="18"/>
      <c r="L228" s="18"/>
      <c r="M228" s="18"/>
      <c r="N228" s="18"/>
      <c r="O228" s="14" t="str">
        <f>data!$E$88&amp;" "&amp;data!$B$88</f>
      </c>
    </row>
    <row r="229">
      <c r="A229" s="14" t="str">
        <f>data!$E$45&amp;" "&amp;data!$B$45</f>
      </c>
      <c r="B229" s="18"/>
      <c r="C229" s="18"/>
      <c r="D229" s="18"/>
      <c r="E229" s="18"/>
      <c r="F229" s="18"/>
      <c r="G229" s="14" t="str">
        <f>data!$E$43&amp;" "&amp;data!$B$43</f>
      </c>
      <c r="I229" s="14" t="str">
        <f>data!$E$90&amp;" "&amp;data!$B$90</f>
      </c>
      <c r="J229" s="18"/>
      <c r="K229" s="18"/>
      <c r="L229" s="18"/>
      <c r="M229" s="18"/>
      <c r="N229" s="18"/>
      <c r="O229" s="14" t="str">
        <f>data!$E$88&amp;" "&amp;data!$B$88</f>
      </c>
    </row>
    <row r="230">
      <c r="A230" s="14" t="str">
        <f>data!$E$45&amp;" "&amp;data!$B$45</f>
      </c>
      <c r="B230" s="18"/>
      <c r="C230" s="18"/>
      <c r="D230" s="18"/>
      <c r="E230" s="18"/>
      <c r="F230" s="18"/>
      <c r="G230" s="14" t="str">
        <f>data!$E$44&amp;" "&amp;data!$B$44</f>
      </c>
      <c r="I230" s="14" t="str">
        <f>data!$E$90&amp;" "&amp;data!$B$90</f>
      </c>
      <c r="J230" s="18"/>
      <c r="K230" s="18"/>
      <c r="L230" s="18"/>
      <c r="M230" s="18"/>
      <c r="N230" s="18"/>
      <c r="O230" s="14" t="str">
        <f>data!$E$89&amp;" "&amp;data!$B$89</f>
      </c>
    </row>
    <row r="232">
      <c r="A232" s="13" t="s">
        <v>333</v>
      </c>
      <c r="B232" s="13" t="s">
        <v>334</v>
      </c>
      <c r="C232" s="13" t="s">
        <v>335</v>
      </c>
      <c r="D232" s="13" t="s">
        <v>336</v>
      </c>
      <c r="E232" s="13" t="s">
        <v>337</v>
      </c>
      <c r="F232" s="13" t="s">
        <v>338</v>
      </c>
      <c r="G232" s="13" t="s">
        <v>339</v>
      </c>
      <c r="I232" s="13" t="s">
        <v>333</v>
      </c>
      <c r="J232" s="13" t="s">
        <v>334</v>
      </c>
      <c r="K232" s="13" t="s">
        <v>335</v>
      </c>
      <c r="L232" s="13" t="s">
        <v>336</v>
      </c>
      <c r="M232" s="13" t="s">
        <v>337</v>
      </c>
      <c r="N232" s="13" t="s">
        <v>338</v>
      </c>
      <c r="O232" s="13" t="s">
        <v>339</v>
      </c>
    </row>
    <row r="233">
      <c r="A233" s="14" t="str">
        <f>data!$E$43&amp;" "&amp;data!$B$43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data!$E$88&amp;" "&amp;data!$B$88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data!$E$44&amp;" "&amp;data!$B$44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data!$E$89&amp;" "&amp;data!$B$89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data!$E$45&amp;" "&amp;data!$B$45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data!$E$90&amp;" "&amp;data!$B$90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340</v>
      </c>
      <c r="N238" s="13"/>
      <c r="O238" s="13" t="s">
        <v>340</v>
      </c>
    </row>
    <row r="239">
      <c r="F239" t="s">
        <v>341</v>
      </c>
      <c r="G239" s="19" t="str">
        <f>IFERROR(INDEX($A$233:$A$235, MATCH(1, $G$233:$G$235, 0)), "-")</f>
      </c>
      <c r="N239" t="s">
        <v>341</v>
      </c>
      <c r="O239" s="19" t="str">
        <f>IFERROR(INDEX($I$233:$I$235, MATCH(1, $O$233:$O$235, 0)), "-")</f>
      </c>
    </row>
    <row r="240">
      <c r="F240" t="s">
        <v>342</v>
      </c>
      <c r="G240" s="19" t="str">
        <f>IFERROR(INDEX($A$233:$A$235, MATCH(2, $G$233:$G$235, 0)), "-")</f>
      </c>
      <c r="N240" t="s">
        <v>342</v>
      </c>
      <c r="O240" s="19" t="str">
        <f>IFERROR(INDEX($I$233:$I$235, MATCH(2, $O$233:$O$235, 0)), "-")</f>
      </c>
    </row>
    <row r="241">
      <c r="F241" t="s">
        <v>343</v>
      </c>
      <c r="G241" s="19" t="str">
        <f>IFERROR(INDEX($A$233:$A$235, MATCH(3, $G$233:$G$235, 0)), "-")</f>
      </c>
      <c r="N241" t="s">
        <v>343</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330</v>
      </c>
      <c r="D244" s="14" t="s">
        <v>331</v>
      </c>
      <c r="G244" s="16" t="s">
        <v>332</v>
      </c>
      <c r="I244" s="17" t="s">
        <v>330</v>
      </c>
      <c r="L244" s="14" t="s">
        <v>331</v>
      </c>
      <c r="O244" s="16" t="s">
        <v>332</v>
      </c>
    </row>
    <row r="245">
      <c r="A245" s="14" t="str">
        <f>data!$E$47&amp;" "&amp;data!$B$47</f>
      </c>
      <c r="B245" s="18"/>
      <c r="C245" s="18"/>
      <c r="D245" s="18"/>
      <c r="E245" s="18"/>
      <c r="F245" s="18"/>
      <c r="G245" s="14" t="str">
        <f>data!$E$46&amp;" "&amp;data!$B$46</f>
      </c>
      <c r="I245" s="14" t="str">
        <f>data!$E$92&amp;" "&amp;data!$B$92</f>
      </c>
      <c r="J245" s="18"/>
      <c r="K245" s="18"/>
      <c r="L245" s="18"/>
      <c r="M245" s="18"/>
      <c r="N245" s="18"/>
      <c r="O245" s="14" t="str">
        <f>data!$E$91&amp;" "&amp;data!$B$91</f>
      </c>
    </row>
    <row r="246">
      <c r="A246" s="14" t="str">
        <f>data!$E$48&amp;" "&amp;data!$B$48</f>
      </c>
      <c r="B246" s="18"/>
      <c r="C246" s="18"/>
      <c r="D246" s="18"/>
      <c r="E246" s="18"/>
      <c r="F246" s="18"/>
      <c r="G246" s="14" t="str">
        <f>data!$E$46&amp;" "&amp;data!$B$46</f>
      </c>
      <c r="I246" s="14" t="str">
        <f>data!$E$93&amp;" "&amp;data!$B$93</f>
      </c>
      <c r="J246" s="18"/>
      <c r="K246" s="18"/>
      <c r="L246" s="18"/>
      <c r="M246" s="18"/>
      <c r="N246" s="18"/>
      <c r="O246" s="14" t="str">
        <f>data!$E$91&amp;" "&amp;data!$B$91</f>
      </c>
    </row>
    <row r="247">
      <c r="A247" s="14" t="str">
        <f>data!$E$48&amp;" "&amp;data!$B$48</f>
      </c>
      <c r="B247" s="18"/>
      <c r="C247" s="18"/>
      <c r="D247" s="18"/>
      <c r="E247" s="18"/>
      <c r="F247" s="18"/>
      <c r="G247" s="14" t="str">
        <f>data!$E$47&amp;" "&amp;data!$B$47</f>
      </c>
      <c r="I247" s="14" t="str">
        <f>data!$E$93&amp;" "&amp;data!$B$93</f>
      </c>
      <c r="J247" s="18"/>
      <c r="K247" s="18"/>
      <c r="L247" s="18"/>
      <c r="M247" s="18"/>
      <c r="N247" s="18"/>
      <c r="O247" s="14" t="str">
        <f>data!$E$92&amp;" "&amp;data!$B$92</f>
      </c>
    </row>
    <row r="249">
      <c r="A249" s="13" t="s">
        <v>333</v>
      </c>
      <c r="B249" s="13" t="s">
        <v>334</v>
      </c>
      <c r="C249" s="13" t="s">
        <v>335</v>
      </c>
      <c r="D249" s="13" t="s">
        <v>336</v>
      </c>
      <c r="E249" s="13" t="s">
        <v>337</v>
      </c>
      <c r="F249" s="13" t="s">
        <v>338</v>
      </c>
      <c r="G249" s="13" t="s">
        <v>339</v>
      </c>
      <c r="I249" s="13" t="s">
        <v>333</v>
      </c>
      <c r="J249" s="13" t="s">
        <v>334</v>
      </c>
      <c r="K249" s="13" t="s">
        <v>335</v>
      </c>
      <c r="L249" s="13" t="s">
        <v>336</v>
      </c>
      <c r="M249" s="13" t="s">
        <v>337</v>
      </c>
      <c r="N249" s="13" t="s">
        <v>338</v>
      </c>
      <c r="O249" s="13" t="s">
        <v>339</v>
      </c>
    </row>
    <row r="250">
      <c r="A250" s="14" t="str">
        <f>data!$E$46&amp;" "&amp;data!$B$46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data!$E$91&amp;" "&amp;data!$B$91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data!$E$47&amp;" "&amp;data!$B$47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data!$E$92&amp;" "&amp;data!$B$92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data!$E$48&amp;" "&amp;data!$B$48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data!$E$93&amp;" "&amp;data!$B$93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340</v>
      </c>
      <c r="N255" s="13"/>
      <c r="O255" s="13" t="s">
        <v>340</v>
      </c>
    </row>
    <row r="256">
      <c r="F256" t="s">
        <v>341</v>
      </c>
      <c r="G256" s="19" t="str">
        <f>IFERROR(INDEX($A$250:$A$252, MATCH(1, $G$250:$G$252, 0)), "-")</f>
      </c>
      <c r="N256" t="s">
        <v>341</v>
      </c>
      <c r="O256" s="19" t="str">
        <f>IFERROR(INDEX($I$250:$I$252, MATCH(1, $O$250:$O$252, 0)), "-")</f>
      </c>
    </row>
    <row r="257">
      <c r="F257" t="s">
        <v>342</v>
      </c>
      <c r="G257" s="19" t="str">
        <f>IFERROR(INDEX($A$250:$A$252, MATCH(2, $G$250:$G$252, 0)), "-")</f>
      </c>
      <c r="N257" t="s">
        <v>342</v>
      </c>
      <c r="O257" s="19" t="str">
        <f>IFERROR(INDEX($I$250:$I$252, MATCH(2, $O$250:$O$252, 0)), "-")</f>
      </c>
    </row>
    <row r="258">
      <c r="F258" t="s">
        <v>343</v>
      </c>
      <c r="G258" s="19" t="str">
        <f>IFERROR(INDEX($A$250:$A$252, MATCH(3, $G$250:$G$252, 0)), "-")</f>
      </c>
      <c r="N258" t="s">
        <v>343</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345</v>
      </c>
      <c r="B2" s="13"/>
      <c r="C2" s="13"/>
      <c r="D2" s="13"/>
      <c r="E2" s="13"/>
      <c r="F2" s="13"/>
      <c r="G2" s="13"/>
      <c r="I2" s="13" t="s">
        <v>346</v>
      </c>
      <c r="J2" s="13"/>
      <c r="K2" s="13"/>
      <c r="L2" s="13"/>
      <c r="M2" s="13"/>
      <c r="N2" s="13"/>
      <c r="O2" s="13"/>
    </row>
    <row r="3">
      <c r="A3" s="17" t="s">
        <v>330</v>
      </c>
      <c r="D3" s="14" t="s">
        <v>331</v>
      </c>
      <c r="G3" s="16" t="s">
        <v>332</v>
      </c>
      <c r="I3" s="17" t="s">
        <v>330</v>
      </c>
      <c r="L3" s="14" t="s">
        <v>331</v>
      </c>
      <c r="O3" s="16" t="s">
        <v>332</v>
      </c>
    </row>
    <row r="4">
      <c r="A4" s="14" t="str">
        <f>CONCATENATE("Pool P-2nd ",'Pool Matches'!O17)</f>
      </c>
      <c r="B4" s="18"/>
      <c r="C4" s="18"/>
      <c r="D4" s="18"/>
      <c r="E4" s="18"/>
      <c r="F4" s="18"/>
      <c r="G4" s="14" t="str">
        <f>CONCATENATE("Pool A-1st ",'Pool Matches'!G17)</f>
      </c>
      <c r="I4" s="14" t="str">
        <f>CONCATENATE("Pool A-2nd ",'Pool Matches'!G18)</f>
      </c>
      <c r="J4" s="18"/>
      <c r="K4" s="18"/>
      <c r="L4" s="18"/>
      <c r="M4" s="18"/>
      <c r="N4" s="18"/>
      <c r="O4" s="14" t="str">
        <f>CONCATENATE("Pool P-1st ",'Pool Matches'!O16)</f>
      </c>
    </row>
    <row r="6">
      <c r="F6" t="s">
        <v>341</v>
      </c>
      <c r="G6" s="19"/>
      <c r="N6" t="s">
        <v>341</v>
      </c>
      <c r="O6" s="19"/>
    </row>
    <row r="7">
      <c r="F7" t="s">
        <v>342</v>
      </c>
      <c r="G7" s="19"/>
      <c r="N7" t="s">
        <v>342</v>
      </c>
      <c r="O7" s="19"/>
    </row>
    <row r="10">
      <c r="A10" s="13" t="s">
        <v>347</v>
      </c>
      <c r="B10" s="13"/>
      <c r="C10" s="13"/>
      <c r="D10" s="13"/>
      <c r="E10" s="13"/>
      <c r="F10" s="13"/>
      <c r="G10" s="13"/>
      <c r="I10" s="13" t="s">
        <v>348</v>
      </c>
      <c r="J10" s="13"/>
      <c r="K10" s="13"/>
      <c r="L10" s="13"/>
      <c r="M10" s="13"/>
      <c r="N10" s="13"/>
      <c r="O10" s="13"/>
    </row>
    <row r="11">
      <c r="A11" s="17" t="s">
        <v>330</v>
      </c>
      <c r="D11" s="14" t="s">
        <v>331</v>
      </c>
      <c r="G11" s="16" t="s">
        <v>332</v>
      </c>
      <c r="I11" s="17" t="s">
        <v>330</v>
      </c>
      <c r="L11" s="14" t="s">
        <v>331</v>
      </c>
      <c r="O11" s="16" t="s">
        <v>332</v>
      </c>
    </row>
    <row r="12">
      <c r="A12" s="14" t="str">
        <f>CONCATENATE("Pool Q-2nd ",'Pool Matches'!O36)</f>
      </c>
      <c r="B12" s="18"/>
      <c r="C12" s="18"/>
      <c r="D12" s="18"/>
      <c r="E12" s="18"/>
      <c r="F12" s="18"/>
      <c r="G12" s="14" t="str">
        <f>CONCATENATE("Pool B-1st ",'Pool Matches'!G35)</f>
      </c>
      <c r="I12" s="14" t="str">
        <f>CONCATENATE("Pool B-2nd ",'Pool Matches'!G36)</f>
      </c>
      <c r="J12" s="18"/>
      <c r="K12" s="18"/>
      <c r="L12" s="18"/>
      <c r="M12" s="18"/>
      <c r="N12" s="18"/>
      <c r="O12" s="14" t="str">
        <f>CONCATENATE("Pool Q-1st ",'Pool Matches'!O35)</f>
      </c>
    </row>
    <row r="14">
      <c r="F14" t="s">
        <v>341</v>
      </c>
      <c r="G14" s="19"/>
      <c r="N14" t="s">
        <v>341</v>
      </c>
      <c r="O14" s="19"/>
    </row>
    <row r="15">
      <c r="F15" t="s">
        <v>342</v>
      </c>
      <c r="G15" s="19"/>
      <c r="N15" t="s">
        <v>342</v>
      </c>
      <c r="O15" s="19"/>
    </row>
    <row r="18">
      <c r="A18" s="13" t="s">
        <v>349</v>
      </c>
      <c r="B18" s="13"/>
      <c r="C18" s="13"/>
      <c r="D18" s="13"/>
      <c r="E18" s="13"/>
      <c r="F18" s="13"/>
      <c r="G18" s="13"/>
      <c r="I18" s="13" t="s">
        <v>350</v>
      </c>
      <c r="J18" s="13"/>
      <c r="K18" s="13"/>
      <c r="L18" s="13"/>
      <c r="M18" s="13"/>
      <c r="N18" s="13"/>
      <c r="O18" s="13"/>
    </row>
    <row r="19">
      <c r="A19" s="17" t="s">
        <v>330</v>
      </c>
      <c r="D19" s="14" t="s">
        <v>331</v>
      </c>
      <c r="G19" s="16" t="s">
        <v>332</v>
      </c>
      <c r="I19" s="17" t="s">
        <v>330</v>
      </c>
      <c r="L19" s="14" t="s">
        <v>331</v>
      </c>
      <c r="O19" s="16" t="s">
        <v>332</v>
      </c>
    </row>
    <row r="20">
      <c r="A20" s="14" t="str">
        <f>CONCATENATE("Pool R-2nd ",'Pool Matches'!O53)</f>
      </c>
      <c r="B20" s="18"/>
      <c r="C20" s="18"/>
      <c r="D20" s="18"/>
      <c r="E20" s="18"/>
      <c r="F20" s="18"/>
      <c r="G20" s="14" t="str">
        <f>CONCATENATE("Pool C-1st ",'Pool Matches'!G52)</f>
      </c>
      <c r="I20" s="14" t="str">
        <f>CONCATENATE("Pool C-2nd ",'Pool Matches'!G53)</f>
      </c>
      <c r="J20" s="18"/>
      <c r="K20" s="18"/>
      <c r="L20" s="18"/>
      <c r="M20" s="18"/>
      <c r="N20" s="18"/>
      <c r="O20" s="14" t="str">
        <f>CONCATENATE("Pool R-1st ",'Pool Matches'!O52)</f>
      </c>
    </row>
    <row r="22">
      <c r="F22" t="s">
        <v>341</v>
      </c>
      <c r="G22" s="19"/>
      <c r="N22" t="s">
        <v>341</v>
      </c>
      <c r="O22" s="19"/>
    </row>
    <row r="23">
      <c r="F23" t="s">
        <v>342</v>
      </c>
      <c r="G23" s="19"/>
      <c r="N23" t="s">
        <v>342</v>
      </c>
      <c r="O23" s="19"/>
    </row>
    <row r="26">
      <c r="A26" s="13" t="s">
        <v>351</v>
      </c>
      <c r="B26" s="13"/>
      <c r="C26" s="13"/>
      <c r="D26" s="13"/>
      <c r="E26" s="13"/>
      <c r="F26" s="13"/>
      <c r="G26" s="13"/>
      <c r="I26" s="13" t="s">
        <v>352</v>
      </c>
      <c r="J26" s="13"/>
      <c r="K26" s="13"/>
      <c r="L26" s="13"/>
      <c r="M26" s="13"/>
      <c r="N26" s="13"/>
      <c r="O26" s="13"/>
    </row>
    <row r="27">
      <c r="A27" s="17" t="s">
        <v>330</v>
      </c>
      <c r="D27" s="14" t="s">
        <v>331</v>
      </c>
      <c r="G27" s="16" t="s">
        <v>332</v>
      </c>
      <c r="I27" s="17" t="s">
        <v>330</v>
      </c>
      <c r="L27" s="14" t="s">
        <v>331</v>
      </c>
      <c r="O27" s="16" t="s">
        <v>332</v>
      </c>
    </row>
    <row r="28">
      <c r="A28" s="14" t="str">
        <f>CONCATENATE("Pool S-2nd ",'Pool Matches'!O70)</f>
      </c>
      <c r="B28" s="18"/>
      <c r="C28" s="18"/>
      <c r="D28" s="18"/>
      <c r="E28" s="18"/>
      <c r="F28" s="18"/>
      <c r="G28" s="14" t="str">
        <f>CONCATENATE("Pool D-1st ",'Pool Matches'!G69)</f>
      </c>
      <c r="I28" s="14" t="str">
        <f>CONCATENATE("Pool D-2nd ",'Pool Matches'!G70)</f>
      </c>
      <c r="J28" s="18"/>
      <c r="K28" s="18"/>
      <c r="L28" s="18"/>
      <c r="M28" s="18"/>
      <c r="N28" s="18"/>
      <c r="O28" s="14" t="str">
        <f>CONCATENATE("Pool S-1st ",'Pool Matches'!O69)</f>
      </c>
    </row>
    <row r="30">
      <c r="F30" t="s">
        <v>341</v>
      </c>
      <c r="G30" s="19"/>
      <c r="N30" t="s">
        <v>341</v>
      </c>
      <c r="O30" s="19"/>
    </row>
    <row r="31">
      <c r="F31" t="s">
        <v>342</v>
      </c>
      <c r="G31" s="19"/>
      <c r="N31" t="s">
        <v>342</v>
      </c>
      <c r="O31"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T-2nd ",'Pool Matches'!O87)</f>
      </c>
      <c r="B36" s="18"/>
      <c r="C36" s="18"/>
      <c r="D36" s="18"/>
      <c r="E36" s="18"/>
      <c r="F36" s="18"/>
      <c r="G36" s="14" t="str">
        <f>CONCATENATE("Pool E-1st ",'Pool Matches'!G86)</f>
      </c>
      <c r="I36" s="14" t="str">
        <f>CONCATENATE("Pool E-2nd ",'Pool Matches'!G87)</f>
      </c>
      <c r="J36" s="18"/>
      <c r="K36" s="18"/>
      <c r="L36" s="18"/>
      <c r="M36" s="18"/>
      <c r="N36" s="18"/>
      <c r="O36" s="14" t="str">
        <f>CONCATENATE("Pool T-1st ",'Pool Matches'!O86)</f>
      </c>
    </row>
    <row r="38">
      <c r="F38" t="s">
        <v>341</v>
      </c>
      <c r="G38" s="19"/>
      <c r="N38" t="s">
        <v>341</v>
      </c>
      <c r="O38" s="19"/>
    </row>
    <row r="39">
      <c r="F39" t="s">
        <v>342</v>
      </c>
      <c r="G39" s="19"/>
      <c r="N39" t="s">
        <v>342</v>
      </c>
      <c r="O39" s="19"/>
    </row>
    <row r="42">
      <c r="A42" s="13" t="s">
        <v>355</v>
      </c>
      <c r="B42" s="13"/>
      <c r="C42" s="13"/>
      <c r="D42" s="13"/>
      <c r="E42" s="13"/>
      <c r="F42" s="13"/>
      <c r="G42" s="13"/>
      <c r="I42" s="13" t="s">
        <v>356</v>
      </c>
      <c r="J42" s="13"/>
      <c r="K42" s="13"/>
      <c r="L42" s="13"/>
      <c r="M42" s="13"/>
      <c r="N42" s="13"/>
      <c r="O42" s="13"/>
    </row>
    <row r="43">
      <c r="A43" s="17" t="s">
        <v>330</v>
      </c>
      <c r="D43" s="14" t="s">
        <v>331</v>
      </c>
      <c r="G43" s="16" t="s">
        <v>332</v>
      </c>
      <c r="I43" s="17" t="s">
        <v>330</v>
      </c>
      <c r="L43" s="14" t="s">
        <v>331</v>
      </c>
      <c r="O43" s="16" t="s">
        <v>332</v>
      </c>
    </row>
    <row r="44">
      <c r="A44" s="14" t="str">
        <f>CONCATENATE("Pool U-2nd ",'Pool Matches'!O104)</f>
      </c>
      <c r="B44" s="18"/>
      <c r="C44" s="18"/>
      <c r="D44" s="18"/>
      <c r="E44" s="18"/>
      <c r="F44" s="18"/>
      <c r="G44" s="14" t="str">
        <f>CONCATENATE("Pool F-1st ",'Pool Matches'!G103)</f>
      </c>
      <c r="I44" s="14" t="str">
        <f>CONCATENATE("Pool F-2nd ",'Pool Matches'!G104)</f>
      </c>
      <c r="J44" s="18"/>
      <c r="K44" s="18"/>
      <c r="L44" s="18"/>
      <c r="M44" s="18"/>
      <c r="N44" s="18"/>
      <c r="O44" s="14" t="str">
        <f>CONCATENATE("Pool U-1st ",'Pool Matches'!O103)</f>
      </c>
    </row>
    <row r="46">
      <c r="F46" t="s">
        <v>341</v>
      </c>
      <c r="G46" s="19"/>
      <c r="N46" t="s">
        <v>341</v>
      </c>
      <c r="O46" s="19"/>
    </row>
    <row r="47">
      <c r="F47" t="s">
        <v>342</v>
      </c>
      <c r="G47" s="19"/>
      <c r="N47" t="s">
        <v>342</v>
      </c>
      <c r="O47" s="19"/>
    </row>
    <row r="50">
      <c r="A50" s="13" t="s">
        <v>357</v>
      </c>
      <c r="B50" s="13"/>
      <c r="C50" s="13"/>
      <c r="D50" s="13"/>
      <c r="E50" s="13"/>
      <c r="F50" s="13"/>
      <c r="G50" s="13"/>
      <c r="I50" s="13" t="s">
        <v>358</v>
      </c>
      <c r="J50" s="13"/>
      <c r="K50" s="13"/>
      <c r="L50" s="13"/>
      <c r="M50" s="13"/>
      <c r="N50" s="13"/>
      <c r="O50" s="13"/>
    </row>
    <row r="51">
      <c r="A51" s="17" t="s">
        <v>330</v>
      </c>
      <c r="D51" s="14" t="s">
        <v>331</v>
      </c>
      <c r="G51" s="16" t="s">
        <v>332</v>
      </c>
      <c r="I51" s="17" t="s">
        <v>330</v>
      </c>
      <c r="L51" s="14" t="s">
        <v>331</v>
      </c>
      <c r="O51" s="16" t="s">
        <v>332</v>
      </c>
    </row>
    <row r="52">
      <c r="A52" s="14" t="str">
        <f>CONCATENATE("Pool V-2nd ",'Pool Matches'!O121)</f>
      </c>
      <c r="B52" s="18"/>
      <c r="C52" s="18"/>
      <c r="D52" s="18"/>
      <c r="E52" s="18"/>
      <c r="F52" s="18"/>
      <c r="G52" s="14" t="str">
        <f>CONCATENATE("Pool G-1st ",'Pool Matches'!G120)</f>
      </c>
      <c r="I52" s="14" t="str">
        <f>CONCATENATE("Pool G-2nd ",'Pool Matches'!G121)</f>
      </c>
      <c r="J52" s="18"/>
      <c r="K52" s="18"/>
      <c r="L52" s="18"/>
      <c r="M52" s="18"/>
      <c r="N52" s="18"/>
      <c r="O52" s="14" t="str">
        <f>CONCATENATE("Pool V-1st ",'Pool Matches'!O120)</f>
      </c>
    </row>
    <row r="54">
      <c r="F54" t="s">
        <v>341</v>
      </c>
      <c r="G54" s="19"/>
      <c r="N54" t="s">
        <v>341</v>
      </c>
      <c r="O54" s="19"/>
    </row>
    <row r="55">
      <c r="F55" t="s">
        <v>342</v>
      </c>
      <c r="G55" s="19"/>
      <c r="N55" t="s">
        <v>342</v>
      </c>
      <c r="O55" s="19"/>
    </row>
    <row r="58">
      <c r="A58" s="13" t="s">
        <v>359</v>
      </c>
      <c r="B58" s="13"/>
      <c r="C58" s="13"/>
      <c r="D58" s="13"/>
      <c r="E58" s="13"/>
      <c r="F58" s="13"/>
      <c r="G58" s="13"/>
      <c r="I58" s="13" t="s">
        <v>360</v>
      </c>
      <c r="J58" s="13"/>
      <c r="K58" s="13"/>
      <c r="L58" s="13"/>
      <c r="M58" s="13"/>
      <c r="N58" s="13"/>
      <c r="O58" s="13"/>
    </row>
    <row r="59">
      <c r="A59" s="17" t="s">
        <v>330</v>
      </c>
      <c r="D59" s="14" t="s">
        <v>331</v>
      </c>
      <c r="G59" s="16" t="s">
        <v>332</v>
      </c>
      <c r="I59" s="17" t="s">
        <v>330</v>
      </c>
      <c r="L59" s="14" t="s">
        <v>331</v>
      </c>
      <c r="O59" s="16" t="s">
        <v>332</v>
      </c>
    </row>
    <row r="60">
      <c r="A60" s="14" t="str">
        <f>CONCATENATE("Pool W-2nd ",'Pool Matches'!O138)</f>
      </c>
      <c r="B60" s="18"/>
      <c r="C60" s="18"/>
      <c r="D60" s="18"/>
      <c r="E60" s="18"/>
      <c r="F60" s="18"/>
      <c r="G60" s="14" t="str">
        <f>CONCATENATE("Pool H-1st ",'Pool Matches'!G137)</f>
      </c>
      <c r="I60" s="14" t="str">
        <f>CONCATENATE("Pool H-2nd ",'Pool Matches'!G138)</f>
      </c>
      <c r="J60" s="18"/>
      <c r="K60" s="18"/>
      <c r="L60" s="18"/>
      <c r="M60" s="18"/>
      <c r="N60" s="18"/>
      <c r="O60" s="14" t="str">
        <f>CONCATENATE("Pool W-1st ",'Pool Matches'!O137)</f>
      </c>
    </row>
    <row r="62">
      <c r="F62" t="s">
        <v>341</v>
      </c>
      <c r="G62" s="19"/>
      <c r="N62" t="s">
        <v>341</v>
      </c>
      <c r="O62" s="19"/>
    </row>
    <row r="63">
      <c r="F63" t="s">
        <v>342</v>
      </c>
      <c r="G63" s="19"/>
      <c r="N63" t="s">
        <v>342</v>
      </c>
      <c r="O63" s="19"/>
    </row>
    <row r="66">
      <c r="A66" s="13" t="s">
        <v>361</v>
      </c>
      <c r="B66" s="13"/>
      <c r="C66" s="13"/>
      <c r="D66" s="13"/>
      <c r="E66" s="13"/>
      <c r="F66" s="13"/>
      <c r="G66" s="13"/>
      <c r="I66" s="13" t="s">
        <v>362</v>
      </c>
      <c r="J66" s="13"/>
      <c r="K66" s="13"/>
      <c r="L66" s="13"/>
      <c r="M66" s="13"/>
      <c r="N66" s="13"/>
      <c r="O66" s="13"/>
    </row>
    <row r="67">
      <c r="A67" s="17" t="s">
        <v>330</v>
      </c>
      <c r="D67" s="14" t="s">
        <v>331</v>
      </c>
      <c r="G67" s="16" t="s">
        <v>332</v>
      </c>
      <c r="I67" s="17" t="s">
        <v>330</v>
      </c>
      <c r="L67" s="14" t="s">
        <v>331</v>
      </c>
      <c r="O67" s="16" t="s">
        <v>332</v>
      </c>
    </row>
    <row r="68">
      <c r="A68" s="14" t="str">
        <f>CONCATENATE("Pool X-2nd ",'Pool Matches'!O155)</f>
      </c>
      <c r="B68" s="18"/>
      <c r="C68" s="18"/>
      <c r="D68" s="18"/>
      <c r="E68" s="18"/>
      <c r="F68" s="18"/>
      <c r="G68" s="14" t="str">
        <f>CONCATENATE("Pool I-1st ",'Pool Matches'!G154)</f>
      </c>
      <c r="I68" s="14" t="str">
        <f>CONCATENATE("Pool I-2nd ",'Pool Matches'!G155)</f>
      </c>
      <c r="J68" s="18"/>
      <c r="K68" s="18"/>
      <c r="L68" s="18"/>
      <c r="M68" s="18"/>
      <c r="N68" s="18"/>
      <c r="O68" s="14" t="str">
        <f>CONCATENATE("Pool X-1st ",'Pool Matches'!O154)</f>
      </c>
    </row>
    <row r="70">
      <c r="F70" t="s">
        <v>341</v>
      </c>
      <c r="G70" s="19"/>
      <c r="N70" t="s">
        <v>341</v>
      </c>
      <c r="O70" s="19"/>
    </row>
    <row r="71">
      <c r="F71" t="s">
        <v>342</v>
      </c>
      <c r="G71" s="19"/>
      <c r="N71" t="s">
        <v>342</v>
      </c>
      <c r="O71" s="19"/>
    </row>
    <row r="74">
      <c r="A74" s="13" t="s">
        <v>363</v>
      </c>
      <c r="B74" s="13"/>
      <c r="C74" s="13"/>
      <c r="D74" s="13"/>
      <c r="E74" s="13"/>
      <c r="F74" s="13"/>
      <c r="G74" s="13"/>
      <c r="I74" s="13" t="s">
        <v>364</v>
      </c>
      <c r="J74" s="13"/>
      <c r="K74" s="13"/>
      <c r="L74" s="13"/>
      <c r="M74" s="13"/>
      <c r="N74" s="13"/>
      <c r="O74" s="13"/>
    </row>
    <row r="75">
      <c r="A75" s="17" t="s">
        <v>330</v>
      </c>
      <c r="D75" s="14" t="s">
        <v>331</v>
      </c>
      <c r="G75" s="16" t="s">
        <v>332</v>
      </c>
      <c r="I75" s="17" t="s">
        <v>330</v>
      </c>
      <c r="L75" s="14" t="s">
        <v>331</v>
      </c>
      <c r="O75" s="16" t="s">
        <v>332</v>
      </c>
    </row>
    <row r="76">
      <c r="A76" s="14" t="str">
        <f>CONCATENATE("Pool Y-2nd ",'Pool Matches'!O172)</f>
      </c>
      <c r="B76" s="18"/>
      <c r="C76" s="18"/>
      <c r="D76" s="18"/>
      <c r="E76" s="18"/>
      <c r="F76" s="18"/>
      <c r="G76" s="14" t="str">
        <f>CONCATENATE("Pool J-1st ",'Pool Matches'!G171)</f>
      </c>
      <c r="I76" s="14" t="str">
        <f>CONCATENATE("Pool J-2nd ",'Pool Matches'!G172)</f>
      </c>
      <c r="J76" s="18"/>
      <c r="K76" s="18"/>
      <c r="L76" s="18"/>
      <c r="M76" s="18"/>
      <c r="N76" s="18"/>
      <c r="O76" s="14" t="str">
        <f>CONCATENATE("Pool Y-1st ",'Pool Matches'!O171)</f>
      </c>
    </row>
    <row r="78">
      <c r="F78" t="s">
        <v>341</v>
      </c>
      <c r="G78" s="19"/>
      <c r="N78" t="s">
        <v>341</v>
      </c>
      <c r="O78" s="19"/>
    </row>
    <row r="79">
      <c r="F79" t="s">
        <v>342</v>
      </c>
      <c r="G79" s="19"/>
      <c r="N79" t="s">
        <v>342</v>
      </c>
      <c r="O79" s="19"/>
    </row>
    <row r="82">
      <c r="A82" s="13" t="s">
        <v>365</v>
      </c>
      <c r="B82" s="13"/>
      <c r="C82" s="13"/>
      <c r="D82" s="13"/>
      <c r="E82" s="13"/>
      <c r="F82" s="13"/>
      <c r="G82" s="13"/>
      <c r="I82" s="13" t="s">
        <v>366</v>
      </c>
      <c r="J82" s="13"/>
      <c r="K82" s="13"/>
      <c r="L82" s="13"/>
      <c r="M82" s="13"/>
      <c r="N82" s="13"/>
      <c r="O82" s="13"/>
    </row>
    <row r="83">
      <c r="A83" s="17" t="s">
        <v>330</v>
      </c>
      <c r="D83" s="14" t="s">
        <v>331</v>
      </c>
      <c r="G83" s="16" t="s">
        <v>332</v>
      </c>
      <c r="I83" s="17" t="s">
        <v>330</v>
      </c>
      <c r="L83" s="14" t="s">
        <v>331</v>
      </c>
      <c r="O83" s="16" t="s">
        <v>332</v>
      </c>
    </row>
    <row r="84">
      <c r="A84" s="14" t="str">
        <f>CONCATENATE("Pool Z-2nd ",'Pool Matches'!O189)</f>
      </c>
      <c r="B84" s="18"/>
      <c r="C84" s="18"/>
      <c r="D84" s="18"/>
      <c r="E84" s="18"/>
      <c r="F84" s="18"/>
      <c r="G84" s="14" t="str">
        <f>CONCATENATE("Pool K-1st ",'Pool Matches'!G188)</f>
      </c>
      <c r="I84" s="14" t="str">
        <f>CONCATENATE("Pool K-2nd ",'Pool Matches'!G189)</f>
      </c>
      <c r="J84" s="18"/>
      <c r="K84" s="18"/>
      <c r="L84" s="18"/>
      <c r="M84" s="18"/>
      <c r="N84" s="18"/>
      <c r="O84" s="14" t="str">
        <f>CONCATENATE("Pool Z-1st ",'Pool Matches'!O188)</f>
      </c>
    </row>
    <row r="86">
      <c r="F86" t="s">
        <v>341</v>
      </c>
      <c r="G86" s="19"/>
      <c r="N86" t="s">
        <v>341</v>
      </c>
      <c r="O86" s="19"/>
    </row>
    <row r="87">
      <c r="F87" t="s">
        <v>342</v>
      </c>
      <c r="G87" s="19"/>
      <c r="N87" t="s">
        <v>342</v>
      </c>
      <c r="O87" s="19"/>
    </row>
    <row r="90">
      <c r="A90" s="13" t="s">
        <v>367</v>
      </c>
      <c r="B90" s="13"/>
      <c r="C90" s="13"/>
      <c r="D90" s="13"/>
      <c r="E90" s="13"/>
      <c r="F90" s="13"/>
      <c r="G90" s="13"/>
      <c r="I90" s="13" t="s">
        <v>368</v>
      </c>
      <c r="J90" s="13"/>
      <c r="K90" s="13"/>
      <c r="L90" s="13"/>
      <c r="M90" s="13"/>
      <c r="N90" s="13"/>
      <c r="O90" s="13"/>
    </row>
    <row r="91">
      <c r="A91" s="17" t="s">
        <v>330</v>
      </c>
      <c r="D91" s="14" t="s">
        <v>331</v>
      </c>
      <c r="G91" s="16" t="s">
        <v>332</v>
      </c>
      <c r="I91" s="17" t="s">
        <v>330</v>
      </c>
      <c r="L91" s="14" t="s">
        <v>331</v>
      </c>
      <c r="O91" s="16" t="s">
        <v>332</v>
      </c>
    </row>
    <row r="92">
      <c r="A92" s="14" t="str">
        <f>CONCATENATE("Pool AA-2nd ",'Pool Matches'!O206)</f>
      </c>
      <c r="B92" s="18"/>
      <c r="C92" s="18"/>
      <c r="D92" s="18"/>
      <c r="E92" s="18"/>
      <c r="F92" s="18"/>
      <c r="G92" s="14" t="str">
        <f>CONCATENATE("Pool L-1st ",'Pool Matches'!G205)</f>
      </c>
      <c r="I92" s="14" t="str">
        <f>CONCATENATE("Pool L-2nd ",'Pool Matches'!G206)</f>
      </c>
      <c r="J92" s="18"/>
      <c r="K92" s="18"/>
      <c r="L92" s="18"/>
      <c r="M92" s="18"/>
      <c r="N92" s="18"/>
      <c r="O92" s="14" t="str">
        <f>CONCATENATE("Pool AA-1st ",'Pool Matches'!O205)</f>
      </c>
    </row>
    <row r="94">
      <c r="F94" t="s">
        <v>341</v>
      </c>
      <c r="G94" s="19"/>
      <c r="N94" t="s">
        <v>341</v>
      </c>
      <c r="O94" s="19"/>
    </row>
    <row r="95">
      <c r="F95" t="s">
        <v>342</v>
      </c>
      <c r="G95" s="19"/>
      <c r="N95" t="s">
        <v>342</v>
      </c>
      <c r="O95" s="19"/>
    </row>
    <row r="98">
      <c r="A98" s="13" t="s">
        <v>369</v>
      </c>
      <c r="B98" s="13"/>
      <c r="C98" s="13"/>
      <c r="D98" s="13"/>
      <c r="E98" s="13"/>
      <c r="F98" s="13"/>
      <c r="G98" s="13"/>
      <c r="I98" s="13" t="s">
        <v>370</v>
      </c>
      <c r="J98" s="13"/>
      <c r="K98" s="13"/>
      <c r="L98" s="13"/>
      <c r="M98" s="13"/>
      <c r="N98" s="13"/>
      <c r="O98" s="13"/>
    </row>
    <row r="99">
      <c r="A99" s="17" t="s">
        <v>330</v>
      </c>
      <c r="D99" s="14" t="s">
        <v>331</v>
      </c>
      <c r="G99" s="16" t="s">
        <v>332</v>
      </c>
      <c r="I99" s="17" t="s">
        <v>330</v>
      </c>
      <c r="L99" s="14" t="s">
        <v>331</v>
      </c>
      <c r="O99" s="16" t="s">
        <v>332</v>
      </c>
    </row>
    <row r="100">
      <c r="A100" s="14" t="str">
        <f>CONCATENATE("Pool BB-2nd ",'Pool Matches'!O223)</f>
      </c>
      <c r="B100" s="18"/>
      <c r="C100" s="18"/>
      <c r="D100" s="18"/>
      <c r="E100" s="18"/>
      <c r="F100" s="18"/>
      <c r="G100" s="14" t="str">
        <f>CONCATENATE("Pool M-1st ",'Pool Matches'!G222)</f>
      </c>
      <c r="I100" s="14" t="str">
        <f>CONCATENATE("Pool M-2nd ",'Pool Matches'!G223)</f>
      </c>
      <c r="J100" s="18"/>
      <c r="K100" s="18"/>
      <c r="L100" s="18"/>
      <c r="M100" s="18"/>
      <c r="N100" s="18"/>
      <c r="O100" s="14" t="str">
        <f>CONCATENATE("Pool BB-1st ",'Pool Matches'!O222)</f>
      </c>
    </row>
    <row r="102">
      <c r="F102" t="s">
        <v>341</v>
      </c>
      <c r="G102" s="19"/>
      <c r="N102" t="s">
        <v>341</v>
      </c>
      <c r="O102" s="19"/>
    </row>
    <row r="103">
      <c r="F103" t="s">
        <v>342</v>
      </c>
      <c r="G103" s="19"/>
      <c r="N103" t="s">
        <v>342</v>
      </c>
      <c r="O103" s="19"/>
    </row>
    <row r="106">
      <c r="A106" s="13" t="s">
        <v>371</v>
      </c>
      <c r="B106" s="13"/>
      <c r="C106" s="13"/>
      <c r="D106" s="13"/>
      <c r="E106" s="13"/>
      <c r="F106" s="13"/>
      <c r="G106" s="13"/>
      <c r="I106" s="13" t="s">
        <v>372</v>
      </c>
      <c r="J106" s="13"/>
      <c r="K106" s="13"/>
      <c r="L106" s="13"/>
      <c r="M106" s="13"/>
      <c r="N106" s="13"/>
      <c r="O106" s="13"/>
    </row>
    <row r="107">
      <c r="A107" s="17" t="s">
        <v>330</v>
      </c>
      <c r="D107" s="14" t="s">
        <v>331</v>
      </c>
      <c r="G107" s="16" t="s">
        <v>332</v>
      </c>
      <c r="I107" s="17" t="s">
        <v>330</v>
      </c>
      <c r="L107" s="14" t="s">
        <v>331</v>
      </c>
      <c r="O107" s="16" t="s">
        <v>332</v>
      </c>
    </row>
    <row r="108">
      <c r="A108" s="14" t="str">
        <f>CONCATENATE("Pool CC-2nd ",'Pool Matches'!O240)</f>
      </c>
      <c r="B108" s="18"/>
      <c r="C108" s="18"/>
      <c r="D108" s="18"/>
      <c r="E108" s="18"/>
      <c r="F108" s="18"/>
      <c r="G108" s="14" t="str">
        <f>CONCATENATE("Pool N-1st ",'Pool Matches'!G239)</f>
      </c>
      <c r="I108" s="14" t="str">
        <f>CONCATENATE("Pool N-2nd ",'Pool Matches'!G240)</f>
      </c>
      <c r="J108" s="18"/>
      <c r="K108" s="18"/>
      <c r="L108" s="18"/>
      <c r="M108" s="18"/>
      <c r="N108" s="18"/>
      <c r="O108" s="14" t="str">
        <f>CONCATENATE("Pool CC-1st ",'Pool Matches'!O239)</f>
      </c>
    </row>
    <row r="110">
      <c r="F110" t="s">
        <v>341</v>
      </c>
      <c r="G110" s="19"/>
      <c r="N110" t="s">
        <v>341</v>
      </c>
      <c r="O110" s="19"/>
    </row>
    <row r="111">
      <c r="F111" t="s">
        <v>342</v>
      </c>
      <c r="G111" s="19"/>
      <c r="N111" t="s">
        <v>342</v>
      </c>
      <c r="O111" s="19"/>
    </row>
    <row r="114">
      <c r="A114" s="13" t="s">
        <v>373</v>
      </c>
      <c r="B114" s="13"/>
      <c r="C114" s="13"/>
      <c r="D114" s="13"/>
      <c r="E114" s="13"/>
      <c r="F114" s="13"/>
      <c r="G114" s="13"/>
      <c r="I114" s="13" t="s">
        <v>374</v>
      </c>
      <c r="J114" s="13"/>
      <c r="K114" s="13"/>
      <c r="L114" s="13"/>
      <c r="M114" s="13"/>
      <c r="N114" s="13"/>
      <c r="O114" s="13"/>
    </row>
    <row r="115">
      <c r="A115" s="17" t="s">
        <v>330</v>
      </c>
      <c r="D115" s="14" t="s">
        <v>331</v>
      </c>
      <c r="G115" s="16" t="s">
        <v>332</v>
      </c>
      <c r="I115" s="17" t="s">
        <v>330</v>
      </c>
      <c r="L115" s="14" t="s">
        <v>331</v>
      </c>
      <c r="O115" s="16" t="s">
        <v>332</v>
      </c>
    </row>
    <row r="116">
      <c r="A116" s="14" t="str">
        <f>CONCATENATE("Pool DD-2nd ",'Pool Matches'!O257)</f>
      </c>
      <c r="B116" s="18"/>
      <c r="C116" s="18"/>
      <c r="D116" s="18"/>
      <c r="E116" s="18"/>
      <c r="F116" s="18"/>
      <c r="G116" s="14" t="str">
        <f>CONCATENATE("Pool O-1st ",'Pool Matches'!G256)</f>
      </c>
      <c r="I116" s="14" t="str">
        <f>CONCATENATE("Pool O-2nd ",'Pool Matches'!G257)</f>
      </c>
      <c r="J116" s="18"/>
      <c r="K116" s="18"/>
      <c r="L116" s="18"/>
      <c r="M116" s="18"/>
      <c r="N116" s="18"/>
      <c r="O116" s="14" t="str">
        <f>CONCATENATE("Pool DD-1st ",'Pool Matches'!O256)</f>
      </c>
    </row>
    <row r="118">
      <c r="F118" t="s">
        <v>341</v>
      </c>
      <c r="G118" s="19"/>
      <c r="N118" t="s">
        <v>341</v>
      </c>
      <c r="O118" s="19"/>
    </row>
    <row r="119">
      <c r="F119" t="s">
        <v>342</v>
      </c>
      <c r="G119" s="19"/>
      <c r="N119" t="s">
        <v>342</v>
      </c>
      <c r="O119" s="19"/>
    </row>
    <row r="127">
      <c r="A127" s="13" t="s">
        <v>375</v>
      </c>
      <c r="B127" s="13"/>
      <c r="C127" s="13"/>
      <c r="D127" s="13"/>
      <c r="E127" s="13"/>
      <c r="F127" s="13"/>
      <c r="G127" s="13"/>
      <c r="I127" s="13" t="s">
        <v>376</v>
      </c>
      <c r="J127" s="13"/>
      <c r="K127" s="13"/>
      <c r="L127" s="13"/>
      <c r="M127" s="13"/>
      <c r="N127" s="13"/>
      <c r="O127" s="13"/>
    </row>
    <row r="128">
      <c r="A128" s="17" t="s">
        <v>330</v>
      </c>
      <c r="D128" s="14" t="s">
        <v>331</v>
      </c>
      <c r="G128" s="16" t="s">
        <v>332</v>
      </c>
      <c r="I128" s="17" t="s">
        <v>330</v>
      </c>
      <c r="L128" s="14" t="s">
        <v>331</v>
      </c>
      <c r="O128" s="16" t="s">
        <v>332</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341</v>
      </c>
      <c r="G131" s="19"/>
      <c r="N131" t="s">
        <v>341</v>
      </c>
      <c r="O131" s="19"/>
    </row>
    <row r="132">
      <c r="F132" t="s">
        <v>342</v>
      </c>
      <c r="G132" s="19"/>
      <c r="N132" t="s">
        <v>342</v>
      </c>
      <c r="O132" s="19"/>
    </row>
    <row r="135">
      <c r="A135" s="13" t="s">
        <v>377</v>
      </c>
      <c r="B135" s="13"/>
      <c r="C135" s="13"/>
      <c r="D135" s="13"/>
      <c r="E135" s="13"/>
      <c r="F135" s="13"/>
      <c r="G135" s="13"/>
      <c r="I135" s="13" t="s">
        <v>378</v>
      </c>
      <c r="J135" s="13"/>
      <c r="K135" s="13"/>
      <c r="L135" s="13"/>
      <c r="M135" s="13"/>
      <c r="N135" s="13"/>
      <c r="O135" s="13"/>
    </row>
    <row r="136">
      <c r="A136" s="17" t="s">
        <v>330</v>
      </c>
      <c r="D136" s="14" t="s">
        <v>331</v>
      </c>
      <c r="G136" s="16" t="s">
        <v>332</v>
      </c>
      <c r="I136" s="17" t="s">
        <v>330</v>
      </c>
      <c r="L136" s="14" t="s">
        <v>331</v>
      </c>
      <c r="O136" s="16" t="s">
        <v>332</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341</v>
      </c>
      <c r="G139" s="19"/>
      <c r="N139" t="s">
        <v>341</v>
      </c>
      <c r="O139" s="19"/>
    </row>
    <row r="140">
      <c r="F140" t="s">
        <v>342</v>
      </c>
      <c r="G140" s="19"/>
      <c r="N140" t="s">
        <v>342</v>
      </c>
      <c r="O140" s="19"/>
    </row>
    <row r="143">
      <c r="A143" s="13" t="s">
        <v>379</v>
      </c>
      <c r="B143" s="13"/>
      <c r="C143" s="13"/>
      <c r="D143" s="13"/>
      <c r="E143" s="13"/>
      <c r="F143" s="13"/>
      <c r="G143" s="13"/>
      <c r="I143" s="13" t="s">
        <v>380</v>
      </c>
      <c r="J143" s="13"/>
      <c r="K143" s="13"/>
      <c r="L143" s="13"/>
      <c r="M143" s="13"/>
      <c r="N143" s="13"/>
      <c r="O143" s="13"/>
    </row>
    <row r="144">
      <c r="A144" s="17" t="s">
        <v>330</v>
      </c>
      <c r="D144" s="14" t="s">
        <v>331</v>
      </c>
      <c r="G144" s="16" t="s">
        <v>332</v>
      </c>
      <c r="I144" s="17" t="s">
        <v>330</v>
      </c>
      <c r="L144" s="14" t="s">
        <v>331</v>
      </c>
      <c r="O144" s="16" t="s">
        <v>332</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341</v>
      </c>
      <c r="G147" s="19"/>
      <c r="N147" t="s">
        <v>341</v>
      </c>
      <c r="O147" s="19"/>
    </row>
    <row r="148">
      <c r="F148" t="s">
        <v>342</v>
      </c>
      <c r="G148" s="19"/>
      <c r="N148" t="s">
        <v>342</v>
      </c>
      <c r="O148" s="19"/>
    </row>
    <row r="151">
      <c r="A151" s="13" t="s">
        <v>381</v>
      </c>
      <c r="B151" s="13"/>
      <c r="C151" s="13"/>
      <c r="D151" s="13"/>
      <c r="E151" s="13"/>
      <c r="F151" s="13"/>
      <c r="G151" s="13"/>
      <c r="I151" s="13" t="s">
        <v>382</v>
      </c>
      <c r="J151" s="13"/>
      <c r="K151" s="13"/>
      <c r="L151" s="13"/>
      <c r="M151" s="13"/>
      <c r="N151" s="13"/>
      <c r="O151" s="13"/>
    </row>
    <row r="152">
      <c r="A152" s="17" t="s">
        <v>330</v>
      </c>
      <c r="D152" s="14" t="s">
        <v>331</v>
      </c>
      <c r="G152" s="16" t="s">
        <v>332</v>
      </c>
      <c r="I152" s="17" t="s">
        <v>330</v>
      </c>
      <c r="L152" s="14" t="s">
        <v>331</v>
      </c>
      <c r="O152" s="16" t="s">
        <v>332</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341</v>
      </c>
      <c r="G155" s="19"/>
      <c r="N155" t="s">
        <v>341</v>
      </c>
      <c r="O155" s="19"/>
    </row>
    <row r="156">
      <c r="F156" t="s">
        <v>342</v>
      </c>
      <c r="G156" s="19"/>
      <c r="N156" t="s">
        <v>342</v>
      </c>
      <c r="O156" s="19"/>
    </row>
    <row r="159">
      <c r="A159" s="13" t="s">
        <v>383</v>
      </c>
      <c r="B159" s="13"/>
      <c r="C159" s="13"/>
      <c r="D159" s="13"/>
      <c r="E159" s="13"/>
      <c r="F159" s="13"/>
      <c r="G159" s="13"/>
      <c r="I159" s="13" t="s">
        <v>384</v>
      </c>
      <c r="J159" s="13"/>
      <c r="K159" s="13"/>
      <c r="L159" s="13"/>
      <c r="M159" s="13"/>
      <c r="N159" s="13"/>
      <c r="O159" s="13"/>
    </row>
    <row r="160">
      <c r="A160" s="17" t="s">
        <v>330</v>
      </c>
      <c r="D160" s="14" t="s">
        <v>331</v>
      </c>
      <c r="G160" s="16" t="s">
        <v>332</v>
      </c>
      <c r="I160" s="17" t="s">
        <v>330</v>
      </c>
      <c r="L160" s="14" t="s">
        <v>331</v>
      </c>
      <c r="O160" s="16" t="s">
        <v>332</v>
      </c>
    </row>
    <row r="161">
      <c r="A161" s="14" t="str">
        <f>CONCATENATE("M 10 ",G78)</f>
      </c>
      <c r="B161" s="18"/>
      <c r="C161" s="18"/>
      <c r="D161" s="18"/>
      <c r="E161" s="18"/>
      <c r="F161" s="18"/>
      <c r="G161" s="14" t="str">
        <f>CONCATENATE("M 9 ",G70)</f>
      </c>
      <c r="I161" s="14" t="str">
        <f>CONCATENATE("M 25 ",O78)</f>
      </c>
      <c r="J161" s="18"/>
      <c r="K161" s="18"/>
      <c r="L161" s="18"/>
      <c r="M161" s="18"/>
      <c r="N161" s="18"/>
      <c r="O161" s="14" t="str">
        <f>CONCATENATE("M 24 ",O70)</f>
      </c>
    </row>
    <row r="163">
      <c r="F163" t="s">
        <v>341</v>
      </c>
      <c r="G163" s="19"/>
      <c r="N163" t="s">
        <v>341</v>
      </c>
      <c r="O163" s="19"/>
    </row>
    <row r="164">
      <c r="F164" t="s">
        <v>342</v>
      </c>
      <c r="G164" s="19"/>
      <c r="N164" t="s">
        <v>342</v>
      </c>
      <c r="O164" s="19"/>
    </row>
    <row r="167">
      <c r="A167" s="13" t="s">
        <v>385</v>
      </c>
      <c r="B167" s="13"/>
      <c r="C167" s="13"/>
      <c r="D167" s="13"/>
      <c r="E167" s="13"/>
      <c r="F167" s="13"/>
      <c r="G167" s="13"/>
      <c r="I167" s="13" t="s">
        <v>386</v>
      </c>
      <c r="J167" s="13"/>
      <c r="K167" s="13"/>
      <c r="L167" s="13"/>
      <c r="M167" s="13"/>
      <c r="N167" s="13"/>
      <c r="O167" s="13"/>
    </row>
    <row r="168">
      <c r="A168" s="17" t="s">
        <v>330</v>
      </c>
      <c r="D168" s="14" t="s">
        <v>331</v>
      </c>
      <c r="G168" s="16" t="s">
        <v>332</v>
      </c>
      <c r="I168" s="17" t="s">
        <v>330</v>
      </c>
      <c r="L168" s="14" t="s">
        <v>331</v>
      </c>
      <c r="O168" s="16" t="s">
        <v>332</v>
      </c>
    </row>
    <row r="169">
      <c r="A169" s="14" t="str">
        <f>CONCATENATE("M 12 ",G94)</f>
      </c>
      <c r="B169" s="18"/>
      <c r="C169" s="18"/>
      <c r="D169" s="18"/>
      <c r="E169" s="18"/>
      <c r="F169" s="18"/>
      <c r="G169" s="14" t="str">
        <f>CONCATENATE("M 11 ",G86)</f>
      </c>
      <c r="I169" s="14" t="str">
        <f>CONCATENATE("M 27 ",O94)</f>
      </c>
      <c r="J169" s="18"/>
      <c r="K169" s="18"/>
      <c r="L169" s="18"/>
      <c r="M169" s="18"/>
      <c r="N169" s="18"/>
      <c r="O169" s="14" t="str">
        <f>CONCATENATE("M 26 ",O86)</f>
      </c>
    </row>
    <row r="171">
      <c r="F171" t="s">
        <v>341</v>
      </c>
      <c r="G171" s="19"/>
      <c r="N171" t="s">
        <v>341</v>
      </c>
      <c r="O171" s="19"/>
    </row>
    <row r="172">
      <c r="F172" t="s">
        <v>342</v>
      </c>
      <c r="G172" s="19"/>
      <c r="N172" t="s">
        <v>342</v>
      </c>
      <c r="O172" s="19"/>
    </row>
    <row r="175">
      <c r="A175" s="13" t="s">
        <v>387</v>
      </c>
      <c r="B175" s="13"/>
      <c r="C175" s="13"/>
      <c r="D175" s="13"/>
      <c r="E175" s="13"/>
      <c r="F175" s="13"/>
      <c r="G175" s="13"/>
      <c r="I175" s="13" t="s">
        <v>388</v>
      </c>
      <c r="J175" s="13"/>
      <c r="K175" s="13"/>
      <c r="L175" s="13"/>
      <c r="M175" s="13"/>
      <c r="N175" s="13"/>
      <c r="O175" s="13"/>
    </row>
    <row r="176">
      <c r="A176" s="17" t="s">
        <v>330</v>
      </c>
      <c r="D176" s="14" t="s">
        <v>331</v>
      </c>
      <c r="G176" s="16" t="s">
        <v>332</v>
      </c>
      <c r="I176" s="17" t="s">
        <v>330</v>
      </c>
      <c r="L176" s="14" t="s">
        <v>331</v>
      </c>
      <c r="O176" s="16" t="s">
        <v>332</v>
      </c>
    </row>
    <row r="177">
      <c r="A177" s="14" t="str">
        <f>CONCATENATE("M 14 ",G110)</f>
      </c>
      <c r="B177" s="18"/>
      <c r="C177" s="18"/>
      <c r="D177" s="18"/>
      <c r="E177" s="18"/>
      <c r="F177" s="18"/>
      <c r="G177" s="14" t="str">
        <f>CONCATENATE("M 13 ",G102)</f>
      </c>
      <c r="I177" s="14" t="str">
        <f>CONCATENATE("M 29 ",O110)</f>
      </c>
      <c r="J177" s="18"/>
      <c r="K177" s="18"/>
      <c r="L177" s="18"/>
      <c r="M177" s="18"/>
      <c r="N177" s="18"/>
      <c r="O177" s="14" t="str">
        <f>CONCATENATE("M 28 ",O102)</f>
      </c>
    </row>
    <row r="179">
      <c r="F179" t="s">
        <v>341</v>
      </c>
      <c r="G179" s="19"/>
      <c r="N179" t="s">
        <v>341</v>
      </c>
      <c r="O179" s="19"/>
    </row>
    <row r="180">
      <c r="F180" t="s">
        <v>342</v>
      </c>
      <c r="G180" s="19"/>
      <c r="N180" t="s">
        <v>342</v>
      </c>
      <c r="O180" s="19"/>
    </row>
    <row r="188">
      <c r="A188" s="13" t="s">
        <v>389</v>
      </c>
      <c r="B188" s="13"/>
      <c r="C188" s="13"/>
      <c r="D188" s="13"/>
      <c r="E188" s="13"/>
      <c r="F188" s="13"/>
      <c r="G188" s="13"/>
      <c r="I188" s="13" t="s">
        <v>390</v>
      </c>
      <c r="J188" s="13"/>
      <c r="K188" s="13"/>
      <c r="L188" s="13"/>
      <c r="M188" s="13"/>
      <c r="N188" s="13"/>
      <c r="O188" s="13"/>
    </row>
    <row r="189">
      <c r="A189" s="17" t="s">
        <v>330</v>
      </c>
      <c r="D189" s="14" t="s">
        <v>331</v>
      </c>
      <c r="G189" s="16" t="s">
        <v>332</v>
      </c>
      <c r="I189" s="17" t="s">
        <v>330</v>
      </c>
      <c r="L189" s="14" t="s">
        <v>331</v>
      </c>
      <c r="O189" s="16" t="s">
        <v>332</v>
      </c>
    </row>
    <row r="190">
      <c r="A190" s="14" t="str">
        <f>CONCATENATE("M 32 ",G139)</f>
      </c>
      <c r="B190" s="18"/>
      <c r="C190" s="18"/>
      <c r="D190" s="18"/>
      <c r="E190" s="18"/>
      <c r="F190" s="18"/>
      <c r="G190" s="14" t="str">
        <f>CONCATENATE("M 31 ",G131)</f>
      </c>
      <c r="I190" s="14" t="str">
        <f>CONCATENATE("M 39 ",O139)</f>
      </c>
      <c r="J190" s="18"/>
      <c r="K190" s="18"/>
      <c r="L190" s="18"/>
      <c r="M190" s="18"/>
      <c r="N190" s="18"/>
      <c r="O190" s="14" t="str">
        <f>CONCATENATE("M 38 ",O131)</f>
      </c>
    </row>
    <row r="192">
      <c r="F192" t="s">
        <v>341</v>
      </c>
      <c r="G192" s="19"/>
      <c r="N192" t="s">
        <v>341</v>
      </c>
      <c r="O192" s="19"/>
    </row>
    <row r="193">
      <c r="F193" t="s">
        <v>342</v>
      </c>
      <c r="G193" s="19"/>
      <c r="N193" t="s">
        <v>342</v>
      </c>
      <c r="O193" s="19"/>
    </row>
    <row r="196">
      <c r="A196" s="13" t="s">
        <v>391</v>
      </c>
      <c r="B196" s="13"/>
      <c r="C196" s="13"/>
      <c r="D196" s="13"/>
      <c r="E196" s="13"/>
      <c r="F196" s="13"/>
      <c r="G196" s="13"/>
      <c r="I196" s="13" t="s">
        <v>392</v>
      </c>
      <c r="J196" s="13"/>
      <c r="K196" s="13"/>
      <c r="L196" s="13"/>
      <c r="M196" s="13"/>
      <c r="N196" s="13"/>
      <c r="O196" s="13"/>
    </row>
    <row r="197">
      <c r="A197" s="17" t="s">
        <v>330</v>
      </c>
      <c r="D197" s="14" t="s">
        <v>331</v>
      </c>
      <c r="G197" s="16" t="s">
        <v>332</v>
      </c>
      <c r="I197" s="17" t="s">
        <v>330</v>
      </c>
      <c r="L197" s="14" t="s">
        <v>331</v>
      </c>
      <c r="O197" s="16" t="s">
        <v>332</v>
      </c>
    </row>
    <row r="198">
      <c r="A198" s="14" t="str">
        <f>CONCATENATE("M 34 ",G155)</f>
      </c>
      <c r="B198" s="18"/>
      <c r="C198" s="18"/>
      <c r="D198" s="18"/>
      <c r="E198" s="18"/>
      <c r="F198" s="18"/>
      <c r="G198" s="14" t="str">
        <f>CONCATENATE("M 33 ",G147)</f>
      </c>
      <c r="I198" s="14" t="str">
        <f>CONCATENATE("M 41 ",O155)</f>
      </c>
      <c r="J198" s="18"/>
      <c r="K198" s="18"/>
      <c r="L198" s="18"/>
      <c r="M198" s="18"/>
      <c r="N198" s="18"/>
      <c r="O198" s="14" t="str">
        <f>CONCATENATE("M 40 ",O147)</f>
      </c>
    </row>
    <row r="200">
      <c r="F200" t="s">
        <v>341</v>
      </c>
      <c r="G200" s="19"/>
      <c r="N200" t="s">
        <v>341</v>
      </c>
      <c r="O200" s="19"/>
    </row>
    <row r="201">
      <c r="F201" t="s">
        <v>342</v>
      </c>
      <c r="G201" s="19"/>
      <c r="N201" t="s">
        <v>342</v>
      </c>
      <c r="O201" s="19"/>
    </row>
    <row r="204">
      <c r="A204" s="13" t="s">
        <v>393</v>
      </c>
      <c r="B204" s="13"/>
      <c r="C204" s="13"/>
      <c r="D204" s="13"/>
      <c r="E204" s="13"/>
      <c r="F204" s="13"/>
      <c r="G204" s="13"/>
      <c r="I204" s="13" t="s">
        <v>394</v>
      </c>
      <c r="J204" s="13"/>
      <c r="K204" s="13"/>
      <c r="L204" s="13"/>
      <c r="M204" s="13"/>
      <c r="N204" s="13"/>
      <c r="O204" s="13"/>
    </row>
    <row r="205">
      <c r="A205" s="17" t="s">
        <v>330</v>
      </c>
      <c r="D205" s="14" t="s">
        <v>331</v>
      </c>
      <c r="G205" s="16" t="s">
        <v>332</v>
      </c>
      <c r="I205" s="17" t="s">
        <v>330</v>
      </c>
      <c r="L205" s="14" t="s">
        <v>331</v>
      </c>
      <c r="O205" s="16" t="s">
        <v>332</v>
      </c>
    </row>
    <row r="206">
      <c r="A206" s="14" t="str">
        <f>CONCATENATE("M 36 ",G171)</f>
      </c>
      <c r="B206" s="18"/>
      <c r="C206" s="18"/>
      <c r="D206" s="18"/>
      <c r="E206" s="18"/>
      <c r="F206" s="18"/>
      <c r="G206" s="14" t="str">
        <f>CONCATENATE("M 35 ",G163)</f>
      </c>
      <c r="I206" s="14" t="str">
        <f>CONCATENATE("M 43 ",O171)</f>
      </c>
      <c r="J206" s="18"/>
      <c r="K206" s="18"/>
      <c r="L206" s="18"/>
      <c r="M206" s="18"/>
      <c r="N206" s="18"/>
      <c r="O206" s="14" t="str">
        <f>CONCATENATE("M 42 ",O163)</f>
      </c>
    </row>
    <row r="208">
      <c r="F208" t="s">
        <v>341</v>
      </c>
      <c r="G208" s="19"/>
      <c r="N208" t="s">
        <v>341</v>
      </c>
      <c r="O208" s="19"/>
    </row>
    <row r="209">
      <c r="F209" t="s">
        <v>342</v>
      </c>
      <c r="G209" s="19"/>
      <c r="N209" t="s">
        <v>342</v>
      </c>
      <c r="O209" s="19"/>
    </row>
    <row r="212">
      <c r="A212" s="13" t="s">
        <v>395</v>
      </c>
      <c r="B212" s="13"/>
      <c r="C212" s="13"/>
      <c r="D212" s="13"/>
      <c r="E212" s="13"/>
      <c r="F212" s="13"/>
      <c r="G212" s="13"/>
      <c r="I212" s="13" t="s">
        <v>396</v>
      </c>
      <c r="J212" s="13"/>
      <c r="K212" s="13"/>
      <c r="L212" s="13"/>
      <c r="M212" s="13"/>
      <c r="N212" s="13"/>
      <c r="O212" s="13"/>
    </row>
    <row r="213">
      <c r="A213" s="17" t="s">
        <v>330</v>
      </c>
      <c r="D213" s="14" t="s">
        <v>331</v>
      </c>
      <c r="G213" s="16" t="s">
        <v>332</v>
      </c>
      <c r="I213" s="17" t="s">
        <v>330</v>
      </c>
      <c r="L213" s="14" t="s">
        <v>331</v>
      </c>
      <c r="O213" s="16" t="s">
        <v>332</v>
      </c>
    </row>
    <row r="214">
      <c r="A214" s="14" t="str">
        <f>CONCATENATE("M 15 ",G118)</f>
      </c>
      <c r="B214" s="18"/>
      <c r="C214" s="18"/>
      <c r="D214" s="18"/>
      <c r="E214" s="18"/>
      <c r="F214" s="18"/>
      <c r="G214" s="14" t="str">
        <f>CONCATENATE("M 37 ",G179)</f>
      </c>
      <c r="I214" s="14" t="str">
        <f>CONCATENATE("M 30 ",O118)</f>
      </c>
      <c r="J214" s="18"/>
      <c r="K214" s="18"/>
      <c r="L214" s="18"/>
      <c r="M214" s="18"/>
      <c r="N214" s="18"/>
      <c r="O214" s="14" t="str">
        <f>CONCATENATE("M 44 ",O179)</f>
      </c>
    </row>
    <row r="216">
      <c r="F216" t="s">
        <v>341</v>
      </c>
      <c r="G216" s="19"/>
      <c r="N216" t="s">
        <v>341</v>
      </c>
      <c r="O216" s="19"/>
    </row>
    <row r="217">
      <c r="F217" t="s">
        <v>342</v>
      </c>
      <c r="G217" s="19"/>
      <c r="N217" t="s">
        <v>342</v>
      </c>
      <c r="O217" s="19"/>
    </row>
    <row r="225">
      <c r="A225" s="13" t="s">
        <v>397</v>
      </c>
      <c r="B225" s="13"/>
      <c r="C225" s="13"/>
      <c r="D225" s="13"/>
      <c r="E225" s="13"/>
      <c r="F225" s="13"/>
      <c r="G225" s="13"/>
      <c r="I225" s="13" t="s">
        <v>398</v>
      </c>
      <c r="J225" s="13"/>
      <c r="K225" s="13"/>
      <c r="L225" s="13"/>
      <c r="M225" s="13"/>
      <c r="N225" s="13"/>
      <c r="O225" s="13"/>
    </row>
    <row r="226">
      <c r="A226" s="17" t="s">
        <v>330</v>
      </c>
      <c r="D226" s="14" t="s">
        <v>331</v>
      </c>
      <c r="G226" s="16" t="s">
        <v>332</v>
      </c>
      <c r="I226" s="17" t="s">
        <v>330</v>
      </c>
      <c r="L226" s="14" t="s">
        <v>331</v>
      </c>
      <c r="O226" s="16" t="s">
        <v>332</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341</v>
      </c>
      <c r="G229" s="19"/>
      <c r="N229" t="s">
        <v>341</v>
      </c>
      <c r="O229" s="19"/>
    </row>
    <row r="230">
      <c r="F230" t="s">
        <v>342</v>
      </c>
      <c r="G230" s="19"/>
      <c r="N230" t="s">
        <v>342</v>
      </c>
      <c r="O230" s="19"/>
    </row>
    <row r="233">
      <c r="A233" s="13" t="s">
        <v>399</v>
      </c>
      <c r="B233" s="13"/>
      <c r="C233" s="13"/>
      <c r="D233" s="13"/>
      <c r="E233" s="13"/>
      <c r="F233" s="13"/>
      <c r="G233" s="13"/>
      <c r="I233" s="13" t="s">
        <v>400</v>
      </c>
      <c r="J233" s="13"/>
      <c r="K233" s="13"/>
      <c r="L233" s="13"/>
      <c r="M233" s="13"/>
      <c r="N233" s="13"/>
      <c r="O233" s="13"/>
    </row>
    <row r="234">
      <c r="A234" s="17" t="s">
        <v>330</v>
      </c>
      <c r="D234" s="14" t="s">
        <v>331</v>
      </c>
      <c r="G234" s="16" t="s">
        <v>332</v>
      </c>
      <c r="I234" s="17" t="s">
        <v>330</v>
      </c>
      <c r="L234" s="14" t="s">
        <v>331</v>
      </c>
      <c r="O234" s="16" t="s">
        <v>332</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341</v>
      </c>
      <c r="G237" s="19"/>
      <c r="N237" t="s">
        <v>341</v>
      </c>
      <c r="O237" s="19"/>
    </row>
    <row r="238">
      <c r="F238" t="s">
        <v>342</v>
      </c>
      <c r="G238" s="19"/>
      <c r="N238" t="s">
        <v>342</v>
      </c>
      <c r="O238" s="19"/>
    </row>
    <row r="246">
      <c r="A246" s="13" t="s">
        <v>401</v>
      </c>
      <c r="B246" s="13"/>
      <c r="C246" s="13"/>
      <c r="D246" s="13"/>
      <c r="E246" s="13"/>
      <c r="F246" s="13"/>
      <c r="G246" s="13"/>
      <c r="I246" s="13" t="s">
        <v>402</v>
      </c>
      <c r="J246" s="13"/>
      <c r="K246" s="13"/>
      <c r="L246" s="13"/>
      <c r="M246" s="13"/>
      <c r="N246" s="13"/>
      <c r="O246" s="13"/>
    </row>
    <row r="247">
      <c r="A247" s="17" t="s">
        <v>330</v>
      </c>
      <c r="D247" s="14" t="s">
        <v>331</v>
      </c>
      <c r="G247" s="16" t="s">
        <v>332</v>
      </c>
      <c r="I247" s="17" t="s">
        <v>330</v>
      </c>
      <c r="L247" s="14" t="s">
        <v>331</v>
      </c>
      <c r="O247" s="16" t="s">
        <v>332</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341</v>
      </c>
      <c r="G250" s="19"/>
      <c r="N250" t="s">
        <v>341</v>
      </c>
      <c r="O250" s="19"/>
    </row>
    <row r="251">
      <c r="F251" t="s">
        <v>342</v>
      </c>
      <c r="G251" s="19"/>
      <c r="N251" t="s">
        <v>342</v>
      </c>
      <c r="O251" s="19"/>
    </row>
    <row r="259">
      <c r="A259" s="13" t="s">
        <v>403</v>
      </c>
      <c r="B259" s="13"/>
      <c r="C259" s="13"/>
      <c r="D259" s="13"/>
      <c r="E259" s="13"/>
      <c r="F259" s="13"/>
      <c r="G259" s="13"/>
    </row>
    <row r="260">
      <c r="A260" s="17" t="s">
        <v>330</v>
      </c>
      <c r="D260" s="14" t="s">
        <v>331</v>
      </c>
      <c r="G260" s="16" t="s">
        <v>332</v>
      </c>
    </row>
    <row r="261">
      <c r="A261" s="14" t="str">
        <f>CONCATENATE("M 58 ",O250)</f>
      </c>
      <c r="B261" s="18"/>
      <c r="C261" s="18"/>
      <c r="D261" s="18"/>
      <c r="E261" s="18"/>
      <c r="F261" s="18"/>
      <c r="G261" s="14" t="str">
        <f>CONCATENATE("M 57 ",G250)</f>
      </c>
    </row>
    <row r="263">
      <c r="F263" t="s">
        <v>341</v>
      </c>
      <c r="G263" s="19"/>
    </row>
    <row r="264">
      <c r="F264" t="s">
        <v>342</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Matches'!G17)</f>
      </c>
    </row>
    <row r="6">
      <c r="A6" s="26" t="str">
        <f>data!$E$4&amp;" "&amp;data!$B$4</f>
      </c>
      <c r="D6" s="22"/>
      <c r="E6" s="21">
        <v>1</v>
      </c>
    </row>
    <row r="7">
      <c r="A7" s="26" t="str">
        <f>data!$E$5&amp;" "&amp;data!$B$5</f>
      </c>
      <c r="C7" s="23" t="str">
        <f>CONCATENATE("Pool P-2nd ",'Pool Matches'!O17)</f>
      </c>
      <c r="D7" s="15"/>
      <c r="E7" s="20"/>
      <c r="F7" s="22"/>
      <c r="G7" s="20"/>
    </row>
    <row r="8">
      <c r="A8" s="27" t="str">
        <f>data!$E$6&amp;" "&amp;data!$B$6</f>
      </c>
      <c r="G8" s="21">
        <v>31</v>
      </c>
    </row>
    <row r="9">
      <c r="A9" s="22"/>
      <c r="C9" s="23" t="str">
        <f>CONCATENATE("Pool B-1st ",'Pool Matches'!G35)</f>
      </c>
      <c r="G9" s="20"/>
      <c r="H9" s="22"/>
      <c r="I9" s="20"/>
    </row>
    <row r="10">
      <c r="A10" s="24" t="str">
        <f>'data'!$A$9</f>
      </c>
      <c r="D10" s="22"/>
      <c r="E10" s="21">
        <v>2</v>
      </c>
      <c r="F10" s="15"/>
      <c r="G10" s="20"/>
      <c r="I10" s="20"/>
    </row>
    <row r="11">
      <c r="A11" s="25" t="str">
        <f>data!$E$7&amp;" "&amp;data!$B$7</f>
      </c>
      <c r="C11" s="23" t="str">
        <f>CONCATENATE("Pool Q-2nd ",'Pool Matches'!O36)</f>
      </c>
      <c r="D11" s="15"/>
      <c r="E11" s="20"/>
      <c r="I11" s="20"/>
    </row>
    <row r="12">
      <c r="A12" s="26" t="str">
        <f>data!$E$8&amp;" "&amp;data!$B$8</f>
      </c>
      <c r="I12" s="21">
        <v>45</v>
      </c>
    </row>
    <row r="13">
      <c r="A13" s="27" t="str">
        <f>data!$E$9&amp;" "&amp;data!$B$9</f>
      </c>
      <c r="C13" s="23" t="str">
        <f>CONCATENATE("Pool C-1st ",'Pool Matches'!G52)</f>
      </c>
      <c r="I13" s="20"/>
      <c r="J13" s="22"/>
      <c r="K13" s="20"/>
    </row>
    <row r="14">
      <c r="A14" s="22"/>
      <c r="D14" s="22"/>
      <c r="E14" s="21">
        <v>3</v>
      </c>
      <c r="I14" s="20"/>
      <c r="K14" s="20"/>
    </row>
    <row r="15">
      <c r="A15" s="24" t="str">
        <f>'data'!$A$12</f>
      </c>
      <c r="C15" s="23" t="str">
        <f>CONCATENATE("Pool R-2nd ",'Pool Matches'!O53)</f>
      </c>
      <c r="D15" s="15"/>
      <c r="E15" s="20"/>
      <c r="F15" s="22"/>
      <c r="G15" s="20"/>
      <c r="I15" s="20"/>
      <c r="K15" s="20"/>
    </row>
    <row r="16">
      <c r="A16" s="25" t="str">
        <f>data!$E$10&amp;" "&amp;data!$B$10</f>
      </c>
      <c r="G16" s="21">
        <v>32</v>
      </c>
      <c r="H16" s="15"/>
      <c r="I16" s="20"/>
      <c r="K16" s="20"/>
    </row>
    <row r="17">
      <c r="A17" s="26" t="str">
        <f>data!$E$11&amp;" "&amp;data!$B$11</f>
      </c>
      <c r="C17" s="23" t="str">
        <f>CONCATENATE("Pool D-1st ",'Pool Matches'!G69)</f>
      </c>
      <c r="G17" s="20"/>
      <c r="K17" s="20"/>
    </row>
    <row r="18">
      <c r="A18" s="27" t="str">
        <f>data!$E$12&amp;" "&amp;data!$B$12</f>
      </c>
      <c r="D18" s="22"/>
      <c r="E18" s="21">
        <v>4</v>
      </c>
      <c r="F18" s="15"/>
      <c r="G18" s="20"/>
      <c r="K18" s="20"/>
    </row>
    <row r="19">
      <c r="A19" s="22"/>
      <c r="C19" s="23" t="str">
        <f>CONCATENATE("Pool S-2nd ",'Pool Matches'!O70)</f>
      </c>
      <c r="D19" s="15"/>
      <c r="E19" s="20"/>
      <c r="K19" s="20"/>
    </row>
    <row r="20">
      <c r="A20" s="24" t="str">
        <f>'data'!$A$15</f>
      </c>
      <c r="K20" s="21">
        <v>53</v>
      </c>
    </row>
    <row r="21">
      <c r="A21" s="25" t="str">
        <f>data!$E$13&amp;" "&amp;data!$B$13</f>
      </c>
      <c r="C21" s="23" t="str">
        <f>CONCATENATE("Pool E-1st ",'Pool Matches'!G86)</f>
      </c>
      <c r="K21" s="20"/>
    </row>
    <row r="22">
      <c r="A22" s="26" t="str">
        <f>data!$E$14&amp;" "&amp;data!$B$14</f>
      </c>
      <c r="D22" s="22"/>
      <c r="E22" s="21">
        <v>5</v>
      </c>
      <c r="K22" s="20"/>
    </row>
    <row r="23">
      <c r="A23" s="27" t="str">
        <f>data!$E$15&amp;" "&amp;data!$B$15</f>
      </c>
      <c r="C23" s="23" t="str">
        <f>CONCATENATE("Pool T-2nd ",'Pool Matches'!O87)</f>
      </c>
      <c r="D23" s="15"/>
      <c r="E23" s="20"/>
      <c r="F23" s="22"/>
      <c r="G23" s="20"/>
      <c r="K23" s="20"/>
    </row>
    <row r="24">
      <c r="A24" s="22"/>
      <c r="G24" s="21">
        <v>33</v>
      </c>
      <c r="K24" s="20"/>
    </row>
    <row r="25">
      <c r="A25" s="24" t="str">
        <f>'data'!$A$18</f>
      </c>
      <c r="C25" s="23" t="str">
        <f>CONCATENATE("Pool F-1st ",'Pool Matches'!G103)</f>
      </c>
      <c r="G25" s="20"/>
      <c r="H25" s="22"/>
      <c r="I25" s="20"/>
      <c r="K25" s="20"/>
    </row>
    <row r="26">
      <c r="A26" s="25" t="str">
        <f>data!$E$16&amp;" "&amp;data!$B$16</f>
      </c>
      <c r="D26" s="22"/>
      <c r="E26" s="21">
        <v>6</v>
      </c>
      <c r="F26" s="15"/>
      <c r="G26" s="20"/>
      <c r="I26" s="20"/>
      <c r="K26" s="20"/>
    </row>
    <row r="27">
      <c r="A27" s="26" t="str">
        <f>data!$E$17&amp;" "&amp;data!$B$17</f>
      </c>
      <c r="C27" s="23" t="str">
        <f>CONCATENATE("Pool U-2nd ",'Pool Matches'!O104)</f>
      </c>
      <c r="D27" s="15"/>
      <c r="E27" s="20"/>
      <c r="I27" s="20"/>
      <c r="K27" s="20"/>
    </row>
    <row r="28">
      <c r="A28" s="27" t="str">
        <f>data!$E$18&amp;" "&amp;data!$B$18</f>
      </c>
      <c r="I28" s="21">
        <v>46</v>
      </c>
      <c r="J28" s="15"/>
      <c r="K28" s="20"/>
    </row>
    <row r="29">
      <c r="A29" s="22"/>
      <c r="C29" s="23" t="str">
        <f>CONCATENATE("Pool G-1st ",'Pool Matches'!G120)</f>
      </c>
      <c r="I29" s="20"/>
    </row>
    <row r="30">
      <c r="A30" s="24" t="str">
        <f>'data'!$A$21</f>
      </c>
      <c r="D30" s="22"/>
      <c r="E30" s="21">
        <v>7</v>
      </c>
      <c r="I30" s="20"/>
    </row>
    <row r="31">
      <c r="A31" s="25" t="str">
        <f>data!$E$19&amp;" "&amp;data!$B$19</f>
      </c>
      <c r="C31" s="23" t="str">
        <f>CONCATENATE("Pool V-2nd ",'Pool Matches'!O121)</f>
      </c>
      <c r="D31" s="15"/>
      <c r="E31" s="20"/>
      <c r="F31" s="22"/>
      <c r="G31" s="20"/>
      <c r="I31" s="20"/>
    </row>
    <row r="32">
      <c r="A32" s="26" t="str">
        <f>data!$E$20&amp;" "&amp;data!$B$20</f>
      </c>
      <c r="G32" s="21">
        <v>34</v>
      </c>
      <c r="H32" s="15"/>
      <c r="I32" s="20"/>
    </row>
    <row r="33">
      <c r="A33" s="27" t="str">
        <f>data!$E$21&amp;" "&amp;data!$B$21</f>
      </c>
      <c r="C33" s="23" t="str">
        <f>CONCATENATE("Pool H-1st ",'Pool Matches'!G137)</f>
      </c>
      <c r="G33" s="20"/>
    </row>
    <row r="34">
      <c r="A34" s="22"/>
      <c r="D34" s="22"/>
      <c r="E34" s="21">
        <v>8</v>
      </c>
      <c r="F34" s="15"/>
      <c r="G34" s="20"/>
    </row>
    <row r="35">
      <c r="A35" s="24" t="str">
        <f>'data'!$A$24</f>
      </c>
      <c r="C35" s="23" t="str">
        <f>CONCATENATE("Pool W-2nd ",'Pool Matches'!O138)</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Matches'!G154)</f>
      </c>
    </row>
    <row r="6">
      <c r="A6" s="26" t="str">
        <f>data!$E$29&amp;" "&amp;data!$B$29</f>
      </c>
      <c r="D6" s="22"/>
      <c r="E6" s="21">
        <v>9</v>
      </c>
    </row>
    <row r="7">
      <c r="A7" s="27" t="str">
        <f>data!$E$30&amp;" "&amp;data!$B$30</f>
      </c>
      <c r="C7" s="23" t="str">
        <f>CONCATENATE("Pool X-2nd ",'Pool Matches'!O155)</f>
      </c>
      <c r="D7" s="15"/>
      <c r="E7" s="20"/>
      <c r="F7" s="22"/>
      <c r="G7" s="20"/>
    </row>
    <row r="8">
      <c r="A8" s="22"/>
      <c r="G8" s="21">
        <v>35</v>
      </c>
    </row>
    <row r="9">
      <c r="A9" s="24" t="str">
        <f>'data'!$A$33</f>
      </c>
      <c r="C9" s="23" t="str">
        <f>CONCATENATE("Pool J-1st ",'Pool Matches'!G171)</f>
      </c>
      <c r="G9" s="20"/>
      <c r="H9" s="22"/>
      <c r="I9" s="20"/>
    </row>
    <row r="10">
      <c r="A10" s="25" t="str">
        <f>data!$E$31&amp;" "&amp;data!$B$31</f>
      </c>
      <c r="D10" s="22"/>
      <c r="E10" s="21">
        <v>10</v>
      </c>
      <c r="F10" s="15"/>
      <c r="G10" s="20"/>
      <c r="I10" s="20"/>
    </row>
    <row r="11">
      <c r="A11" s="26" t="str">
        <f>data!$E$32&amp;" "&amp;data!$B$32</f>
      </c>
      <c r="C11" s="23" t="str">
        <f>CONCATENATE("Pool Y-2nd ",'Pool Matches'!O172)</f>
      </c>
      <c r="D11" s="15"/>
      <c r="E11" s="20"/>
      <c r="I11" s="20"/>
    </row>
    <row r="12">
      <c r="A12" s="27" t="str">
        <f>data!$E$33&amp;" "&amp;data!$B$33</f>
      </c>
      <c r="I12" s="21">
        <v>47</v>
      </c>
    </row>
    <row r="13">
      <c r="A13" s="22"/>
      <c r="C13" s="23" t="str">
        <f>CONCATENATE("Pool K-1st ",'Pool Matches'!G188)</f>
      </c>
      <c r="I13" s="20"/>
      <c r="J13" s="22"/>
      <c r="K13" s="20"/>
    </row>
    <row r="14">
      <c r="A14" s="24" t="str">
        <f>'data'!$A$36</f>
      </c>
      <c r="D14" s="22"/>
      <c r="E14" s="21">
        <v>11</v>
      </c>
      <c r="I14" s="20"/>
      <c r="K14" s="20"/>
    </row>
    <row r="15">
      <c r="A15" s="25" t="str">
        <f>data!$E$34&amp;" "&amp;data!$B$34</f>
      </c>
      <c r="C15" s="23" t="str">
        <f>CONCATENATE("Pool Z-2nd ",'Pool Matches'!O189)</f>
      </c>
      <c r="D15" s="15"/>
      <c r="E15" s="20"/>
      <c r="F15" s="22"/>
      <c r="G15" s="20"/>
      <c r="I15" s="20"/>
      <c r="K15" s="20"/>
    </row>
    <row r="16">
      <c r="A16" s="26" t="str">
        <f>data!$E$35&amp;" "&amp;data!$B$35</f>
      </c>
      <c r="G16" s="21">
        <v>36</v>
      </c>
      <c r="H16" s="15"/>
      <c r="I16" s="20"/>
      <c r="K16" s="20"/>
    </row>
    <row r="17">
      <c r="A17" s="27" t="str">
        <f>data!$E$36&amp;" "&amp;data!$B$36</f>
      </c>
      <c r="C17" s="23" t="str">
        <f>CONCATENATE("Pool L-1st ",'Pool Matches'!G205)</f>
      </c>
      <c r="G17" s="20"/>
      <c r="K17" s="20"/>
    </row>
    <row r="18">
      <c r="A18" s="22"/>
      <c r="D18" s="22"/>
      <c r="E18" s="21">
        <v>12</v>
      </c>
      <c r="F18" s="15"/>
      <c r="G18" s="20"/>
      <c r="K18" s="20"/>
    </row>
    <row r="19">
      <c r="A19" s="24" t="str">
        <f>'data'!$A$39</f>
      </c>
      <c r="C19" s="23" t="str">
        <f>CONCATENATE("Pool AA-2nd ",'Pool Matches'!O206)</f>
      </c>
      <c r="D19" s="15"/>
      <c r="E19" s="20"/>
      <c r="K19" s="20"/>
    </row>
    <row r="20">
      <c r="A20" s="25" t="str">
        <f>data!$E$37&amp;" "&amp;data!$B$37</f>
      </c>
      <c r="K20" s="21">
        <v>54</v>
      </c>
    </row>
    <row r="21">
      <c r="A21" s="26" t="str">
        <f>data!$E$38&amp;" "&amp;data!$B$38</f>
      </c>
      <c r="C21" s="23" t="str">
        <f>CONCATENATE("Pool M-1st ",'Pool Matches'!G222)</f>
      </c>
      <c r="K21" s="20"/>
    </row>
    <row r="22">
      <c r="A22" s="27" t="str">
        <f>data!$E$39&amp;" "&amp;data!$B$39</f>
      </c>
      <c r="D22" s="22"/>
      <c r="E22" s="21">
        <v>13</v>
      </c>
      <c r="K22" s="20"/>
    </row>
    <row r="23">
      <c r="A23" s="22"/>
      <c r="C23" s="23" t="str">
        <f>CONCATENATE("Pool BB-2nd ",'Pool Matches'!O223)</f>
      </c>
      <c r="D23" s="15"/>
      <c r="E23" s="20"/>
      <c r="F23" s="22"/>
      <c r="G23" s="20"/>
      <c r="K23" s="20"/>
    </row>
    <row r="24">
      <c r="A24" s="24" t="str">
        <f>'data'!$A$42</f>
      </c>
      <c r="G24" s="21">
        <v>37</v>
      </c>
      <c r="K24" s="20"/>
    </row>
    <row r="25">
      <c r="A25" s="25" t="str">
        <f>data!$E$40&amp;" "&amp;data!$B$40</f>
      </c>
      <c r="C25" s="23" t="str">
        <f>CONCATENATE("Pool N-1st ",'Pool Matches'!G239)</f>
      </c>
      <c r="G25" s="20"/>
      <c r="H25" s="22"/>
      <c r="I25" s="20"/>
      <c r="K25" s="20"/>
    </row>
    <row r="26">
      <c r="A26" s="26" t="str">
        <f>data!$E$41&amp;" "&amp;data!$B$41</f>
      </c>
      <c r="D26" s="22"/>
      <c r="E26" s="21">
        <v>14</v>
      </c>
      <c r="F26" s="15"/>
      <c r="G26" s="20"/>
      <c r="I26" s="20"/>
      <c r="K26" s="20"/>
    </row>
    <row r="27">
      <c r="A27" s="27" t="str">
        <f>data!$E$42&amp;" "&amp;data!$B$42</f>
      </c>
      <c r="C27" s="23" t="str">
        <f>CONCATENATE("Pool CC-2nd ",'Pool Matches'!O240)</f>
      </c>
      <c r="D27" s="15"/>
      <c r="E27" s="20"/>
      <c r="I27" s="20"/>
      <c r="K27" s="20"/>
    </row>
    <row r="28">
      <c r="A28" s="22"/>
      <c r="I28" s="21">
        <v>48</v>
      </c>
      <c r="J28" s="15"/>
      <c r="K28" s="20"/>
    </row>
    <row r="29">
      <c r="A29" s="24" t="str">
        <f>'data'!$A$45</f>
      </c>
      <c r="C29" s="23" t="str">
        <f>CONCATENATE("Pool O-1st ",'Pool Matches'!G256)</f>
      </c>
      <c r="I29" s="20"/>
    </row>
    <row r="30">
      <c r="A30" s="25" t="str">
        <f>data!$E$43&amp;" "&amp;data!$B$43</f>
      </c>
      <c r="D30" s="22"/>
      <c r="E30" s="21">
        <v>15</v>
      </c>
      <c r="I30" s="20"/>
    </row>
    <row r="31">
      <c r="A31" s="26" t="str">
        <f>data!$E$44&amp;" "&amp;data!$B$44</f>
      </c>
      <c r="C31" s="23" t="str">
        <f>CONCATENATE("Pool DD-2nd ",'Pool Matches'!O257)</f>
      </c>
      <c r="D31" s="15"/>
      <c r="E31" s="20"/>
      <c r="I31" s="20"/>
    </row>
    <row r="32">
      <c r="A32" s="27" t="str">
        <f>data!$E$45&amp;" "&amp;data!$B$45</f>
      </c>
      <c r="H32" s="15"/>
      <c r="I32" s="20"/>
    </row>
    <row r="33">
      <c r="A33" s="22"/>
    </row>
    <row r="34">
      <c r="A34" s="24" t="str">
        <f>'data'!$A$48</f>
      </c>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Matches'!O16)</f>
      </c>
    </row>
    <row r="6">
      <c r="A6" s="26" t="str">
        <f>data!$E$50&amp;" "&amp;data!$B$50</f>
      </c>
      <c r="D6" s="22"/>
      <c r="E6" s="21">
        <v>16</v>
      </c>
    </row>
    <row r="7">
      <c r="A7" s="27" t="str">
        <f>data!$E$51&amp;" "&amp;data!$B$51</f>
      </c>
      <c r="C7" s="23" t="str">
        <f>CONCATENATE("Pool A-2nd ",'Pool Matches'!G18)</f>
      </c>
      <c r="D7" s="15"/>
      <c r="E7" s="20"/>
      <c r="F7" s="22"/>
      <c r="G7" s="20"/>
    </row>
    <row r="8">
      <c r="A8" s="22"/>
      <c r="G8" s="21">
        <v>38</v>
      </c>
    </row>
    <row r="9">
      <c r="A9" s="24" t="str">
        <f>'data'!$A$54</f>
      </c>
      <c r="C9" s="23" t="str">
        <f>CONCATENATE("Pool Q-1st ",'Pool Matches'!O35)</f>
      </c>
      <c r="G9" s="20"/>
      <c r="H9" s="22"/>
      <c r="I9" s="20"/>
    </row>
    <row r="10">
      <c r="A10" s="25" t="str">
        <f>data!$E$52&amp;" "&amp;data!$B$52</f>
      </c>
      <c r="D10" s="22"/>
      <c r="E10" s="21">
        <v>17</v>
      </c>
      <c r="F10" s="15"/>
      <c r="G10" s="20"/>
      <c r="I10" s="20"/>
    </row>
    <row r="11">
      <c r="A11" s="26" t="str">
        <f>data!$E$53&amp;" "&amp;data!$B$53</f>
      </c>
      <c r="C11" s="23" t="str">
        <f>CONCATENATE("Pool B-2nd ",'Pool Matches'!G36)</f>
      </c>
      <c r="D11" s="15"/>
      <c r="E11" s="20"/>
      <c r="I11" s="20"/>
    </row>
    <row r="12">
      <c r="A12" s="27" t="str">
        <f>data!$E$54&amp;" "&amp;data!$B$54</f>
      </c>
      <c r="I12" s="21">
        <v>49</v>
      </c>
    </row>
    <row r="13">
      <c r="A13" s="22"/>
      <c r="C13" s="23" t="str">
        <f>CONCATENATE("Pool R-1st ",'Pool Matches'!O52)</f>
      </c>
      <c r="I13" s="20"/>
      <c r="J13" s="22"/>
      <c r="K13" s="20"/>
    </row>
    <row r="14">
      <c r="A14" s="24" t="str">
        <f>'data'!$A$57</f>
      </c>
      <c r="D14" s="22"/>
      <c r="E14" s="21">
        <v>18</v>
      </c>
      <c r="I14" s="20"/>
      <c r="K14" s="20"/>
    </row>
    <row r="15">
      <c r="A15" s="25" t="str">
        <f>data!$E$55&amp;" "&amp;data!$B$55</f>
      </c>
      <c r="C15" s="23" t="str">
        <f>CONCATENATE("Pool C-2nd ",'Pool Matches'!G53)</f>
      </c>
      <c r="D15" s="15"/>
      <c r="E15" s="20"/>
      <c r="F15" s="22"/>
      <c r="G15" s="20"/>
      <c r="I15" s="20"/>
      <c r="K15" s="20"/>
    </row>
    <row r="16">
      <c r="A16" s="26" t="str">
        <f>data!$E$56&amp;" "&amp;data!$B$56</f>
      </c>
      <c r="G16" s="21">
        <v>39</v>
      </c>
      <c r="H16" s="15"/>
      <c r="I16" s="20"/>
      <c r="K16" s="20"/>
    </row>
    <row r="17">
      <c r="A17" s="27" t="str">
        <f>data!$E$57&amp;" "&amp;data!$B$57</f>
      </c>
      <c r="C17" s="23" t="str">
        <f>CONCATENATE("Pool S-1st ",'Pool Matches'!O69)</f>
      </c>
      <c r="G17" s="20"/>
      <c r="K17" s="20"/>
    </row>
    <row r="18">
      <c r="A18" s="22"/>
      <c r="D18" s="22"/>
      <c r="E18" s="21">
        <v>19</v>
      </c>
      <c r="F18" s="15"/>
      <c r="G18" s="20"/>
      <c r="K18" s="20"/>
    </row>
    <row r="19">
      <c r="A19" s="24" t="str">
        <f>'data'!$A$60</f>
      </c>
      <c r="C19" s="23" t="str">
        <f>CONCATENATE("Pool D-2nd ",'Pool Matches'!G70)</f>
      </c>
      <c r="D19" s="15"/>
      <c r="E19" s="20"/>
      <c r="K19" s="20"/>
    </row>
    <row r="20">
      <c r="A20" s="25" t="str">
        <f>data!$E$58&amp;" "&amp;data!$B$58</f>
      </c>
      <c r="K20" s="21">
        <v>55</v>
      </c>
    </row>
    <row r="21">
      <c r="A21" s="26" t="str">
        <f>data!$E$59&amp;" "&amp;data!$B$59</f>
      </c>
      <c r="C21" s="23" t="str">
        <f>CONCATENATE("Pool T-1st ",'Pool Matches'!O86)</f>
      </c>
      <c r="K21" s="20"/>
    </row>
    <row r="22">
      <c r="A22" s="27" t="str">
        <f>data!$E$60&amp;" "&amp;data!$B$60</f>
      </c>
      <c r="D22" s="22"/>
      <c r="E22" s="21">
        <v>20</v>
      </c>
      <c r="K22" s="20"/>
    </row>
    <row r="23">
      <c r="A23" s="22"/>
      <c r="C23" s="23" t="str">
        <f>CONCATENATE("Pool E-2nd ",'Pool Matches'!G87)</f>
      </c>
      <c r="D23" s="15"/>
      <c r="E23" s="20"/>
      <c r="F23" s="22"/>
      <c r="G23" s="20"/>
      <c r="K23" s="20"/>
    </row>
    <row r="24">
      <c r="A24" s="24" t="str">
        <f>'data'!$A$63</f>
      </c>
      <c r="G24" s="21">
        <v>40</v>
      </c>
      <c r="K24" s="20"/>
    </row>
    <row r="25">
      <c r="A25" s="25" t="str">
        <f>data!$E$61&amp;" "&amp;data!$B$61</f>
      </c>
      <c r="C25" s="23" t="str">
        <f>CONCATENATE("Pool U-1st ",'Pool Matches'!O103)</f>
      </c>
      <c r="G25" s="20"/>
      <c r="H25" s="22"/>
      <c r="I25" s="20"/>
      <c r="K25" s="20"/>
    </row>
    <row r="26">
      <c r="A26" s="26" t="str">
        <f>data!$E$62&amp;" "&amp;data!$B$62</f>
      </c>
      <c r="D26" s="22"/>
      <c r="E26" s="21">
        <v>21</v>
      </c>
      <c r="F26" s="15"/>
      <c r="G26" s="20"/>
      <c r="I26" s="20"/>
      <c r="K26" s="20"/>
    </row>
    <row r="27">
      <c r="A27" s="27" t="str">
        <f>data!$E$63&amp;" "&amp;data!$B$63</f>
      </c>
      <c r="C27" s="23" t="str">
        <f>CONCATENATE("Pool F-2nd ",'Pool Matches'!G104)</f>
      </c>
      <c r="D27" s="15"/>
      <c r="E27" s="20"/>
      <c r="I27" s="20"/>
      <c r="K27" s="20"/>
    </row>
    <row r="28">
      <c r="A28" s="22"/>
      <c r="I28" s="21">
        <v>50</v>
      </c>
      <c r="J28" s="15"/>
      <c r="K28" s="20"/>
    </row>
    <row r="29">
      <c r="A29" s="24" t="str">
        <f>'data'!$A$66</f>
      </c>
      <c r="C29" s="23" t="str">
        <f>CONCATENATE("Pool V-1st ",'Pool Matches'!O120)</f>
      </c>
      <c r="I29" s="20"/>
    </row>
    <row r="30">
      <c r="A30" s="25" t="str">
        <f>data!$E$64&amp;" "&amp;data!$B$64</f>
      </c>
      <c r="D30" s="22"/>
      <c r="E30" s="21">
        <v>22</v>
      </c>
      <c r="I30" s="20"/>
    </row>
    <row r="31">
      <c r="A31" s="26" t="str">
        <f>data!$E$65&amp;" "&amp;data!$B$65</f>
      </c>
      <c r="C31" s="23" t="str">
        <f>CONCATENATE("Pool G-2nd ",'Pool Matches'!G121)</f>
      </c>
      <c r="D31" s="15"/>
      <c r="E31" s="20"/>
      <c r="F31" s="22"/>
      <c r="G31" s="20"/>
      <c r="I31" s="20"/>
    </row>
    <row r="32">
      <c r="A32" s="27" t="str">
        <f>data!$E$66&amp;" "&amp;data!$B$66</f>
      </c>
      <c r="G32" s="21">
        <v>41</v>
      </c>
      <c r="H32" s="15"/>
      <c r="I32" s="20"/>
    </row>
    <row r="33">
      <c r="A33" s="22"/>
      <c r="C33" s="23" t="str">
        <f>CONCATENATE("Pool W-1st ",'Pool Matches'!O137)</f>
      </c>
      <c r="G33" s="20"/>
    </row>
    <row r="34">
      <c r="A34" s="24" t="str">
        <f>'data'!$A$69</f>
      </c>
      <c r="D34" s="22"/>
      <c r="E34" s="21">
        <v>23</v>
      </c>
      <c r="F34" s="15"/>
      <c r="G34" s="20"/>
    </row>
    <row r="35">
      <c r="A35" s="25" t="str">
        <f>data!$E$67&amp;" "&amp;data!$B$67</f>
      </c>
      <c r="C35" s="23" t="str">
        <f>CONCATENATE("Pool H-2nd ",'Pool Matches'!G138)</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Matches'!O154)</f>
      </c>
    </row>
    <row r="6">
      <c r="A6" s="26" t="str">
        <f>data!$E$74&amp;" "&amp;data!$B$74</f>
      </c>
      <c r="D6" s="22"/>
      <c r="E6" s="21">
        <v>24</v>
      </c>
    </row>
    <row r="7">
      <c r="A7" s="27" t="str">
        <f>data!$E$75&amp;" "&amp;data!$B$75</f>
      </c>
      <c r="C7" s="23" t="str">
        <f>CONCATENATE("Pool I-2nd ",'Pool Matches'!G155)</f>
      </c>
      <c r="D7" s="15"/>
      <c r="E7" s="20"/>
      <c r="F7" s="22"/>
      <c r="G7" s="20"/>
    </row>
    <row r="8">
      <c r="A8" s="22"/>
      <c r="G8" s="21">
        <v>42</v>
      </c>
    </row>
    <row r="9">
      <c r="A9" s="24" t="str">
        <f>'data'!$A$78</f>
      </c>
      <c r="C9" s="23" t="str">
        <f>CONCATENATE("Pool Y-1st ",'Pool Matches'!O171)</f>
      </c>
      <c r="G9" s="20"/>
      <c r="H9" s="22"/>
      <c r="I9" s="20"/>
    </row>
    <row r="10">
      <c r="A10" s="25" t="str">
        <f>data!$E$76&amp;" "&amp;data!$B$76</f>
      </c>
      <c r="D10" s="22"/>
      <c r="E10" s="21">
        <v>25</v>
      </c>
      <c r="F10" s="15"/>
      <c r="G10" s="20"/>
      <c r="I10" s="20"/>
    </row>
    <row r="11">
      <c r="A11" s="26" t="str">
        <f>data!$E$77&amp;" "&amp;data!$B$77</f>
      </c>
      <c r="C11" s="23" t="str">
        <f>CONCATENATE("Pool J-2nd ",'Pool Matches'!G172)</f>
      </c>
      <c r="D11" s="15"/>
      <c r="E11" s="20"/>
      <c r="I11" s="20"/>
    </row>
    <row r="12">
      <c r="A12" s="27" t="str">
        <f>data!$E$78&amp;" "&amp;data!$B$78</f>
      </c>
      <c r="I12" s="21">
        <v>51</v>
      </c>
    </row>
    <row r="13">
      <c r="A13" s="22"/>
      <c r="C13" s="23" t="str">
        <f>CONCATENATE("Pool Z-1st ",'Pool Matches'!O188)</f>
      </c>
      <c r="I13" s="20"/>
      <c r="J13" s="22"/>
      <c r="K13" s="20"/>
    </row>
    <row r="14">
      <c r="A14" s="24" t="str">
        <f>'data'!$A$81</f>
      </c>
      <c r="D14" s="22"/>
      <c r="E14" s="21">
        <v>26</v>
      </c>
      <c r="I14" s="20"/>
      <c r="K14" s="20"/>
    </row>
    <row r="15">
      <c r="A15" s="25" t="str">
        <f>data!$E$79&amp;" "&amp;data!$B$79</f>
      </c>
      <c r="C15" s="23" t="str">
        <f>CONCATENATE("Pool K-2nd ",'Pool Matches'!G189)</f>
      </c>
      <c r="D15" s="15"/>
      <c r="E15" s="20"/>
      <c r="F15" s="22"/>
      <c r="G15" s="20"/>
      <c r="I15" s="20"/>
      <c r="K15" s="20"/>
    </row>
    <row r="16">
      <c r="A16" s="26" t="str">
        <f>data!$E$80&amp;" "&amp;data!$B$80</f>
      </c>
      <c r="G16" s="21">
        <v>43</v>
      </c>
      <c r="H16" s="15"/>
      <c r="I16" s="20"/>
      <c r="K16" s="20"/>
    </row>
    <row r="17">
      <c r="A17" s="27" t="str">
        <f>data!$E$81&amp;" "&amp;data!$B$81</f>
      </c>
      <c r="C17" s="23" t="str">
        <f>CONCATENATE("Pool AA-1st ",'Pool Matches'!O205)</f>
      </c>
      <c r="G17" s="20"/>
      <c r="K17" s="20"/>
    </row>
    <row r="18">
      <c r="A18" s="22"/>
      <c r="D18" s="22"/>
      <c r="E18" s="21">
        <v>27</v>
      </c>
      <c r="F18" s="15"/>
      <c r="G18" s="20"/>
      <c r="K18" s="20"/>
    </row>
    <row r="19">
      <c r="A19" s="24" t="str">
        <f>'data'!$A$84</f>
      </c>
      <c r="C19" s="23" t="str">
        <f>CONCATENATE("Pool L-2nd ",'Pool Matches'!G206)</f>
      </c>
      <c r="D19" s="15"/>
      <c r="E19" s="20"/>
      <c r="K19" s="20"/>
    </row>
    <row r="20">
      <c r="A20" s="25" t="str">
        <f>data!$E$82&amp;" "&amp;data!$B$82</f>
      </c>
      <c r="K20" s="21">
        <v>56</v>
      </c>
    </row>
    <row r="21">
      <c r="A21" s="26" t="str">
        <f>data!$E$83&amp;" "&amp;data!$B$83</f>
      </c>
      <c r="C21" s="23" t="str">
        <f>CONCATENATE("Pool BB-1st ",'Pool Matches'!O222)</f>
      </c>
      <c r="K21" s="20"/>
    </row>
    <row r="22">
      <c r="A22" s="27" t="str">
        <f>data!$E$84&amp;" "&amp;data!$B$84</f>
      </c>
      <c r="D22" s="22"/>
      <c r="E22" s="21">
        <v>28</v>
      </c>
      <c r="K22" s="20"/>
    </row>
    <row r="23">
      <c r="A23" s="22"/>
      <c r="C23" s="23" t="str">
        <f>CONCATENATE("Pool M-2nd ",'Pool Matches'!G223)</f>
      </c>
      <c r="D23" s="15"/>
      <c r="E23" s="20"/>
      <c r="F23" s="22"/>
      <c r="G23" s="20"/>
      <c r="K23" s="20"/>
    </row>
    <row r="24">
      <c r="A24" s="24" t="str">
        <f>'data'!$A$87</f>
      </c>
      <c r="G24" s="21">
        <v>44</v>
      </c>
      <c r="K24" s="20"/>
    </row>
    <row r="25">
      <c r="A25" s="25" t="str">
        <f>data!$E$85&amp;" "&amp;data!$B$85</f>
      </c>
      <c r="C25" s="23" t="str">
        <f>CONCATENATE("Pool CC-1st ",'Pool Matches'!O239)</f>
      </c>
      <c r="G25" s="20"/>
      <c r="H25" s="22"/>
      <c r="I25" s="20"/>
      <c r="K25" s="20"/>
    </row>
    <row r="26">
      <c r="A26" s="26" t="str">
        <f>data!$E$86&amp;" "&amp;data!$B$86</f>
      </c>
      <c r="D26" s="22"/>
      <c r="E26" s="21">
        <v>29</v>
      </c>
      <c r="F26" s="15"/>
      <c r="G26" s="20"/>
      <c r="I26" s="20"/>
      <c r="K26" s="20"/>
    </row>
    <row r="27">
      <c r="A27" s="27" t="str">
        <f>data!$E$87&amp;" "&amp;data!$B$87</f>
      </c>
      <c r="C27" s="23" t="str">
        <f>CONCATENATE("Pool N-2nd ",'Pool Matches'!G240)</f>
      </c>
      <c r="D27" s="15"/>
      <c r="E27" s="20"/>
      <c r="I27" s="20"/>
      <c r="K27" s="20"/>
    </row>
    <row r="28">
      <c r="A28" s="22"/>
      <c r="I28" s="21">
        <v>52</v>
      </c>
      <c r="J28" s="15"/>
      <c r="K28" s="20"/>
    </row>
    <row r="29">
      <c r="A29" s="24" t="str">
        <f>'data'!$A$90</f>
      </c>
      <c r="C29" s="23" t="str">
        <f>CONCATENATE("Pool DD-1st ",'Pool Matches'!O256)</f>
      </c>
      <c r="I29" s="20"/>
    </row>
    <row r="30">
      <c r="A30" s="25" t="str">
        <f>data!$E$88&amp;" "&amp;data!$B$88</f>
      </c>
      <c r="D30" s="22"/>
      <c r="E30" s="21">
        <v>30</v>
      </c>
      <c r="I30" s="20"/>
    </row>
    <row r="31">
      <c r="A31" s="26" t="str">
        <f>data!$E$89&amp;" "&amp;data!$B$89</f>
      </c>
      <c r="C31" s="23" t="str">
        <f>CONCATENATE("Pool O-2nd ",'Pool Matches'!G257)</f>
      </c>
      <c r="D31" s="15"/>
      <c r="E31" s="20"/>
      <c r="I31" s="20"/>
    </row>
    <row r="32">
      <c r="A32" s="27" t="str">
        <f>data!$E$90&amp;" "&amp;data!$B$90</f>
      </c>
      <c r="H32" s="15"/>
      <c r="I32" s="20"/>
    </row>
    <row r="33">
      <c r="A33" s="22"/>
    </row>
    <row r="34">
      <c r="A34" s="24" t="str">
        <f>'data'!$A$93</f>
      </c>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55</v>
      </c>
    </row>
    <row r="18" ht="409" customHeight="true">
      <c r="A18" s="30" t="s">
        <v>55</v>
      </c>
    </row>
    <row r="19" ht="409" customHeight="true">
      <c r="A19" s="30" t="s">
        <v>59</v>
      </c>
    </row>
    <row r="20" ht="409" customHeight="true">
      <c r="A20" s="30" t="s">
        <v>59</v>
      </c>
    </row>
    <row r="21" ht="409" customHeight="true">
      <c r="A21" s="30" t="s">
        <v>64</v>
      </c>
    </row>
    <row r="22" ht="409" customHeight="true">
      <c r="A22" s="30" t="s">
        <v>64</v>
      </c>
    </row>
    <row r="23" ht="409" customHeight="true">
      <c r="A23" s="30" t="s">
        <v>68</v>
      </c>
    </row>
    <row r="24" ht="409" customHeight="true">
      <c r="A24" s="30" t="s">
        <v>68</v>
      </c>
    </row>
    <row r="25" ht="409" customHeight="true">
      <c r="A25" s="30" t="s">
        <v>71</v>
      </c>
    </row>
    <row r="26" ht="409" customHeight="true">
      <c r="A26" s="30" t="s">
        <v>71</v>
      </c>
    </row>
    <row r="27" ht="409" customHeight="true">
      <c r="A27" s="30" t="s">
        <v>75</v>
      </c>
    </row>
    <row r="28" ht="409" customHeight="true">
      <c r="A28" s="30" t="s">
        <v>75</v>
      </c>
    </row>
    <row r="29" ht="409" customHeight="true">
      <c r="A29" s="30" t="s">
        <v>79</v>
      </c>
    </row>
    <row r="30" ht="409" customHeight="true">
      <c r="A30" s="30" t="s">
        <v>79</v>
      </c>
    </row>
    <row r="31" ht="409" customHeight="true">
      <c r="A31" s="30" t="s">
        <v>83</v>
      </c>
    </row>
    <row r="32" ht="409" customHeight="true">
      <c r="A32" s="30" t="s">
        <v>83</v>
      </c>
    </row>
    <row r="33" ht="409" customHeight="true">
      <c r="A33" s="30" t="s">
        <v>87</v>
      </c>
    </row>
    <row r="34" ht="409" customHeight="true">
      <c r="A34" s="30" t="s">
        <v>87</v>
      </c>
    </row>
    <row r="35" ht="409" customHeight="true">
      <c r="A35" s="30" t="s">
        <v>90</v>
      </c>
    </row>
    <row r="36" ht="409" customHeight="true">
      <c r="A36" s="30" t="s">
        <v>90</v>
      </c>
    </row>
    <row r="37" ht="409" customHeight="true">
      <c r="A37" s="30" t="s">
        <v>93</v>
      </c>
    </row>
    <row r="38" ht="409" customHeight="true">
      <c r="A38" s="30" t="s">
        <v>93</v>
      </c>
    </row>
    <row r="39" ht="409" customHeight="true">
      <c r="A39" s="30" t="s">
        <v>96</v>
      </c>
    </row>
    <row r="40" ht="409" customHeight="true">
      <c r="A40" s="30" t="s">
        <v>96</v>
      </c>
    </row>
    <row r="41" ht="409" customHeight="true">
      <c r="A41" s="30" t="s">
        <v>98</v>
      </c>
    </row>
    <row r="42" ht="409" customHeight="true">
      <c r="A42" s="30" t="s">
        <v>98</v>
      </c>
    </row>
    <row r="43" ht="409" customHeight="true">
      <c r="A43" s="30" t="s">
        <v>102</v>
      </c>
    </row>
    <row r="44" ht="409" customHeight="true">
      <c r="A44" s="30" t="s">
        <v>102</v>
      </c>
    </row>
    <row r="45" ht="409" customHeight="true">
      <c r="A45" s="30" t="s">
        <v>107</v>
      </c>
    </row>
    <row r="46" ht="409" customHeight="true">
      <c r="A46" s="30" t="s">
        <v>107</v>
      </c>
    </row>
    <row r="47" ht="409" customHeight="true">
      <c r="A47" s="30" t="s">
        <v>111</v>
      </c>
    </row>
    <row r="48" ht="409" customHeight="true">
      <c r="A48" s="30" t="s">
        <v>111</v>
      </c>
    </row>
    <row r="49" ht="409" customHeight="true">
      <c r="A49" s="30" t="s">
        <v>115</v>
      </c>
    </row>
    <row r="50" ht="409" customHeight="true">
      <c r="A50" s="30" t="s">
        <v>115</v>
      </c>
    </row>
    <row r="51" ht="409" customHeight="true">
      <c r="A51" s="30" t="s">
        <v>119</v>
      </c>
    </row>
    <row r="52" ht="409" customHeight="true">
      <c r="A52" s="30" t="s">
        <v>119</v>
      </c>
    </row>
    <row r="53" ht="409" customHeight="true">
      <c r="A53" s="30" t="s">
        <v>123</v>
      </c>
    </row>
    <row r="54" ht="409" customHeight="true">
      <c r="A54" s="30" t="s">
        <v>123</v>
      </c>
    </row>
    <row r="55" ht="409" customHeight="true">
      <c r="A55" s="30" t="s">
        <v>126</v>
      </c>
    </row>
    <row r="56" ht="409" customHeight="true">
      <c r="A56" s="30" t="s">
        <v>126</v>
      </c>
    </row>
    <row r="57" ht="409" customHeight="true">
      <c r="A57" s="30" t="s">
        <v>130</v>
      </c>
    </row>
    <row r="58" ht="409" customHeight="true">
      <c r="A58" s="30" t="s">
        <v>130</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141</v>
      </c>
    </row>
    <row r="64" ht="409" customHeight="true">
      <c r="A64" s="30" t="s">
        <v>141</v>
      </c>
    </row>
    <row r="65" ht="409" customHeight="true">
      <c r="A65" s="30" t="s">
        <v>144</v>
      </c>
    </row>
    <row r="66" ht="409" customHeight="true">
      <c r="A66" s="30" t="s">
        <v>144</v>
      </c>
    </row>
    <row r="67" ht="409" customHeight="true">
      <c r="A67" s="30" t="s">
        <v>147</v>
      </c>
    </row>
    <row r="68" ht="409" customHeight="true">
      <c r="A68" s="30" t="s">
        <v>147</v>
      </c>
    </row>
    <row r="69" ht="409" customHeight="true">
      <c r="A69" s="30" t="s">
        <v>151</v>
      </c>
    </row>
    <row r="70" ht="409" customHeight="true">
      <c r="A70" s="30" t="s">
        <v>151</v>
      </c>
    </row>
    <row r="71" ht="409" customHeight="true">
      <c r="A71" s="30" t="s">
        <v>155</v>
      </c>
    </row>
    <row r="72" ht="409" customHeight="true">
      <c r="A72" s="30" t="s">
        <v>155</v>
      </c>
    </row>
    <row r="73" ht="409" customHeight="true">
      <c r="A73" s="30" t="s">
        <v>159</v>
      </c>
    </row>
    <row r="74" ht="409" customHeight="true">
      <c r="A74" s="30" t="s">
        <v>159</v>
      </c>
    </row>
    <row r="75" ht="409" customHeight="true">
      <c r="A75" s="30" t="s">
        <v>163</v>
      </c>
    </row>
    <row r="76" ht="409" customHeight="true">
      <c r="A76" s="30" t="s">
        <v>163</v>
      </c>
    </row>
    <row r="77" ht="409" customHeight="true">
      <c r="A77" s="30" t="s">
        <v>166</v>
      </c>
    </row>
    <row r="78" ht="409" customHeight="true">
      <c r="A78" s="30" t="s">
        <v>166</v>
      </c>
    </row>
    <row r="79" ht="409" customHeight="true">
      <c r="A79" s="30" t="s">
        <v>169</v>
      </c>
    </row>
    <row r="80" ht="409" customHeight="true">
      <c r="A80" s="30" t="s">
        <v>169</v>
      </c>
    </row>
    <row r="81" ht="409" customHeight="true">
      <c r="A81" s="30" t="s">
        <v>173</v>
      </c>
    </row>
    <row r="82" ht="409" customHeight="true">
      <c r="A82" s="30" t="s">
        <v>173</v>
      </c>
    </row>
    <row r="83" ht="409" customHeight="true">
      <c r="A83" s="30" t="s">
        <v>176</v>
      </c>
    </row>
    <row r="84" ht="409" customHeight="true">
      <c r="A84" s="30" t="s">
        <v>176</v>
      </c>
    </row>
    <row r="85" ht="409" customHeight="true">
      <c r="A85" s="30" t="s">
        <v>180</v>
      </c>
    </row>
    <row r="86" ht="409" customHeight="true">
      <c r="A86" s="30" t="s">
        <v>180</v>
      </c>
    </row>
    <row r="87" ht="409" customHeight="true">
      <c r="A87" s="30" t="s">
        <v>183</v>
      </c>
    </row>
    <row r="88" ht="409" customHeight="true">
      <c r="A88" s="30" t="s">
        <v>183</v>
      </c>
    </row>
    <row r="89" ht="409" customHeight="true">
      <c r="A89" s="30" t="s">
        <v>187</v>
      </c>
    </row>
    <row r="90" ht="409" customHeight="true">
      <c r="A90" s="30" t="s">
        <v>187</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196</v>
      </c>
    </row>
    <row r="96" ht="409" customHeight="true">
      <c r="A96" s="30" t="s">
        <v>196</v>
      </c>
    </row>
    <row r="97" ht="409" customHeight="true">
      <c r="A97" s="30" t="s">
        <v>199</v>
      </c>
    </row>
    <row r="98" ht="409" customHeight="true">
      <c r="A98" s="30" t="s">
        <v>199</v>
      </c>
    </row>
    <row r="99" ht="409" customHeight="true">
      <c r="A99" s="30" t="s">
        <v>203</v>
      </c>
    </row>
    <row r="100" ht="409" customHeight="true">
      <c r="A100" s="30" t="s">
        <v>203</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211</v>
      </c>
    </row>
    <row r="106" ht="409" customHeight="true">
      <c r="A106" s="30" t="s">
        <v>211</v>
      </c>
    </row>
    <row r="107" ht="409" customHeight="true">
      <c r="A107" s="30" t="s">
        <v>214</v>
      </c>
    </row>
    <row r="108" ht="409" customHeight="true">
      <c r="A108" s="30" t="s">
        <v>214</v>
      </c>
    </row>
    <row r="109" ht="409" customHeight="true">
      <c r="A109" s="30" t="s">
        <v>217</v>
      </c>
    </row>
    <row r="110" ht="409" customHeight="true">
      <c r="A110" s="30" t="s">
        <v>217</v>
      </c>
    </row>
    <row r="111" ht="409" customHeight="true">
      <c r="A111" s="30" t="s">
        <v>221</v>
      </c>
    </row>
    <row r="112" ht="409" customHeight="true">
      <c r="A112" s="30" t="s">
        <v>221</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248</v>
      </c>
    </row>
    <row r="130" ht="409" customHeight="true">
      <c r="A130" s="30" t="s">
        <v>248</v>
      </c>
    </row>
    <row r="131" ht="409" customHeight="true">
      <c r="A131" s="30" t="s">
        <v>250</v>
      </c>
    </row>
    <row r="132" ht="409" customHeight="true">
      <c r="A132" s="30" t="s">
        <v>250</v>
      </c>
    </row>
    <row r="133" ht="409" customHeight="true">
      <c r="A133" s="30" t="s">
        <v>253</v>
      </c>
    </row>
    <row r="134" ht="409" customHeight="true">
      <c r="A134" s="30" t="s">
        <v>253</v>
      </c>
    </row>
    <row r="135" ht="409" customHeight="true">
      <c r="A135" s="30" t="s">
        <v>257</v>
      </c>
    </row>
    <row r="136" ht="409" customHeight="true">
      <c r="A136" s="30" t="s">
        <v>257</v>
      </c>
    </row>
    <row r="137" ht="409" customHeight="true">
      <c r="A137" s="30" t="s">
        <v>259</v>
      </c>
    </row>
    <row r="138" ht="409" customHeight="true">
      <c r="A138" s="30" t="s">
        <v>259</v>
      </c>
    </row>
    <row r="139" ht="409" customHeight="true">
      <c r="A139" s="30" t="s">
        <v>262</v>
      </c>
    </row>
    <row r="140" ht="409" customHeight="true">
      <c r="A140" s="30" t="s">
        <v>262</v>
      </c>
    </row>
    <row r="141" ht="409" customHeight="true">
      <c r="A141" s="30" t="s">
        <v>265</v>
      </c>
    </row>
    <row r="142" ht="409" customHeight="true">
      <c r="A142" s="30" t="s">
        <v>265</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