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7"/>
  </bookViews>
  <sheets>
    <sheet name="data" sheetId="1" r:id="rId1"/>
    <sheet name="Time Estimator" sheetId="2" r:id="rId4"/>
    <sheet name="Pool Draw" sheetId="3" r:id="rId5"/>
    <sheet name="Pool Matches" sheetId="4" r:id="rId6"/>
    <sheet name="Elimination Matches" sheetId="5" r:id="rId7"/>
    <sheet name="Tree" sheetId="7" r:id="rId9"/>
    <sheet name="Names to Print A" sheetId="8" r:id="rId11"/>
    <sheet name="Tags" sheetId="9" r:id="rId12"/>
  </sheets>
  <definedNames>
    <definedName localSheetId="2" name="_xlnm.Print_Area">'Pool Draw'!$B$2:$F$12</definedName>
    <definedName localSheetId="3" name="_xlnm.Print_Area">'Pool Matches'!$A$1:$H$45</definedName>
    <definedName localSheetId="6" name="_xlnm.Print_Area">'Names to Print A'!$A$1:$B$8</definedName>
  </definedNames>
  <calcPr calcId="122211"/>
</workbook>
</file>

<file path=xl/sharedStrings.xml><?xml version="1.0" encoding="utf-8"?>
<sst xmlns="http://schemas.openxmlformats.org/spreadsheetml/2006/main" count="65" uniqueCount="65">
  <si>
    <t>Number of pools</t>
  </si>
  <si>
    <t>Team size</t>
  </si>
  <si>
    <t>Matches per pool</t>
  </si>
  <si>
    <t>Time per match</t>
  </si>
  <si>
    <t>Total time for matches</t>
  </si>
  <si>
    <t>Padding time for rotation</t>
  </si>
  <si>
    <t>Time for breaks</t>
  </si>
  <si>
    <t>Total Time</t>
  </si>
  <si>
    <t>Number of Elimination Matches</t>
  </si>
  <si>
    <t>Title prefix:</t>
  </si>
  <si>
    <t>Engi Sample (mixed)</t>
  </si>
  <si>
    <t>Pool</t>
  </si>
  <si>
    <t>Player Name</t>
  </si>
  <si>
    <t>Player Dojo</t>
  </si>
  <si>
    <t>Display Name</t>
  </si>
  <si>
    <t>Metadata</t>
  </si>
  <si>
    <t>Pool A</t>
  </si>
  <si>
    <t>Yuki Tanaka</t>
  </si>
  <si>
    <t>Kita Dojo</t>
  </si>
  <si>
    <t>Jun Ito</t>
  </si>
  <si>
    <t>Ren Suzuki</t>
  </si>
  <si>
    <t>Higashi Dojo</t>
  </si>
  <si>
    <t>Emi Nakamura</t>
  </si>
  <si>
    <t>Sora Yamamoto</t>
  </si>
  <si>
    <t>Chuo Dojo</t>
  </si>
  <si>
    <t>Hana Kato</t>
  </si>
  <si>
    <t>Rin Kobayashi</t>
  </si>
  <si>
    <t>Ume Dojo</t>
  </si>
  <si>
    <t>Yui Sato</t>
  </si>
  <si>
    <t>Pool B</t>
  </si>
  <si>
    <t>Haru Sato</t>
  </si>
  <si>
    <t>Minami Dojo</t>
  </si>
  <si>
    <t>Nao Yamamoto</t>
  </si>
  <si>
    <t>Aoi Ito</t>
  </si>
  <si>
    <t>Nishi Dojo</t>
  </si>
  <si>
    <t>Taro Kobayashi</t>
  </si>
  <si>
    <t>Kai Nakamura</t>
  </si>
  <si>
    <t>Sakura Dojo</t>
  </si>
  <si>
    <t>Ken Tanaka</t>
  </si>
  <si>
    <t>Mei Kato</t>
  </si>
  <si>
    <t>Take Dojo</t>
  </si>
  <si>
    <t>Dai Suzuki</t>
  </si>
  <si>
    <t>Shiaijo A</t>
  </si>
  <si>
    <t>Red</t>
  </si>
  <si>
    <t>vs</t>
  </si>
  <si>
    <t>White</t>
  </si>
  <si>
    <t>Results</t>
  </si>
  <si>
    <t>W</t>
  </si>
  <si>
    <t>L</t>
  </si>
  <si>
    <t>Flags</t>
  </si>
  <si>
    <t>Rank</t>
  </si>
  <si>
    <t>Ranking</t>
  </si>
  <si>
    <t>1.</t>
  </si>
  <si>
    <t>2.</t>
  </si>
  <si>
    <t>3.</t>
  </si>
  <si>
    <t>4.</t>
  </si>
  <si>
    <t>3rd Place</t>
  </si>
  <si>
    <t>A1</t>
  </si>
  <si>
    <t>A2</t>
  </si>
  <si>
    <t>A3</t>
  </si>
  <si>
    <t>A4</t>
  </si>
  <si>
    <t>B1</t>
  </si>
  <si>
    <t>B2</t>
  </si>
  <si>
    <t>B3</t>
  </si>
  <si>
    <t>B4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</si>
</sst>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3">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
      <name val="Calibri"/>
      <family val="2"/>
      <b val="1"/>
      <color/>
      <sz val="25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3" borderId="3" xfId="0" applyFont="true" applyFill="true" applyBorder="true" applyAlignment="true">
      <alignment horizontal="right" vertical="center"/>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xf numFmtId="0" fontId="12"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9" Target="worksheets/sheet7.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29</v>
      </c>
      <c r="B7" t="s">
        <v>30</v>
      </c>
      <c r="C7" t="s">
        <v>31</v>
      </c>
      <c r="D7" t="s">
        <v>32</v>
      </c>
    </row>
    <row r="8">
      <c r="A8" t="s">
        <v>29</v>
      </c>
      <c r="B8" t="s">
        <v>33</v>
      </c>
      <c r="C8" t="s">
        <v>34</v>
      </c>
      <c r="D8" t="s">
        <v>35</v>
      </c>
    </row>
    <row r="9">
      <c r="A9" t="s">
        <v>29</v>
      </c>
      <c r="B9" t="s">
        <v>36</v>
      </c>
      <c r="C9" t="s">
        <v>37</v>
      </c>
      <c r="D9" t="s">
        <v>38</v>
      </c>
    </row>
    <row r="10">
      <c r="A10" t="s">
        <v>29</v>
      </c>
      <c r="B10" t="s">
        <v>39</v>
      </c>
      <c r="C10" t="s">
        <v>40</v>
      </c>
      <c r="D10" t="s">
        <v>41</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'data'!$A$10</f>
      </c>
    </row>
    <row r="6" ht="17" customHeight="true">
      <c r="B6" s="12" t="str">
        <f>"1. " &amp; data!$B$3</f>
      </c>
      <c r="D6" s="12" t="str">
        <f>"1. " &amp; data!$B$7</f>
      </c>
    </row>
    <row r="7" ht="17" customHeight="true">
      <c r="B7" s="12" t="str">
        <f>"2. " &amp; data!$B$4</f>
      </c>
      <c r="D7" s="12" t="str">
        <f>"2. " &amp; data!$B$8</f>
      </c>
    </row>
    <row r="8">
      <c r="B8" s="12" t="str">
        <f>"3. " &amp; data!$B$5</f>
      </c>
      <c r="D8" s="12" t="str">
        <f>"3. " &amp; data!$B$9</f>
      </c>
    </row>
    <row r="9">
      <c r="B9" s="12" t="str">
        <f>"4. " &amp; data!$B$6</f>
      </c>
      <c r="D9" s="12" t="str">
        <f>"4. " &amp; 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42</v>
      </c>
      <c r="B1" s="13"/>
      <c r="C1" s="13"/>
      <c r="D1" s="13"/>
      <c r="E1" s="13"/>
      <c r="F1" s="13"/>
      <c r="G1" s="13"/>
    </row>
    <row r="2">
      <c r="A2" s="13" t="str">
        <f>'data'!$A$6</f>
      </c>
      <c r="B2" s="13"/>
      <c r="C2" s="13"/>
      <c r="D2" s="13"/>
      <c r="E2" s="13"/>
      <c r="F2" s="13"/>
      <c r="G2" s="13"/>
    </row>
    <row r="3">
      <c r="A3" s="16" t="s">
        <v>43</v>
      </c>
      <c r="D3" s="14" t="s">
        <v>44</v>
      </c>
      <c r="G3" s="17" t="s">
        <v>45</v>
      </c>
    </row>
    <row r="4">
      <c r="A4" s="14" t="str">
        <f>'data'!$B$3</f>
      </c>
      <c r="B4" s="18"/>
      <c r="C4" s="18"/>
      <c r="D4" s="18"/>
      <c r="E4" s="18"/>
      <c r="F4" s="18"/>
      <c r="G4" s="14" t="str">
        <f>'data'!$B$4</f>
      </c>
    </row>
    <row r="5">
      <c r="A5" s="14" t="str">
        <f>'data'!$B$5</f>
      </c>
      <c r="B5" s="18"/>
      <c r="C5" s="18"/>
      <c r="D5" s="18"/>
      <c r="E5" s="18"/>
      <c r="F5" s="18"/>
      <c r="G5" s="14" t="str">
        <f>'data'!$B$4</f>
      </c>
    </row>
    <row r="6">
      <c r="A6" s="14" t="str">
        <f>'data'!$B$5</f>
      </c>
      <c r="B6" s="18"/>
      <c r="C6" s="18"/>
      <c r="D6" s="18"/>
      <c r="E6" s="18"/>
      <c r="F6" s="18"/>
      <c r="G6" s="14" t="str">
        <f>'data'!$B$6</f>
      </c>
    </row>
    <row r="7">
      <c r="A7" s="14" t="str">
        <f>'data'!$B$3</f>
      </c>
      <c r="B7" s="18"/>
      <c r="C7" s="18"/>
      <c r="D7" s="18"/>
      <c r="E7" s="18"/>
      <c r="F7" s="18"/>
      <c r="G7" s="14" t="str">
        <f>'data'!$B$6</f>
      </c>
    </row>
    <row r="8">
      <c r="A8" s="14" t="str">
        <f>'data'!$B$3</f>
      </c>
      <c r="B8" s="18"/>
      <c r="C8" s="18"/>
      <c r="D8" s="18"/>
      <c r="E8" s="18"/>
      <c r="F8" s="18"/>
      <c r="G8" s="14" t="str">
        <f>'data'!$B$5</f>
      </c>
    </row>
    <row r="9">
      <c r="A9" s="14" t="str">
        <f>'data'!$B$4</f>
      </c>
      <c r="B9" s="18"/>
      <c r="C9" s="18"/>
      <c r="D9" s="18"/>
      <c r="E9" s="18"/>
      <c r="F9" s="18"/>
      <c r="G9" s="14" t="str">
        <f>'data'!$B$6</f>
      </c>
    </row>
    <row r="11">
      <c r="A11" s="13" t="s">
        <v>46</v>
      </c>
      <c r="B11" s="13" t="s">
        <v>47</v>
      </c>
      <c r="C11" s="13" t="s">
        <v>48</v>
      </c>
      <c r="D11" s="13" t="s">
        <v>49</v>
      </c>
      <c r="E11" s="13"/>
      <c r="F11" s="13"/>
      <c r="G11" s="13" t="s">
        <v>50</v>
      </c>
    </row>
    <row r="12">
      <c r="A12" s="14" t="str">
        <f>'data'!$B$3</f>
      </c>
      <c r="B12" s="14" t="str">
        <f>0</f>
      </c>
      <c r="C12" s="14" t="str">
        <f>0</f>
      </c>
      <c r="D12" s="14" t="str">
        <f>0</f>
      </c>
      <c r="E12" s="14"/>
      <c r="F12" s="14"/>
      <c r="G12" s="18" t="str">
        <f>RANK(U12,$U$12:$U$15)+COUNTIF($U$11:U11,U12)</f>
      </c>
      <c r="U12" t="str">
        <f>(B12*1000000)+(D12)</f>
      </c>
    </row>
    <row r="13">
      <c r="A13" s="14" t="str">
        <f>'data'!$B$4</f>
      </c>
      <c r="B13" s="14" t="str">
        <f>0</f>
      </c>
      <c r="C13" s="14" t="str">
        <f>0</f>
      </c>
      <c r="D13" s="14" t="str">
        <f>0</f>
      </c>
      <c r="E13" s="14"/>
      <c r="F13" s="14"/>
      <c r="G13" s="18" t="str">
        <f>RANK(U13,$U$12:$U$15)+COUNTIF($U$11:U12,U13)</f>
      </c>
      <c r="U13" t="str">
        <f>(B13*1000000)+(D13)</f>
      </c>
    </row>
    <row r="14">
      <c r="A14" s="14" t="str">
        <f>'data'!$B$5</f>
      </c>
      <c r="B14" s="14" t="str">
        <f>0</f>
      </c>
      <c r="C14" s="14" t="str">
        <f>0</f>
      </c>
      <c r="D14" s="14" t="str">
        <f>0</f>
      </c>
      <c r="E14" s="14"/>
      <c r="F14" s="14"/>
      <c r="G14" s="18" t="str">
        <f>RANK(U14,$U$12:$U$15)+COUNTIF($U$11:U13,U14)</f>
      </c>
      <c r="U14" t="str">
        <f>(B14*1000000)+(D14)</f>
      </c>
    </row>
    <row r="15">
      <c r="A15" s="14" t="str">
        <f>'data'!$B$6</f>
      </c>
      <c r="B15" s="14" t="str">
        <f>0</f>
      </c>
      <c r="C15" s="14" t="str">
        <f>0</f>
      </c>
      <c r="D15" s="14" t="str">
        <f>0</f>
      </c>
      <c r="E15" s="14"/>
      <c r="F15" s="14"/>
      <c r="G15" s="18" t="str">
        <f>RANK(U15,$U$12:$U$15)+COUNTIF($U$11:U14,U15)</f>
      </c>
      <c r="U15" t="str">
        <f>(B15*1000000)+(D15)</f>
      </c>
    </row>
    <row r="18">
      <c r="F18" s="13"/>
      <c r="G18" s="13" t="s">
        <v>51</v>
      </c>
    </row>
    <row r="19">
      <c r="F19" t="s">
        <v>52</v>
      </c>
      <c r="G19" s="19" t="str">
        <f>IFERROR(INDEX($A$12:$A$15, MATCH(1, $G$12:$G$15, 0)), "-")</f>
      </c>
    </row>
    <row r="20">
      <c r="F20" t="s">
        <v>53</v>
      </c>
      <c r="G20" s="19" t="str">
        <f>IFERROR(INDEX($A$12:$A$15, MATCH(2, $G$12:$G$15, 0)), "-")</f>
      </c>
    </row>
    <row r="21">
      <c r="F21" t="s">
        <v>54</v>
      </c>
      <c r="G21" s="19" t="str">
        <f>IFERROR(INDEX($A$12:$A$15, MATCH(3, $G$12:$G$15, 0)), "-")</f>
      </c>
    </row>
    <row r="22">
      <c r="F22" t="s">
        <v>55</v>
      </c>
      <c r="G22" s="19" t="str">
        <f>IFERROR(INDEX($A$12:$A$15, MATCH(4, $G$12:$G$15, 0)), "-")</f>
      </c>
    </row>
    <row r="24">
      <c r="A24" s="13" t="str">
        <f>'data'!$A$10</f>
      </c>
      <c r="B24" s="13"/>
      <c r="C24" s="13"/>
      <c r="D24" s="13"/>
      <c r="E24" s="13"/>
      <c r="F24" s="13"/>
      <c r="G24" s="13"/>
    </row>
    <row r="25">
      <c r="A25" s="16" t="s">
        <v>43</v>
      </c>
      <c r="D25" s="14" t="s">
        <v>44</v>
      </c>
      <c r="G25" s="17" t="s">
        <v>45</v>
      </c>
    </row>
    <row r="26">
      <c r="A26" s="14" t="str">
        <f>'data'!$B$7</f>
      </c>
      <c r="B26" s="18"/>
      <c r="C26" s="18"/>
      <c r="D26" s="18"/>
      <c r="E26" s="18"/>
      <c r="F26" s="18"/>
      <c r="G26" s="14" t="str">
        <f>'data'!$B$8</f>
      </c>
    </row>
    <row r="27">
      <c r="A27" s="14" t="str">
        <f>'data'!$B$9</f>
      </c>
      <c r="B27" s="18"/>
      <c r="C27" s="18"/>
      <c r="D27" s="18"/>
      <c r="E27" s="18"/>
      <c r="F27" s="18"/>
      <c r="G27" s="14" t="str">
        <f>'data'!$B$8</f>
      </c>
    </row>
    <row r="28">
      <c r="A28" s="14" t="str">
        <f>'data'!$B$9</f>
      </c>
      <c r="B28" s="18"/>
      <c r="C28" s="18"/>
      <c r="D28" s="18"/>
      <c r="E28" s="18"/>
      <c r="F28" s="18"/>
      <c r="G28" s="14" t="str">
        <f>'data'!$B$10</f>
      </c>
    </row>
    <row r="29">
      <c r="A29" s="14" t="str">
        <f>'data'!$B$7</f>
      </c>
      <c r="B29" s="18"/>
      <c r="C29" s="18"/>
      <c r="D29" s="18"/>
      <c r="E29" s="18"/>
      <c r="F29" s="18"/>
      <c r="G29" s="14" t="str">
        <f>'data'!$B$10</f>
      </c>
    </row>
    <row r="30">
      <c r="A30" s="14" t="str">
        <f>'data'!$B$7</f>
      </c>
      <c r="B30" s="18"/>
      <c r="C30" s="18"/>
      <c r="D30" s="18"/>
      <c r="E30" s="18"/>
      <c r="F30" s="18"/>
      <c r="G30" s="14" t="str">
        <f>'data'!$B$9</f>
      </c>
    </row>
    <row r="31">
      <c r="A31" s="14" t="str">
        <f>'data'!$B$8</f>
      </c>
      <c r="B31" s="18"/>
      <c r="C31" s="18"/>
      <c r="D31" s="18"/>
      <c r="E31" s="18"/>
      <c r="F31" s="18"/>
      <c r="G31" s="14" t="str">
        <f>'data'!$B$10</f>
      </c>
    </row>
    <row r="33">
      <c r="A33" s="13" t="s">
        <v>46</v>
      </c>
      <c r="B33" s="13" t="s">
        <v>47</v>
      </c>
      <c r="C33" s="13" t="s">
        <v>48</v>
      </c>
      <c r="D33" s="13" t="s">
        <v>49</v>
      </c>
      <c r="E33" s="13"/>
      <c r="F33" s="13"/>
      <c r="G33" s="13" t="s">
        <v>50</v>
      </c>
    </row>
    <row r="34">
      <c r="A34" s="14" t="str">
        <f>'data'!$B$7</f>
      </c>
      <c r="B34" s="14" t="str">
        <f>0</f>
      </c>
      <c r="C34" s="14" t="str">
        <f>0</f>
      </c>
      <c r="D34" s="14" t="str">
        <f>0</f>
      </c>
      <c r="E34" s="14"/>
      <c r="F34" s="14"/>
      <c r="G34" s="18" t="str">
        <f>RANK(U34,$U$34:$U$37)+COUNTIF($U$33:U33,U34)</f>
      </c>
      <c r="U34" t="str">
        <f>(B34*1000000)+(D34)</f>
      </c>
    </row>
    <row r="35">
      <c r="A35" s="14" t="str">
        <f>'data'!$B$8</f>
      </c>
      <c r="B35" s="14" t="str">
        <f>0</f>
      </c>
      <c r="C35" s="14" t="str">
        <f>0</f>
      </c>
      <c r="D35" s="14" t="str">
        <f>0</f>
      </c>
      <c r="E35" s="14"/>
      <c r="F35" s="14"/>
      <c r="G35" s="18" t="str">
        <f>RANK(U35,$U$34:$U$37)+COUNTIF($U$33:U34,U35)</f>
      </c>
      <c r="U35" t="str">
        <f>(B35*1000000)+(D35)</f>
      </c>
    </row>
    <row r="36">
      <c r="A36" s="14" t="str">
        <f>'data'!$B$9</f>
      </c>
      <c r="B36" s="14" t="str">
        <f>0</f>
      </c>
      <c r="C36" s="14" t="str">
        <f>0</f>
      </c>
      <c r="D36" s="14" t="str">
        <f>0</f>
      </c>
      <c r="E36" s="14"/>
      <c r="F36" s="14"/>
      <c r="G36" s="18" t="str">
        <f>RANK(U36,$U$34:$U$37)+COUNTIF($U$33:U35,U36)</f>
      </c>
      <c r="U36" t="str">
        <f>(B36*1000000)+(D36)</f>
      </c>
    </row>
    <row r="37">
      <c r="A37" s="14" t="str">
        <f>'data'!$B$10</f>
      </c>
      <c r="B37" s="14" t="str">
        <f>0</f>
      </c>
      <c r="C37" s="14" t="str">
        <f>0</f>
      </c>
      <c r="D37" s="14" t="str">
        <f>0</f>
      </c>
      <c r="E37" s="14"/>
      <c r="F37" s="14"/>
      <c r="G37" s="18" t="str">
        <f>RANK(U37,$U$34:$U$37)+COUNTIF($U$33:U36,U37)</f>
      </c>
      <c r="U37" t="str">
        <f>(B37*1000000)+(D37)</f>
      </c>
    </row>
    <row r="40">
      <c r="F40" s="13"/>
      <c r="G40" s="13" t="s">
        <v>51</v>
      </c>
    </row>
    <row r="41">
      <c r="F41" t="s">
        <v>52</v>
      </c>
      <c r="G41" s="19" t="str">
        <f>IFERROR(INDEX($A$34:$A$37, MATCH(1, $G$34:$G$37, 0)), "-")</f>
      </c>
    </row>
    <row r="42">
      <c r="F42" t="s">
        <v>53</v>
      </c>
      <c r="G42" s="19" t="str">
        <f>IFERROR(INDEX($A$34:$A$37, MATCH(2, $G$34:$G$37, 0)), "-")</f>
      </c>
    </row>
    <row r="43">
      <c r="F43" t="s">
        <v>54</v>
      </c>
      <c r="G43" s="19" t="str">
        <f>IFERROR(INDEX($A$34:$A$37, MATCH(3, $G$34:$G$37, 0)), "-")</f>
      </c>
    </row>
    <row r="44">
      <c r="F44" t="s">
        <v>55</v>
      </c>
      <c r="G44" s="19" t="str">
        <f>IFERROR(INDEX($A$34:$A$37, MATCH(4, $G$34:$G$37, 0)), "-")</f>
      </c>
    </row>
  </sheetData>
  <mergeCells count="3">
    <mergeCell ref="A1:G1"/>
    <mergeCell ref="A2:G2"/>
    <mergeCell ref="A24:G24"/>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dimension ref="A1"/>
  <sheetViews>
    <sheetView workbookViewId="0"/>
  </sheetViews>
  <cols>
    <col customWidth="true" max="1" min="1" width="34.83"/>
    <col customWidth="true" max="6" min="2" width="3.83"/>
    <col customWidth="true" max="7" min="7" width="34.83"/>
    <col customWidth="true" max="8" min="8" width="3.83"/>
    <col customWidth="true" max="9" min="9" width="34.83"/>
    <col customWidth="true" max="14" min="10" width="3.83"/>
    <col customWidth="true" max="15" min="15" width="34.83"/>
    <col customWidth="true" max="20" min="16" width="10.83"/>
  </cols>
  <sheetData>
    <row r="2">
      <c r="A2" s="13" t="s">
        <v>56</v>
      </c>
      <c r="B2" s="13"/>
      <c r="C2" s="13"/>
      <c r="D2" s="13"/>
      <c r="E2" s="13"/>
      <c r="F2" s="13"/>
      <c r="G2" s="13"/>
    </row>
    <row r="3">
      <c r="A3" s="16" t="s">
        <v>43</v>
      </c>
      <c r="D3" s="14" t="s">
        <v>44</v>
      </c>
      <c r="G3" s="17" t="s">
        <v>45</v>
      </c>
    </row>
    <row r="4">
      <c r="A4" s="14"/>
      <c r="B4" s="18"/>
      <c r="C4" s="18"/>
      <c r="D4" s="18"/>
      <c r="E4" s="18"/>
      <c r="F4" s="18"/>
      <c r="G4" s="14"/>
    </row>
    <row r="6">
      <c r="F6" t="s">
        <v>52</v>
      </c>
      <c r="G6" s="19"/>
    </row>
    <row r="7">
      <c r="F7" t="s">
        <v>53</v>
      </c>
      <c r="G7" s="19"/>
    </row>
  </sheetData>
  <mergeCells count="1">
    <mergeCell ref="A2:G2"/>
  </mergeCells>
</worksheet>
</file>

<file path=xl/worksheets/sheet7.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row r="1">
      <c r="A1" s="13" t="str">
        <f>IF(data!$B$1="","Engi Sample (mixed)",data!$B$1&amp;" - Engi Sample (mixed)")</f>
      </c>
      <c r="B1" s="13"/>
      <c r="C1" s="13"/>
      <c r="D1" s="13"/>
      <c r="E1" s="13"/>
      <c r="F1" s="13"/>
      <c r="G1" s="13"/>
      <c r="H1" s="13"/>
      <c r="I1" s="13"/>
      <c r="J1" s="13"/>
      <c r="K1" s="13"/>
      <c r="L1" s="13"/>
      <c r="M1" s="13"/>
      <c r="N1" s="13"/>
      <c r="O1" s="13"/>
      <c r="P1" s="13"/>
    </row>
    <row r="2">
      <c r="C2" s="23" t="str">
        <f>CONCATENATE("Pool A-1st ",'Pool Matches'!G19)</f>
      </c>
    </row>
    <row r="3">
      <c r="D3" s="22"/>
      <c r="E3" s="21"/>
    </row>
    <row r="4">
      <c r="C4" s="23" t="str">
        <f>CONCATENATE("Pool B-2nd ",'Pool Matches'!G42)</f>
      </c>
      <c r="D4" s="15"/>
      <c r="E4" s="20"/>
      <c r="F4" s="22"/>
      <c r="G4" s="20"/>
    </row>
    <row r="5">
      <c r="G5" s="21"/>
    </row>
    <row r="6">
      <c r="C6" s="23" t="str">
        <f>CONCATENATE("Pool B-1st ",'Pool Matches'!G41)</f>
      </c>
      <c r="G6" s="20"/>
    </row>
    <row r="7">
      <c r="D7" s="22"/>
      <c r="E7" s="21"/>
      <c r="F7" s="15"/>
      <c r="G7" s="20"/>
    </row>
    <row r="8">
      <c r="C8" s="23" t="str">
        <f>CONCATENATE("Pool A-2nd ",'Pool Matches'!G20)</f>
      </c>
      <c r="D8" s="15"/>
      <c r="E8" s="20"/>
    </row>
  </sheetData>
  <mergeCells count="1">
    <mergeCell ref="A1:P1"/>
  </mergeCells>
  <pageSetup orientation="portrait" paperSize="9"/>
</worksheet>
</file>

<file path=xl/worksheets/sheet8.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4" t="s">
        <v>57</v>
      </c>
      <c r="B1" s="25" t="str">
        <f>'data'!D3</f>
      </c>
    </row>
    <row r="2" ht="270" customHeight="true">
      <c r="A2" s="24" t="s">
        <v>58</v>
      </c>
      <c r="B2" s="25" t="str">
        <f>'data'!D4</f>
      </c>
    </row>
    <row r="3" ht="270" customHeight="true">
      <c r="A3" s="24" t="s">
        <v>59</v>
      </c>
      <c r="B3" s="25" t="str">
        <f>'data'!D5</f>
      </c>
    </row>
    <row r="4" ht="270" customHeight="true">
      <c r="A4" s="24" t="s">
        <v>60</v>
      </c>
      <c r="B4" s="25" t="str">
        <f>'data'!D6</f>
      </c>
    </row>
    <row r="5" ht="270" customHeight="true">
      <c r="A5" s="24" t="s">
        <v>61</v>
      </c>
      <c r="B5" s="25" t="str">
        <f>'data'!D7</f>
      </c>
    </row>
    <row r="6" ht="270" customHeight="true">
      <c r="A6" s="24" t="s">
        <v>62</v>
      </c>
      <c r="B6" s="25" t="str">
        <f>'data'!D8</f>
      </c>
    </row>
    <row r="7" ht="270" customHeight="true">
      <c r="A7" s="24" t="s">
        <v>63</v>
      </c>
      <c r="B7" s="25" t="str">
        <f>'data'!D9</f>
      </c>
    </row>
    <row r="8" ht="270" customHeight="true">
      <c r="A8" s="24" t="s">
        <v>64</v>
      </c>
      <c r="B8" s="25" t="str">
        <f>'data'!D10</f>
      </c>
    </row>
  </sheetData>
  <pageMargins left="0.1" right="0.1" top="0.1" bottom="0.1" header="0.1" footer="0.1"/>
  <pageSetup orientation="landscape" paperSize="8"/>
  <rowBreaks count="2" manualBreakCount="2">
    <brk id="3" max="16383" man="true"/>
    <brk id="6" max="16383" man="true"/>
  </rowBreaks>
  <colBreaks/>
</worksheet>
</file>

<file path=xl/worksheets/sheet9.xml><?xml version="1.0" encoding="utf-8"?>
<worksheet xmlns="http://schemas.openxmlformats.org/spreadsheetml/2006/main">
  <dimension ref="A1"/>
  <sheetViews>
    <sheetView tabSelected="true" workbookViewId="0"/>
  </sheetViews>
  <cols>
    <col customWidth="true" max="1" min="1" width="110"/>
  </cols>
  <sheetData>
    <row r="1" ht="409" customHeight="true">
      <c r="A1" s="26" t="s">
        <v>57</v>
      </c>
    </row>
    <row r="2" ht="409" customHeight="true">
      <c r="A2" s="26" t="s">
        <v>57</v>
      </c>
    </row>
    <row r="3" ht="409" customHeight="true">
      <c r="A3" s="26" t="s">
        <v>58</v>
      </c>
    </row>
    <row r="4" ht="409" customHeight="true">
      <c r="A4" s="26" t="s">
        <v>58</v>
      </c>
    </row>
    <row r="5" ht="409" customHeight="true">
      <c r="A5" s="26" t="s">
        <v>59</v>
      </c>
    </row>
    <row r="6" ht="409" customHeight="true">
      <c r="A6" s="26" t="s">
        <v>59</v>
      </c>
    </row>
    <row r="7" ht="409" customHeight="true">
      <c r="A7" s="26" t="s">
        <v>60</v>
      </c>
    </row>
    <row r="8" ht="409" customHeight="true">
      <c r="A8" s="26" t="s">
        <v>60</v>
      </c>
    </row>
    <row r="9" ht="409" customHeight="true">
      <c r="A9" s="26" t="s">
        <v>61</v>
      </c>
    </row>
    <row r="10" ht="409" customHeight="true">
      <c r="A10" s="26" t="s">
        <v>61</v>
      </c>
    </row>
    <row r="11" ht="409" customHeight="true">
      <c r="A11" s="26" t="s">
        <v>62</v>
      </c>
    </row>
    <row r="12" ht="409" customHeight="true">
      <c r="A12" s="26" t="s">
        <v>62</v>
      </c>
    </row>
    <row r="13" ht="409" customHeight="true">
      <c r="A13" s="26" t="s">
        <v>63</v>
      </c>
    </row>
    <row r="14" ht="409" customHeight="true">
      <c r="A14" s="26" t="s">
        <v>63</v>
      </c>
    </row>
    <row r="15" ht="409" customHeight="true">
      <c r="A15" s="26" t="s">
        <v>64</v>
      </c>
    </row>
    <row r="16" ht="409" customHeight="true">
      <c r="A16" s="26" t="s">
        <v>64</v>
      </c>
    </row>
  </sheetData>
  <pageMargins left="0.1" right="0.1" top="0.1" bottom="0.1" header="0.1" footer="0.1"/>
  <pageSetup orientation="portrait" paperSize="9"/>
  <rowBreaks count="8" manualBreakCount="8">
    <brk id="2" max="16383" man="true"/>
    <brk id="4" max="16383" man="true"/>
    <brk id="6" max="16383" man="true"/>
    <brk id="8" max="16383" man="true"/>
    <brk id="10" max="16383" man="true"/>
    <brk id="12" max="16383" man="true"/>
    <brk id="14" max="16383" man="true"/>
    <brk id="1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