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<sst xmlns="http://schemas.openxmlformats.org/spreadsheetml/2006/main" count="416" uniqueCount="416">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</sst>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'data'!$B$3</f>
      </c>
      <c r="I12" s="14" t="str">
        <f>'data'!$B$52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'data'!$B$4</f>
      </c>
      <c r="I20" s="14" t="str">
        <f>'data'!$B$52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'data'!$B$6</f>
      </c>
      <c r="I47" s="14" t="str">
        <f>'data'!$B$54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'data'!$B$6</f>
      </c>
      <c r="I55" s="14" t="str">
        <f>'data'!$B$55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'data'!$B$7</f>
      </c>
      <c r="I63" s="14" t="str">
        <f>'data'!$B$55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'data'!$B$9</f>
      </c>
      <c r="I90" s="14" t="str">
        <f>'data'!$B$57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'data'!$B$9</f>
      </c>
      <c r="I98" s="14" t="str">
        <f>'data'!$B$58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'data'!$B$10</f>
      </c>
      <c r="I106" s="14" t="str">
        <f>'data'!$B$58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'data'!$B$12</f>
      </c>
      <c r="I133" s="14" t="str">
        <f>'data'!$B$60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'data'!$B$12</f>
      </c>
      <c r="I141" s="14" t="str">
        <f>'data'!$B$61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'data'!$B$13</f>
      </c>
      <c r="I149" s="14" t="str">
        <f>'data'!$B$61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'data'!$B$15</f>
      </c>
      <c r="I176" s="14" t="str">
        <f>'data'!$B$63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'data'!$B$15</f>
      </c>
      <c r="I184" s="14" t="str">
        <f>'data'!$B$64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'data'!$B$16</f>
      </c>
      <c r="I192" s="14" t="str">
        <f>'data'!$B$64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'data'!$B$18</f>
      </c>
      <c r="I219" s="14" t="str">
        <f>'data'!$B$66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'data'!$B$18</f>
      </c>
      <c r="I227" s="14" t="str">
        <f>'data'!$B$67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'data'!$B$19</f>
      </c>
      <c r="I235" s="14" t="str">
        <f>'data'!$B$67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'data'!$B$21</f>
      </c>
      <c r="I262" s="14" t="str">
        <f>'data'!$B$69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'data'!$B$21</f>
      </c>
      <c r="I270" s="14" t="str">
        <f>'data'!$B$70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'data'!$B$22</f>
      </c>
      <c r="I278" s="14" t="str">
        <f>'data'!$B$70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'data'!$B$24</f>
      </c>
      <c r="I305" s="14" t="str">
        <f>'data'!$B$72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'data'!$B$24</f>
      </c>
      <c r="I313" s="14" t="str">
        <f>'data'!$B$73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'data'!$B$25</f>
      </c>
      <c r="I321" s="14" t="str">
        <f>'data'!$B$73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'data'!$B$27</f>
      </c>
      <c r="I348" s="14" t="str">
        <f>'data'!$B$75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'data'!$B$27</f>
      </c>
      <c r="I356" s="14" t="str">
        <f>'data'!$B$76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'data'!$B$28</f>
      </c>
      <c r="I364" s="14" t="str">
        <f>'data'!$B$76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'data'!$B$30</f>
      </c>
      <c r="I391" s="14" t="str">
        <f>'data'!$B$78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'data'!$B$30</f>
      </c>
      <c r="I399" s="14" t="str">
        <f>'data'!$B$79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'data'!$B$31</f>
      </c>
      <c r="I407" s="14" t="str">
        <f>'data'!$B$79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'data'!$B$33</f>
      </c>
      <c r="I434" s="14" t="str">
        <f>'data'!$B$81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'data'!$B$33</f>
      </c>
      <c r="I442" s="14" t="str">
        <f>'data'!$B$82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'data'!$B$34</f>
      </c>
      <c r="I450" s="14" t="str">
        <f>'data'!$B$82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'data'!$B$36</f>
      </c>
      <c r="I477" s="14" t="str">
        <f>'data'!$B$84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'data'!$B$36</f>
      </c>
      <c r="I485" s="14" t="str">
        <f>'data'!$B$85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'data'!$B$37</f>
      </c>
      <c r="I493" s="14" t="str">
        <f>'data'!$B$85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'data'!$B$39</f>
      </c>
      <c r="I520" s="14" t="str">
        <f>'data'!$B$87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'data'!$B$39</f>
      </c>
      <c r="I528" s="14" t="str">
        <f>'data'!$B$88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'data'!$B$40</f>
      </c>
      <c r="I536" s="14" t="str">
        <f>'data'!$B$88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'data'!$B$42</f>
      </c>
      <c r="I563" s="14" t="str">
        <f>'data'!$B$90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'data'!$B$42</f>
      </c>
      <c r="I571" s="14" t="str">
        <f>'data'!$B$91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'data'!$B$43</f>
      </c>
      <c r="I579" s="14" t="str">
        <f>'data'!$B$91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'data'!$B$45</f>
      </c>
      <c r="I606" s="14" t="str">
        <f>'data'!$B$93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Q-2nd ",'Pool Matches'!O41)</f>
      </c>
      <c r="B4" s="14"/>
      <c r="C4" s="14"/>
      <c r="D4" s="18"/>
      <c r="E4" s="14"/>
      <c r="F4" s="14"/>
      <c r="G4" s="14" t="str">
        <f>CONCATENATE("Pool B-1st ",'Pool Matches'!G83)</f>
      </c>
      <c r="I4" s="14" t="str">
        <f>CONCATENATE("Pool A-2nd ",'Pool Matches'!G41)</f>
      </c>
      <c r="J4" s="14"/>
      <c r="K4" s="14"/>
      <c r="L4" s="18"/>
      <c r="M4" s="14"/>
      <c r="N4" s="14"/>
      <c r="O4" s="14" t="str">
        <f>CONCATENATE("Pool R-1st ",'Pool Matches'!O83)</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247</v>
      </c>
      <c r="C11" s="14" t="s">
        <v>250</v>
      </c>
      <c r="D11" s="14"/>
      <c r="E11" s="14" t="s">
        <v>250</v>
      </c>
      <c r="F11" s="14" t="s">
        <v>247</v>
      </c>
      <c r="G11" s="14" t="str">
        <f>CONCATENATE("Pool B-1st ",'Pool Matches'!G83)</f>
      </c>
      <c r="I11" s="14" t="str">
        <f>CONCATENATE("Pool A-2nd ",'Pool Matches'!G41)</f>
      </c>
      <c r="J11" s="14" t="s">
        <v>247</v>
      </c>
      <c r="K11" s="14" t="s">
        <v>250</v>
      </c>
      <c r="L11" s="14"/>
      <c r="M11" s="14" t="s">
        <v>250</v>
      </c>
      <c r="N11" s="14" t="s">
        <v>247</v>
      </c>
      <c r="O11" s="14" t="str">
        <f>CONCATENATE("Pool R-1st ",'Pool Matches'!O83)</f>
      </c>
    </row>
    <row r="12">
      <c r="A12" s="14" t="s">
        <v>348</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348</v>
      </c>
      <c r="I12" s="14" t="s">
        <v>348</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R-2nd ",'Pool Matches'!O84)</f>
      </c>
      <c r="B20" s="14"/>
      <c r="C20" s="14"/>
      <c r="D20" s="18"/>
      <c r="E20" s="14"/>
      <c r="F20" s="14"/>
      <c r="G20" s="14" t="str">
        <f>CONCATENATE("Pool C-1st ",'Pool Matches'!G126)</f>
      </c>
      <c r="I20" s="14" t="str">
        <f>CONCATENATE("Pool B-2nd ",'Pool Matches'!G84)</f>
      </c>
      <c r="J20" s="14"/>
      <c r="K20" s="14"/>
      <c r="L20" s="18"/>
      <c r="M20" s="14"/>
      <c r="N20" s="14"/>
      <c r="O20" s="14" t="str">
        <f>CONCATENATE("Pool S-1st ",'Pool Matches'!O126)</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247</v>
      </c>
      <c r="C27" s="14" t="s">
        <v>250</v>
      </c>
      <c r="D27" s="14"/>
      <c r="E27" s="14" t="s">
        <v>250</v>
      </c>
      <c r="F27" s="14" t="s">
        <v>247</v>
      </c>
      <c r="G27" s="14" t="str">
        <f>CONCATENATE("Pool C-1st ",'Pool Matches'!G126)</f>
      </c>
      <c r="I27" s="14" t="str">
        <f>CONCATENATE("Pool B-2nd ",'Pool Matches'!G84)</f>
      </c>
      <c r="J27" s="14" t="s">
        <v>247</v>
      </c>
      <c r="K27" s="14" t="s">
        <v>250</v>
      </c>
      <c r="L27" s="14"/>
      <c r="M27" s="14" t="s">
        <v>250</v>
      </c>
      <c r="N27" s="14" t="s">
        <v>247</v>
      </c>
      <c r="O27" s="14" t="str">
        <f>CONCATENATE("Pool S-1st ",'Pool Matches'!O126)</f>
      </c>
    </row>
    <row r="28">
      <c r="A28" s="14" t="s">
        <v>348</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348</v>
      </c>
      <c r="I28" s="14" t="s">
        <v>348</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S-2nd ",'Pool Matches'!O127)</f>
      </c>
      <c r="B36" s="14"/>
      <c r="C36" s="14"/>
      <c r="D36" s="18"/>
      <c r="E36" s="14"/>
      <c r="F36" s="14"/>
      <c r="G36" s="14" t="str">
        <f>CONCATENATE("Pool D-1st ",'Pool Matches'!G169)</f>
      </c>
      <c r="I36" s="14" t="str">
        <f>CONCATENATE("Pool C-2nd ",'Pool Matches'!G127)</f>
      </c>
      <c r="J36" s="14"/>
      <c r="K36" s="14"/>
      <c r="L36" s="18"/>
      <c r="M36" s="14"/>
      <c r="N36" s="14"/>
      <c r="O36" s="14" t="str">
        <f>CONCATENATE("Pool T-1st ",'Pool Matches'!O169)</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247</v>
      </c>
      <c r="C43" s="14" t="s">
        <v>250</v>
      </c>
      <c r="D43" s="14"/>
      <c r="E43" s="14" t="s">
        <v>250</v>
      </c>
      <c r="F43" s="14" t="s">
        <v>247</v>
      </c>
      <c r="G43" s="14" t="str">
        <f>CONCATENATE("Pool D-1st ",'Pool Matches'!G169)</f>
      </c>
      <c r="I43" s="14" t="str">
        <f>CONCATENATE("Pool C-2nd ",'Pool Matches'!G127)</f>
      </c>
      <c r="J43" s="14" t="s">
        <v>247</v>
      </c>
      <c r="K43" s="14" t="s">
        <v>250</v>
      </c>
      <c r="L43" s="14"/>
      <c r="M43" s="14" t="s">
        <v>250</v>
      </c>
      <c r="N43" s="14" t="s">
        <v>247</v>
      </c>
      <c r="O43" s="14" t="str">
        <f>CONCATENATE("Pool T-1st ",'Pool Matches'!O169)</f>
      </c>
    </row>
    <row r="44">
      <c r="A44" s="14" t="s">
        <v>348</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348</v>
      </c>
      <c r="I44" s="14" t="s">
        <v>348</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T-2nd ",'Pool Matches'!O170)</f>
      </c>
      <c r="B52" s="14"/>
      <c r="C52" s="14"/>
      <c r="D52" s="18"/>
      <c r="E52" s="14"/>
      <c r="F52" s="14"/>
      <c r="G52" s="14" t="str">
        <f>CONCATENATE("Pool E-1st ",'Pool Matches'!G212)</f>
      </c>
      <c r="I52" s="14" t="str">
        <f>CONCATENATE("Pool D-2nd ",'Pool Matches'!G170)</f>
      </c>
      <c r="J52" s="14"/>
      <c r="K52" s="14"/>
      <c r="L52" s="18"/>
      <c r="M52" s="14"/>
      <c r="N52" s="14"/>
      <c r="O52" s="14" t="str">
        <f>CONCATENATE("Pool U-1st ",'Pool Matches'!O212)</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247</v>
      </c>
      <c r="C59" s="14" t="s">
        <v>250</v>
      </c>
      <c r="D59" s="14"/>
      <c r="E59" s="14" t="s">
        <v>250</v>
      </c>
      <c r="F59" s="14" t="s">
        <v>247</v>
      </c>
      <c r="G59" s="14" t="str">
        <f>CONCATENATE("Pool E-1st ",'Pool Matches'!G212)</f>
      </c>
      <c r="I59" s="14" t="str">
        <f>CONCATENATE("Pool D-2nd ",'Pool Matches'!G170)</f>
      </c>
      <c r="J59" s="14" t="s">
        <v>247</v>
      </c>
      <c r="K59" s="14" t="s">
        <v>250</v>
      </c>
      <c r="L59" s="14"/>
      <c r="M59" s="14" t="s">
        <v>250</v>
      </c>
      <c r="N59" s="14" t="s">
        <v>247</v>
      </c>
      <c r="O59" s="14" t="str">
        <f>CONCATENATE("Pool U-1st ",'Pool Matches'!O212)</f>
      </c>
    </row>
    <row r="60">
      <c r="A60" s="14" t="s">
        <v>348</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348</v>
      </c>
      <c r="I60" s="14" t="s">
        <v>348</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U-2nd ",'Pool Matches'!O213)</f>
      </c>
      <c r="B68" s="14"/>
      <c r="C68" s="14"/>
      <c r="D68" s="18"/>
      <c r="E68" s="14"/>
      <c r="F68" s="14"/>
      <c r="G68" s="14" t="str">
        <f>CONCATENATE("Pool F-1st ",'Pool Matches'!G255)</f>
      </c>
      <c r="I68" s="14" t="str">
        <f>CONCATENATE("Pool E-2nd ",'Pool Matches'!G213)</f>
      </c>
      <c r="J68" s="14"/>
      <c r="K68" s="14"/>
      <c r="L68" s="18"/>
      <c r="M68" s="14"/>
      <c r="N68" s="14"/>
      <c r="O68" s="14" t="str">
        <f>CONCATENATE("Pool V-1st ",'Pool Matches'!O255)</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247</v>
      </c>
      <c r="C75" s="14" t="s">
        <v>250</v>
      </c>
      <c r="D75" s="14"/>
      <c r="E75" s="14" t="s">
        <v>250</v>
      </c>
      <c r="F75" s="14" t="s">
        <v>247</v>
      </c>
      <c r="G75" s="14" t="str">
        <f>CONCATENATE("Pool F-1st ",'Pool Matches'!G255)</f>
      </c>
      <c r="I75" s="14" t="str">
        <f>CONCATENATE("Pool E-2nd ",'Pool Matches'!G213)</f>
      </c>
      <c r="J75" s="14" t="s">
        <v>247</v>
      </c>
      <c r="K75" s="14" t="s">
        <v>250</v>
      </c>
      <c r="L75" s="14"/>
      <c r="M75" s="14" t="s">
        <v>250</v>
      </c>
      <c r="N75" s="14" t="s">
        <v>247</v>
      </c>
      <c r="O75" s="14" t="str">
        <f>CONCATENATE("Pool V-1st ",'Pool Matches'!O255)</f>
      </c>
    </row>
    <row r="76">
      <c r="A76" s="14" t="s">
        <v>348</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348</v>
      </c>
      <c r="I76" s="14" t="s">
        <v>348</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V-2nd ",'Pool Matches'!O256)</f>
      </c>
      <c r="B84" s="14"/>
      <c r="C84" s="14"/>
      <c r="D84" s="18"/>
      <c r="E84" s="14"/>
      <c r="F84" s="14"/>
      <c r="G84" s="14" t="str">
        <f>CONCATENATE("Pool G-1st ",'Pool Matches'!G298)</f>
      </c>
      <c r="I84" s="14" t="str">
        <f>CONCATENATE("Pool F-2nd ",'Pool Matches'!G256)</f>
      </c>
      <c r="J84" s="14"/>
      <c r="K84" s="14"/>
      <c r="L84" s="18"/>
      <c r="M84" s="14"/>
      <c r="N84" s="14"/>
      <c r="O84" s="14" t="str">
        <f>CONCATENATE("Pool W-1st ",'Pool Matches'!O298)</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247</v>
      </c>
      <c r="C91" s="14" t="s">
        <v>250</v>
      </c>
      <c r="D91" s="14"/>
      <c r="E91" s="14" t="s">
        <v>250</v>
      </c>
      <c r="F91" s="14" t="s">
        <v>247</v>
      </c>
      <c r="G91" s="14" t="str">
        <f>CONCATENATE("Pool G-1st ",'Pool Matches'!G298)</f>
      </c>
      <c r="I91" s="14" t="str">
        <f>CONCATENATE("Pool F-2nd ",'Pool Matches'!G256)</f>
      </c>
      <c r="J91" s="14" t="s">
        <v>247</v>
      </c>
      <c r="K91" s="14" t="s">
        <v>250</v>
      </c>
      <c r="L91" s="14"/>
      <c r="M91" s="14" t="s">
        <v>250</v>
      </c>
      <c r="N91" s="14" t="s">
        <v>247</v>
      </c>
      <c r="O91" s="14" t="str">
        <f>CONCATENATE("Pool W-1st ",'Pool Matches'!O298)</f>
      </c>
    </row>
    <row r="92">
      <c r="A92" s="14" t="s">
        <v>348</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348</v>
      </c>
      <c r="I92" s="14" t="s">
        <v>348</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W-2nd ",'Pool Matches'!O299)</f>
      </c>
      <c r="B100" s="14"/>
      <c r="C100" s="14"/>
      <c r="D100" s="18"/>
      <c r="E100" s="14"/>
      <c r="F100" s="14"/>
      <c r="G100" s="14" t="str">
        <f>CONCATENATE("Pool H-1st ",'Pool Matches'!G341)</f>
      </c>
      <c r="I100" s="14" t="str">
        <f>CONCATENATE("Pool G-2nd ",'Pool Matches'!G299)</f>
      </c>
      <c r="J100" s="14"/>
      <c r="K100" s="14"/>
      <c r="L100" s="18"/>
      <c r="M100" s="14"/>
      <c r="N100" s="14"/>
      <c r="O100" s="14" t="str">
        <f>CONCATENATE("Pool X-1st ",'Pool Matches'!O341)</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247</v>
      </c>
      <c r="C107" s="14" t="s">
        <v>250</v>
      </c>
      <c r="D107" s="14"/>
      <c r="E107" s="14" t="s">
        <v>250</v>
      </c>
      <c r="F107" s="14" t="s">
        <v>247</v>
      </c>
      <c r="G107" s="14" t="str">
        <f>CONCATENATE("Pool H-1st ",'Pool Matches'!G341)</f>
      </c>
      <c r="I107" s="14" t="str">
        <f>CONCATENATE("Pool G-2nd ",'Pool Matches'!G299)</f>
      </c>
      <c r="J107" s="14" t="s">
        <v>247</v>
      </c>
      <c r="K107" s="14" t="s">
        <v>250</v>
      </c>
      <c r="L107" s="14"/>
      <c r="M107" s="14" t="s">
        <v>250</v>
      </c>
      <c r="N107" s="14" t="s">
        <v>247</v>
      </c>
      <c r="O107" s="14" t="str">
        <f>CONCATENATE("Pool X-1st ",'Pool Matches'!O341)</f>
      </c>
    </row>
    <row r="108">
      <c r="A108" s="14" t="s">
        <v>348</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348</v>
      </c>
      <c r="I108" s="14" t="s">
        <v>348</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X-2nd ",'Pool Matches'!O342)</f>
      </c>
      <c r="B116" s="14"/>
      <c r="C116" s="14"/>
      <c r="D116" s="18"/>
      <c r="E116" s="14"/>
      <c r="F116" s="14"/>
      <c r="G116" s="14" t="str">
        <f>CONCATENATE("Pool I-1st ",'Pool Matches'!G384)</f>
      </c>
      <c r="I116" s="14" t="str">
        <f>CONCATENATE("Pool H-2nd ",'Pool Matches'!G342)</f>
      </c>
      <c r="J116" s="14"/>
      <c r="K116" s="14"/>
      <c r="L116" s="18"/>
      <c r="M116" s="14"/>
      <c r="N116" s="14"/>
      <c r="O116" s="14" t="str">
        <f>CONCATENATE("Pool Y-1st ",'Pool Matches'!O384)</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247</v>
      </c>
      <c r="C123" s="14" t="s">
        <v>250</v>
      </c>
      <c r="D123" s="14"/>
      <c r="E123" s="14" t="s">
        <v>250</v>
      </c>
      <c r="F123" s="14" t="s">
        <v>247</v>
      </c>
      <c r="G123" s="14" t="str">
        <f>CONCATENATE("Pool I-1st ",'Pool Matches'!G384)</f>
      </c>
      <c r="I123" s="14" t="str">
        <f>CONCATENATE("Pool H-2nd ",'Pool Matches'!G342)</f>
      </c>
      <c r="J123" s="14" t="s">
        <v>247</v>
      </c>
      <c r="K123" s="14" t="s">
        <v>250</v>
      </c>
      <c r="L123" s="14"/>
      <c r="M123" s="14" t="s">
        <v>250</v>
      </c>
      <c r="N123" s="14" t="s">
        <v>247</v>
      </c>
      <c r="O123" s="14" t="str">
        <f>CONCATENATE("Pool Y-1st ",'Pool Matches'!O384)</f>
      </c>
    </row>
    <row r="124">
      <c r="A124" s="14" t="s">
        <v>348</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348</v>
      </c>
      <c r="I124" s="14" t="s">
        <v>348</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247</v>
      </c>
      <c r="C139" s="14" t="s">
        <v>250</v>
      </c>
      <c r="D139" s="14"/>
      <c r="E139" s="14" t="s">
        <v>250</v>
      </c>
      <c r="F139" s="14" t="s">
        <v>247</v>
      </c>
      <c r="G139" s="14" t="str">
        <f>CONCATENATE("Pool J-1st ",'Pool Matches'!G427)</f>
      </c>
      <c r="I139" s="14" t="str">
        <f>CONCATENATE("Pool I-2nd ",'Pool Matches'!G385)</f>
      </c>
      <c r="J139" s="14" t="s">
        <v>247</v>
      </c>
      <c r="K139" s="14" t="s">
        <v>250</v>
      </c>
      <c r="L139" s="14"/>
      <c r="M139" s="14" t="s">
        <v>250</v>
      </c>
      <c r="N139" s="14" t="s">
        <v>247</v>
      </c>
      <c r="O139" s="14" t="str">
        <f>CONCATENATE("Pool Z-1st ",'Pool Matches'!O427)</f>
      </c>
    </row>
    <row r="140">
      <c r="A140" s="14" t="s">
        <v>348</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348</v>
      </c>
      <c r="I140" s="14" t="s">
        <v>348</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247</v>
      </c>
      <c r="C155" s="14" t="s">
        <v>250</v>
      </c>
      <c r="D155" s="14"/>
      <c r="E155" s="14" t="s">
        <v>250</v>
      </c>
      <c r="F155" s="14" t="s">
        <v>247</v>
      </c>
      <c r="G155" s="14" t="str">
        <f>CONCATENATE("Pool K-1st ",'Pool Matches'!G470)</f>
      </c>
      <c r="I155" s="14" t="str">
        <f>CONCATENATE("Pool J-2nd ",'Pool Matches'!G428)</f>
      </c>
      <c r="J155" s="14" t="s">
        <v>247</v>
      </c>
      <c r="K155" s="14" t="s">
        <v>250</v>
      </c>
      <c r="L155" s="14"/>
      <c r="M155" s="14" t="s">
        <v>250</v>
      </c>
      <c r="N155" s="14" t="s">
        <v>247</v>
      </c>
      <c r="O155" s="14" t="str">
        <f>CONCATENATE("Pool AA-1st ",'Pool Matches'!O470)</f>
      </c>
    </row>
    <row r="156">
      <c r="A156" s="14" t="s">
        <v>348</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348</v>
      </c>
      <c r="I156" s="14" t="s">
        <v>348</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BB-1st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247</v>
      </c>
      <c r="C171" s="14" t="s">
        <v>250</v>
      </c>
      <c r="D171" s="14"/>
      <c r="E171" s="14" t="s">
        <v>250</v>
      </c>
      <c r="F171" s="14" t="s">
        <v>247</v>
      </c>
      <c r="G171" s="14" t="str">
        <f>CONCATENATE("Pool L-1st ",'Pool Matches'!G513)</f>
      </c>
      <c r="I171" s="14" t="str">
        <f>CONCATENATE("Pool K-2nd ",'Pool Matches'!G471)</f>
      </c>
      <c r="J171" s="14" t="s">
        <v>247</v>
      </c>
      <c r="K171" s="14" t="s">
        <v>250</v>
      </c>
      <c r="L171" s="14"/>
      <c r="M171" s="14" t="s">
        <v>250</v>
      </c>
      <c r="N171" s="14" t="s">
        <v>247</v>
      </c>
      <c r="O171" s="14" t="str">
        <f>CONCATENATE("Pool BB-1st ",'Pool Matches'!O513)</f>
      </c>
    </row>
    <row r="172">
      <c r="A172" s="14" t="s">
        <v>348</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348</v>
      </c>
      <c r="I172" s="14" t="s">
        <v>348</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BB-2nd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CC-1st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BB-2nd ",'Pool Matches'!O514)</f>
      </c>
      <c r="B187" s="14" t="s">
        <v>247</v>
      </c>
      <c r="C187" s="14" t="s">
        <v>250</v>
      </c>
      <c r="D187" s="14"/>
      <c r="E187" s="14" t="s">
        <v>250</v>
      </c>
      <c r="F187" s="14" t="s">
        <v>247</v>
      </c>
      <c r="G187" s="14" t="str">
        <f>CONCATENATE("Pool M-1st ",'Pool Matches'!G556)</f>
      </c>
      <c r="I187" s="14" t="str">
        <f>CONCATENATE("Pool L-2nd ",'Pool Matches'!G514)</f>
      </c>
      <c r="J187" s="14" t="s">
        <v>247</v>
      </c>
      <c r="K187" s="14" t="s">
        <v>250</v>
      </c>
      <c r="L187" s="14"/>
      <c r="M187" s="14" t="s">
        <v>250</v>
      </c>
      <c r="N187" s="14" t="s">
        <v>247</v>
      </c>
      <c r="O187" s="14" t="str">
        <f>CONCATENATE("Pool CC-1st ",'Pool Matches'!O556)</f>
      </c>
    </row>
    <row r="188">
      <c r="A188" s="14" t="s">
        <v>348</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348</v>
      </c>
      <c r="I188" s="14" t="s">
        <v>348</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CC-2nd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DD-1st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CC-2nd ",'Pool Matches'!O557)</f>
      </c>
      <c r="B203" s="14" t="s">
        <v>247</v>
      </c>
      <c r="C203" s="14" t="s">
        <v>250</v>
      </c>
      <c r="D203" s="14"/>
      <c r="E203" s="14" t="s">
        <v>250</v>
      </c>
      <c r="F203" s="14" t="s">
        <v>247</v>
      </c>
      <c r="G203" s="14" t="str">
        <f>CONCATENATE("Pool N-1st ",'Pool Matches'!G599)</f>
      </c>
      <c r="I203" s="14" t="str">
        <f>CONCATENATE("Pool M-2nd ",'Pool Matches'!G557)</f>
      </c>
      <c r="J203" s="14" t="s">
        <v>247</v>
      </c>
      <c r="K203" s="14" t="s">
        <v>250</v>
      </c>
      <c r="L203" s="14"/>
      <c r="M203" s="14" t="s">
        <v>250</v>
      </c>
      <c r="N203" s="14" t="s">
        <v>247</v>
      </c>
      <c r="O203" s="14" t="str">
        <f>CONCATENATE("Pool DD-1st ",'Pool Matches'!O599)</f>
      </c>
    </row>
    <row r="204">
      <c r="A204" s="14" t="s">
        <v>348</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348</v>
      </c>
      <c r="I204" s="14" t="s">
        <v>348</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DD-2nd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EE-1st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DD-2nd ",'Pool Matches'!O600)</f>
      </c>
      <c r="B219" s="14" t="s">
        <v>247</v>
      </c>
      <c r="C219" s="14" t="s">
        <v>250</v>
      </c>
      <c r="D219" s="14"/>
      <c r="E219" s="14" t="s">
        <v>250</v>
      </c>
      <c r="F219" s="14" t="s">
        <v>247</v>
      </c>
      <c r="G219" s="14" t="str">
        <f>CONCATENATE("Pool O-1st ",'Pool Matches'!G642)</f>
      </c>
      <c r="I219" s="14" t="str">
        <f>CONCATENATE("Pool N-2nd ",'Pool Matches'!G600)</f>
      </c>
      <c r="J219" s="14" t="s">
        <v>247</v>
      </c>
      <c r="K219" s="14" t="s">
        <v>250</v>
      </c>
      <c r="L219" s="14"/>
      <c r="M219" s="14" t="s">
        <v>250</v>
      </c>
      <c r="N219" s="14" t="s">
        <v>247</v>
      </c>
      <c r="O219" s="14" t="str">
        <f>CONCATENATE("Pool EE-1st ",'Pool Matches'!O640)</f>
      </c>
    </row>
    <row r="220">
      <c r="A220" s="14" t="s">
        <v>348</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348</v>
      </c>
      <c r="I220" s="14" t="s">
        <v>348</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EE-2nd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EE-2nd ",'Pool Matches'!O641)</f>
      </c>
      <c r="B235" s="14" t="s">
        <v>247</v>
      </c>
      <c r="C235" s="14" t="s">
        <v>250</v>
      </c>
      <c r="D235" s="14"/>
      <c r="E235" s="14" t="s">
        <v>250</v>
      </c>
      <c r="F235" s="14" t="s">
        <v>247</v>
      </c>
      <c r="G235" s="14" t="str">
        <f>CONCATENATE("Pool P-1st ",'Pool Matches'!G667)</f>
      </c>
      <c r="I235" s="14" t="str">
        <f>CONCATENATE("Pool P-2nd ",'Pool Matches'!G668)</f>
      </c>
      <c r="J235" s="14" t="s">
        <v>247</v>
      </c>
      <c r="K235" s="14" t="s">
        <v>250</v>
      </c>
      <c r="L235" s="14"/>
      <c r="M235" s="14" t="s">
        <v>250</v>
      </c>
      <c r="N235" s="14" t="s">
        <v>247</v>
      </c>
      <c r="O235" s="14" t="str">
        <f>CONCATENATE("Pool O-2nd ",'Pool Matches'!G643)</f>
      </c>
    </row>
    <row r="236">
      <c r="A236" s="14" t="s">
        <v>348</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348</v>
      </c>
      <c r="I236" s="14" t="s">
        <v>348</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Q-1st ",'Pool Matches'!O40)</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Q-1st ",'Pool Matches'!O40)</f>
      </c>
    </row>
    <row r="257">
      <c r="A257" s="14" t="s">
        <v>348</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348</v>
      </c>
      <c r="I257" s="14" t="s">
        <v>348</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348</v>
      </c>
      <c r="I273" s="14" t="s">
        <v>348</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348</v>
      </c>
      <c r="I289" s="14" t="s">
        <v>348</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348</v>
      </c>
      <c r="I305" s="14" t="s">
        <v>348</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348</v>
      </c>
      <c r="I321" s="14" t="s">
        <v>348</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348</v>
      </c>
      <c r="I337" s="14" t="s">
        <v>348</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348</v>
      </c>
      <c r="I353" s="14" t="s">
        <v>348</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348</v>
      </c>
      <c r="I369" s="14" t="s">
        <v>348</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348</v>
      </c>
      <c r="I390" s="14" t="s">
        <v>348</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348</v>
      </c>
      <c r="I406" s="14" t="s">
        <v>348</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348</v>
      </c>
      <c r="I422" s="14" t="s">
        <v>348</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348</v>
      </c>
      <c r="I438" s="14" t="s">
        <v>348</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348</v>
      </c>
      <c r="I459" s="14" t="s">
        <v>348</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348</v>
      </c>
      <c r="I475" s="14" t="s">
        <v>348</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348</v>
      </c>
      <c r="I496" s="14" t="s">
        <v>348</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"1. " &amp; data!$B$3</f>
      </c>
    </row>
    <row r="6">
      <c r="A6" s="26" t="str">
        <f>"2. " &amp; data!$B$4</f>
      </c>
      <c r="C6" s="23"/>
      <c r="D6" s="23"/>
      <c r="E6" s="23" t="str">
        <f>CONCATENATE("Pool A-1st ",'Pool Matches'!G40)</f>
      </c>
    </row>
    <row r="7">
      <c r="A7" s="27" t="str">
        <f>"3. " &amp; data!$B$5</f>
      </c>
      <c r="F7" s="22"/>
      <c r="G7" s="20"/>
    </row>
    <row r="8">
      <c r="A8" s="22"/>
      <c r="G8" s="21">
        <v>31</v>
      </c>
    </row>
    <row r="9">
      <c r="A9" s="24" t="str">
        <f>'data'!$A$8</f>
      </c>
      <c r="C9" s="23" t="str">
        <f>CONCATENATE("Pool B-1st ",'Pool Matches'!G83)</f>
      </c>
      <c r="G9" s="20"/>
      <c r="H9" s="22"/>
      <c r="I9" s="20"/>
    </row>
    <row r="10">
      <c r="A10" s="25" t="str">
        <f>"1. " &amp; data!$B$6</f>
      </c>
      <c r="D10" s="22"/>
      <c r="E10" s="21">
        <v>1</v>
      </c>
      <c r="F10" s="15"/>
      <c r="G10" s="20"/>
      <c r="I10" s="20"/>
    </row>
    <row r="11">
      <c r="A11" s="26" t="str">
        <f>"2. " &amp; data!$B$7</f>
      </c>
      <c r="C11" s="23" t="str">
        <f>CONCATENATE("Pool Q-2nd ",'Pool Matches'!O41)</f>
      </c>
      <c r="D11" s="15"/>
      <c r="E11" s="20"/>
      <c r="I11" s="20"/>
    </row>
    <row r="12">
      <c r="A12" s="27" t="str">
        <f>"3. " &amp; data!$B$8</f>
      </c>
      <c r="I12" s="21">
        <v>47</v>
      </c>
    </row>
    <row r="13">
      <c r="A13" s="22"/>
      <c r="C13" s="23" t="str">
        <f>CONCATENATE("Pool C-1st ",'Pool Matches'!G126)</f>
      </c>
      <c r="I13" s="20"/>
      <c r="J13" s="22"/>
      <c r="K13" s="20"/>
    </row>
    <row r="14">
      <c r="A14" s="24" t="str">
        <f>'data'!$A$11</f>
      </c>
      <c r="D14" s="22"/>
      <c r="E14" s="21">
        <v>2</v>
      </c>
      <c r="I14" s="20"/>
      <c r="K14" s="20"/>
    </row>
    <row r="15">
      <c r="A15" s="25" t="str">
        <f>"1. " &amp; data!$B$9</f>
      </c>
      <c r="C15" s="23" t="str">
        <f>CONCATENATE("Pool R-2nd ",'Pool Matches'!O84)</f>
      </c>
      <c r="D15" s="15"/>
      <c r="E15" s="20"/>
      <c r="F15" s="22"/>
      <c r="G15" s="20"/>
      <c r="I15" s="20"/>
      <c r="K15" s="20"/>
    </row>
    <row r="16">
      <c r="A16" s="26" t="str">
        <f>"2. " &amp; data!$B$10</f>
      </c>
      <c r="G16" s="21">
        <v>32</v>
      </c>
      <c r="H16" s="15"/>
      <c r="I16" s="20"/>
      <c r="K16" s="20"/>
    </row>
    <row r="17">
      <c r="A17" s="27" t="str">
        <f>"3. " &amp; data!$B$11</f>
      </c>
      <c r="C17" s="23" t="str">
        <f>CONCATENATE("Pool D-1st ",'Pool Matches'!G169)</f>
      </c>
      <c r="G17" s="20"/>
      <c r="K17" s="20"/>
    </row>
    <row r="18">
      <c r="A18" s="22"/>
      <c r="D18" s="22"/>
      <c r="E18" s="21">
        <v>3</v>
      </c>
      <c r="F18" s="15"/>
      <c r="G18" s="20"/>
      <c r="K18" s="20"/>
    </row>
    <row r="19">
      <c r="A19" s="24" t="str">
        <f>'data'!$A$14</f>
      </c>
      <c r="C19" s="23" t="str">
        <f>CONCATENATE("Pool S-2nd ",'Pool Matches'!O127)</f>
      </c>
      <c r="D19" s="15"/>
      <c r="E19" s="20"/>
      <c r="K19" s="20"/>
    </row>
    <row r="20">
      <c r="A20" s="25" t="str">
        <f>"1. " &amp; data!$B$12</f>
      </c>
      <c r="K20" s="21">
        <v>55</v>
      </c>
    </row>
    <row r="21">
      <c r="A21" s="26" t="str">
        <f>"2. " &amp; data!$B$13</f>
      </c>
      <c r="C21" s="23" t="str">
        <f>CONCATENATE("Pool E-1st ",'Pool Matches'!G212)</f>
      </c>
      <c r="K21" s="20"/>
    </row>
    <row r="22">
      <c r="A22" s="27" t="str">
        <f>"3. " &amp; data!$B$14</f>
      </c>
      <c r="D22" s="22"/>
      <c r="E22" s="21">
        <v>4</v>
      </c>
      <c r="K22" s="20"/>
    </row>
    <row r="23">
      <c r="A23" s="22"/>
      <c r="C23" s="23" t="str">
        <f>CONCATENATE("Pool T-2nd ",'Pool Matches'!O170)</f>
      </c>
      <c r="D23" s="15"/>
      <c r="E23" s="20"/>
      <c r="F23" s="22"/>
      <c r="G23" s="20"/>
      <c r="K23" s="20"/>
    </row>
    <row r="24">
      <c r="A24" s="24" t="str">
        <f>'data'!$A$17</f>
      </c>
      <c r="G24" s="21">
        <v>33</v>
      </c>
      <c r="K24" s="20"/>
    </row>
    <row r="25">
      <c r="A25" s="25" t="str">
        <f>"1. " &amp; data!$B$15</f>
      </c>
      <c r="C25" s="23" t="str">
        <f>CONCATENATE("Pool F-1st ",'Pool Matches'!G255)</f>
      </c>
      <c r="G25" s="20"/>
      <c r="H25" s="22"/>
      <c r="I25" s="20"/>
      <c r="K25" s="20"/>
    </row>
    <row r="26">
      <c r="A26" s="26" t="str">
        <f>"2. " &amp; data!$B$16</f>
      </c>
      <c r="D26" s="22"/>
      <c r="E26" s="21">
        <v>5</v>
      </c>
      <c r="F26" s="15"/>
      <c r="G26" s="20"/>
      <c r="I26" s="20"/>
      <c r="K26" s="20"/>
    </row>
    <row r="27">
      <c r="A27" s="27" t="str">
        <f>"3. " &amp; data!$B$17</f>
      </c>
      <c r="C27" s="23" t="str">
        <f>CONCATENATE("Pool U-2nd ",'Pool Matches'!O213)</f>
      </c>
      <c r="D27" s="15"/>
      <c r="E27" s="20"/>
      <c r="I27" s="20"/>
      <c r="K27" s="20"/>
    </row>
    <row r="28">
      <c r="A28" s="22"/>
      <c r="I28" s="21">
        <v>48</v>
      </c>
      <c r="J28" s="15"/>
      <c r="K28" s="20"/>
    </row>
    <row r="29">
      <c r="A29" s="24" t="str">
        <f>'data'!$A$20</f>
      </c>
      <c r="C29" s="23" t="str">
        <f>CONCATENATE("Pool G-1st ",'Pool Matches'!G298)</f>
      </c>
      <c r="I29" s="20"/>
    </row>
    <row r="30">
      <c r="A30" s="25" t="str">
        <f>"1. " &amp; data!$B$18</f>
      </c>
      <c r="D30" s="22"/>
      <c r="E30" s="21">
        <v>6</v>
      </c>
      <c r="I30" s="20"/>
    </row>
    <row r="31">
      <c r="A31" s="26" t="str">
        <f>"2. " &amp; data!$B$19</f>
      </c>
      <c r="C31" s="23" t="str">
        <f>CONCATENATE("Pool V-2nd ",'Pool Matches'!O256)</f>
      </c>
      <c r="D31" s="15"/>
      <c r="E31" s="20"/>
      <c r="F31" s="22"/>
      <c r="G31" s="20"/>
      <c r="I31" s="20"/>
    </row>
    <row r="32">
      <c r="A32" s="27" t="str">
        <f>"3. " &amp; data!$B$20</f>
      </c>
      <c r="G32" s="21">
        <v>34</v>
      </c>
      <c r="H32" s="15"/>
      <c r="I32" s="20"/>
    </row>
    <row r="33">
      <c r="A33" s="22"/>
      <c r="C33" s="23" t="str">
        <f>CONCATENATE("Pool H-1st ",'Pool Matches'!G341)</f>
      </c>
      <c r="G33" s="20"/>
    </row>
    <row r="34">
      <c r="A34" s="24" t="str">
        <f>'data'!$A$23</f>
      </c>
      <c r="D34" s="22"/>
      <c r="E34" s="21">
        <v>7</v>
      </c>
      <c r="F34" s="15"/>
      <c r="G34" s="20"/>
    </row>
    <row r="35">
      <c r="A35" s="25" t="str">
        <f>"1. " &amp; data!$B$21</f>
      </c>
      <c r="C35" s="23" t="str">
        <f>CONCATENATE("Pool W-2nd ",'Pool Matches'!O299)</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"1. " &amp; data!$B$27</f>
      </c>
      <c r="C5" s="23" t="str">
        <f>CONCATENATE("Pool I-1st ",'Pool Matches'!G384)</f>
      </c>
    </row>
    <row r="6">
      <c r="A6" s="26" t="str">
        <f>"2. " &amp; data!$B$28</f>
      </c>
      <c r="D6" s="22"/>
      <c r="E6" s="21">
        <v>8</v>
      </c>
    </row>
    <row r="7">
      <c r="A7" s="27" t="str">
        <f>"3. " &amp; data!$B$29</f>
      </c>
      <c r="C7" s="23" t="str">
        <f>CONCATENATE("Pool X-2nd ",'Pool Matches'!O342)</f>
      </c>
      <c r="D7" s="15"/>
      <c r="E7" s="20"/>
      <c r="F7" s="22"/>
      <c r="G7" s="20"/>
    </row>
    <row r="8">
      <c r="A8" s="22"/>
      <c r="G8" s="21">
        <v>35</v>
      </c>
    </row>
    <row r="9">
      <c r="A9" s="24" t="str">
        <f>'data'!$A$32</f>
      </c>
      <c r="C9" s="23" t="str">
        <f>CONCATENATE("Pool J-1st ",'Pool Matches'!G427)</f>
      </c>
      <c r="G9" s="20"/>
      <c r="H9" s="22"/>
      <c r="I9" s="20"/>
    </row>
    <row r="10">
      <c r="A10" s="25" t="str">
        <f>"1. " &amp; data!$B$30</f>
      </c>
      <c r="D10" s="22"/>
      <c r="E10" s="21">
        <v>9</v>
      </c>
      <c r="F10" s="15"/>
      <c r="G10" s="20"/>
      <c r="I10" s="20"/>
    </row>
    <row r="11">
      <c r="A11" s="26" t="str">
        <f>"2. " &amp; data!$B$31</f>
      </c>
      <c r="C11" s="23" t="str">
        <f>CONCATENATE("Pool Y-2nd ",'Pool Matches'!O385)</f>
      </c>
      <c r="D11" s="15"/>
      <c r="E11" s="20"/>
      <c r="I11" s="20"/>
    </row>
    <row r="12">
      <c r="A12" s="27" t="str">
        <f>"3. " &amp; data!$B$32</f>
      </c>
      <c r="I12" s="21">
        <v>49</v>
      </c>
    </row>
    <row r="13">
      <c r="A13" s="22"/>
      <c r="C13" s="23" t="str">
        <f>CONCATENATE("Pool K-1st ",'Pool Matches'!G470)</f>
      </c>
      <c r="I13" s="20"/>
      <c r="J13" s="22"/>
      <c r="K13" s="20"/>
    </row>
    <row r="14">
      <c r="A14" s="24" t="str">
        <f>'data'!$A$35</f>
      </c>
      <c r="D14" s="22"/>
      <c r="E14" s="21">
        <v>10</v>
      </c>
      <c r="I14" s="20"/>
      <c r="K14" s="20"/>
    </row>
    <row r="15">
      <c r="A15" s="25" t="str">
        <f>"1. " &amp; data!$B$33</f>
      </c>
      <c r="C15" s="23" t="str">
        <f>CONCATENATE("Pool Z-2nd ",'Pool Matches'!O428)</f>
      </c>
      <c r="D15" s="15"/>
      <c r="E15" s="20"/>
      <c r="F15" s="22"/>
      <c r="G15" s="20"/>
      <c r="I15" s="20"/>
      <c r="K15" s="20"/>
    </row>
    <row r="16">
      <c r="A16" s="26" t="str">
        <f>"2. " &amp; data!$B$34</f>
      </c>
      <c r="G16" s="21">
        <v>36</v>
      </c>
      <c r="H16" s="15"/>
      <c r="I16" s="20"/>
      <c r="K16" s="20"/>
    </row>
    <row r="17">
      <c r="A17" s="27" t="str">
        <f>"3. " &amp; 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"1. " &amp; data!$B$36</f>
      </c>
      <c r="K20" s="21">
        <v>56</v>
      </c>
    </row>
    <row r="21">
      <c r="A21" s="26" t="str">
        <f>"2. " &amp; data!$B$37</f>
      </c>
      <c r="C21" s="23" t="str">
        <f>CONCATENATE("Pool M-1st ",'Pool Matches'!G556)</f>
      </c>
      <c r="K21" s="20"/>
    </row>
    <row r="22">
      <c r="A22" s="27" t="str">
        <f>"3. " &amp; data!$B$38</f>
      </c>
      <c r="D22" s="22"/>
      <c r="E22" s="21">
        <v>12</v>
      </c>
      <c r="K22" s="20"/>
    </row>
    <row r="23">
      <c r="A23" s="22"/>
      <c r="C23" s="23" t="str">
        <f>CONCATENATE("Pool BB-2nd ",'Pool Matches'!O514)</f>
      </c>
      <c r="D23" s="15"/>
      <c r="E23" s="20"/>
      <c r="F23" s="22"/>
      <c r="G23" s="20"/>
      <c r="K23" s="20"/>
    </row>
    <row r="24">
      <c r="A24" s="24" t="str">
        <f>'data'!$A$41</f>
      </c>
      <c r="G24" s="21">
        <v>37</v>
      </c>
      <c r="K24" s="20"/>
    </row>
    <row r="25">
      <c r="A25" s="25" t="str">
        <f>"1. " &amp; data!$B$39</f>
      </c>
      <c r="C25" s="23" t="str">
        <f>CONCATENATE("Pool N-1st ",'Pool Matches'!G599)</f>
      </c>
      <c r="G25" s="20"/>
      <c r="H25" s="22"/>
      <c r="I25" s="20"/>
      <c r="K25" s="20"/>
    </row>
    <row r="26">
      <c r="A26" s="26" t="str">
        <f>"2. " &amp; data!$B$40</f>
      </c>
      <c r="D26" s="22"/>
      <c r="E26" s="21">
        <v>13</v>
      </c>
      <c r="F26" s="15"/>
      <c r="G26" s="20"/>
      <c r="I26" s="20"/>
      <c r="K26" s="20"/>
    </row>
    <row r="27">
      <c r="A27" s="27" t="str">
        <f>"3. " &amp; data!$B$41</f>
      </c>
      <c r="C27" s="23" t="str">
        <f>CONCATENATE("Pool CC-2nd ",'Pool Matches'!O557)</f>
      </c>
      <c r="D27" s="15"/>
      <c r="E27" s="20"/>
      <c r="I27" s="20"/>
      <c r="K27" s="20"/>
    </row>
    <row r="28">
      <c r="A28" s="22"/>
      <c r="I28" s="21">
        <v>50</v>
      </c>
      <c r="J28" s="15"/>
      <c r="K28" s="20"/>
    </row>
    <row r="29">
      <c r="A29" s="24" t="str">
        <f>'data'!$A$44</f>
      </c>
      <c r="C29" s="23" t="str">
        <f>CONCATENATE("Pool O-1st ",'Pool Matches'!G642)</f>
      </c>
      <c r="I29" s="20"/>
    </row>
    <row r="30">
      <c r="A30" s="25" t="str">
        <f>"1. " &amp; data!$B$42</f>
      </c>
      <c r="D30" s="22"/>
      <c r="E30" s="21">
        <v>14</v>
      </c>
      <c r="I30" s="20"/>
    </row>
    <row r="31">
      <c r="A31" s="26" t="str">
        <f>"2. " &amp; data!$B$43</f>
      </c>
      <c r="C31" s="23" t="str">
        <f>CONCATENATE("Pool DD-2nd ",'Pool Matches'!O600)</f>
      </c>
      <c r="D31" s="15"/>
      <c r="E31" s="20"/>
      <c r="F31" s="22"/>
      <c r="G31" s="20"/>
      <c r="I31" s="20"/>
    </row>
    <row r="32">
      <c r="A32" s="27" t="str">
        <f>"3. " &amp; data!$B$44</f>
      </c>
      <c r="G32" s="21">
        <v>38</v>
      </c>
      <c r="H32" s="15"/>
      <c r="I32" s="20"/>
    </row>
    <row r="33">
      <c r="A33" s="22"/>
      <c r="C33" s="23" t="str">
        <f>CONCATENATE("Pool P-1st ",'Pool Matches'!G667)</f>
      </c>
      <c r="G33" s="20"/>
    </row>
    <row r="34">
      <c r="A34" s="24" t="str">
        <f>'data'!$A$47</f>
      </c>
      <c r="D34" s="22"/>
      <c r="E34" s="21">
        <v>15</v>
      </c>
      <c r="F34" s="15"/>
      <c r="G34" s="20"/>
    </row>
    <row r="35">
      <c r="A35" s="25" t="str">
        <f>"1. " &amp; data!$B$45</f>
      </c>
      <c r="C35" s="23" t="str">
        <f>CONCATENATE("Pool EE-2nd ",'Pool Matches'!O641)</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"1. " &amp; data!$B$50</f>
      </c>
    </row>
    <row r="6">
      <c r="A6" s="26" t="str">
        <f>"2. " &amp; data!$B$51</f>
      </c>
      <c r="C6" s="23"/>
      <c r="D6" s="23"/>
      <c r="E6" s="23" t="str">
        <f>CONCATENATE("Pool Q-1st ",'Pool Matches'!O40)</f>
      </c>
    </row>
    <row r="7">
      <c r="A7" s="27" t="str">
        <f>"3. " &amp; data!$B$52</f>
      </c>
      <c r="F7" s="22"/>
      <c r="G7" s="20"/>
    </row>
    <row r="8">
      <c r="A8" s="22"/>
      <c r="G8" s="21">
        <v>39</v>
      </c>
    </row>
    <row r="9">
      <c r="A9" s="24" t="str">
        <f>'data'!$A$55</f>
      </c>
      <c r="C9" s="23" t="str">
        <f>CONCATENATE("Pool R-1st ",'Pool Matches'!O83)</f>
      </c>
      <c r="G9" s="20"/>
      <c r="H9" s="22"/>
      <c r="I9" s="20"/>
    </row>
    <row r="10">
      <c r="A10" s="25" t="str">
        <f>"1. " &amp; data!$B$53</f>
      </c>
      <c r="D10" s="22"/>
      <c r="E10" s="21">
        <v>16</v>
      </c>
      <c r="F10" s="15"/>
      <c r="G10" s="20"/>
      <c r="I10" s="20"/>
    </row>
    <row r="11">
      <c r="A11" s="26" t="str">
        <f>"2. " &amp; data!$B$54</f>
      </c>
      <c r="C11" s="23" t="str">
        <f>CONCATENATE("Pool A-2nd ",'Pool Matches'!G41)</f>
      </c>
      <c r="D11" s="15"/>
      <c r="E11" s="20"/>
      <c r="I11" s="20"/>
    </row>
    <row r="12">
      <c r="A12" s="27" t="str">
        <f>"3. " &amp; data!$B$55</f>
      </c>
      <c r="I12" s="21">
        <v>51</v>
      </c>
    </row>
    <row r="13">
      <c r="A13" s="22"/>
      <c r="C13" s="23" t="str">
        <f>CONCATENATE("Pool S-1st ",'Pool Matches'!O126)</f>
      </c>
      <c r="I13" s="20"/>
      <c r="J13" s="22"/>
      <c r="K13" s="20"/>
    </row>
    <row r="14">
      <c r="A14" s="24" t="str">
        <f>'data'!$A$58</f>
      </c>
      <c r="D14" s="22"/>
      <c r="E14" s="21">
        <v>17</v>
      </c>
      <c r="I14" s="20"/>
      <c r="K14" s="20"/>
    </row>
    <row r="15">
      <c r="A15" s="25" t="str">
        <f>"1. " &amp; data!$B$56</f>
      </c>
      <c r="C15" s="23" t="str">
        <f>CONCATENATE("Pool B-2nd ",'Pool Matches'!G84)</f>
      </c>
      <c r="D15" s="15"/>
      <c r="E15" s="20"/>
      <c r="F15" s="22"/>
      <c r="G15" s="20"/>
      <c r="I15" s="20"/>
      <c r="K15" s="20"/>
    </row>
    <row r="16">
      <c r="A16" s="26" t="str">
        <f>"2. " &amp; data!$B$57</f>
      </c>
      <c r="G16" s="21">
        <v>40</v>
      </c>
      <c r="H16" s="15"/>
      <c r="I16" s="20"/>
      <c r="K16" s="20"/>
    </row>
    <row r="17">
      <c r="A17" s="27" t="str">
        <f>"3. " &amp; data!$B$58</f>
      </c>
      <c r="C17" s="23" t="str">
        <f>CONCATENATE("Pool T-1st ",'Pool Matches'!O169)</f>
      </c>
      <c r="G17" s="20"/>
      <c r="K17" s="20"/>
    </row>
    <row r="18">
      <c r="A18" s="22"/>
      <c r="D18" s="22"/>
      <c r="E18" s="21">
        <v>18</v>
      </c>
      <c r="F18" s="15"/>
      <c r="G18" s="20"/>
      <c r="K18" s="20"/>
    </row>
    <row r="19">
      <c r="A19" s="24" t="str">
        <f>'data'!$A$61</f>
      </c>
      <c r="C19" s="23" t="str">
        <f>CONCATENATE("Pool C-2nd ",'Pool Matches'!G127)</f>
      </c>
      <c r="D19" s="15"/>
      <c r="E19" s="20"/>
      <c r="K19" s="20"/>
    </row>
    <row r="20">
      <c r="A20" s="25" t="str">
        <f>"1. " &amp; data!$B$59</f>
      </c>
      <c r="K20" s="21">
        <v>57</v>
      </c>
    </row>
    <row r="21">
      <c r="A21" s="26" t="str">
        <f>"2. " &amp; data!$B$60</f>
      </c>
      <c r="C21" s="23" t="str">
        <f>CONCATENATE("Pool U-1st ",'Pool Matches'!O212)</f>
      </c>
      <c r="K21" s="20"/>
    </row>
    <row r="22">
      <c r="A22" s="27" t="str">
        <f>"3. " &amp; data!$B$61</f>
      </c>
      <c r="D22" s="22"/>
      <c r="E22" s="21">
        <v>19</v>
      </c>
      <c r="K22" s="20"/>
    </row>
    <row r="23">
      <c r="A23" s="22"/>
      <c r="C23" s="23" t="str">
        <f>CONCATENATE("Pool D-2nd ",'Pool Matches'!G170)</f>
      </c>
      <c r="D23" s="15"/>
      <c r="E23" s="20"/>
      <c r="F23" s="22"/>
      <c r="G23" s="20"/>
      <c r="K23" s="20"/>
    </row>
    <row r="24">
      <c r="A24" s="24" t="str">
        <f>'data'!$A$64</f>
      </c>
      <c r="G24" s="21">
        <v>41</v>
      </c>
      <c r="K24" s="20"/>
    </row>
    <row r="25">
      <c r="A25" s="25" t="str">
        <f>"1. " &amp; data!$B$62</f>
      </c>
      <c r="C25" s="23" t="str">
        <f>CONCATENATE("Pool V-1st ",'Pool Matches'!O255)</f>
      </c>
      <c r="G25" s="20"/>
      <c r="H25" s="22"/>
      <c r="I25" s="20"/>
      <c r="K25" s="20"/>
    </row>
    <row r="26">
      <c r="A26" s="26" t="str">
        <f>"2. " &amp; data!$B$63</f>
      </c>
      <c r="D26" s="22"/>
      <c r="E26" s="21">
        <v>20</v>
      </c>
      <c r="F26" s="15"/>
      <c r="G26" s="20"/>
      <c r="I26" s="20"/>
      <c r="K26" s="20"/>
    </row>
    <row r="27">
      <c r="A27" s="27" t="str">
        <f>"3. " &amp; data!$B$64</f>
      </c>
      <c r="C27" s="23" t="str">
        <f>CONCATENATE("Pool E-2nd ",'Pool Matches'!G213)</f>
      </c>
      <c r="D27" s="15"/>
      <c r="E27" s="20"/>
      <c r="I27" s="20"/>
      <c r="K27" s="20"/>
    </row>
    <row r="28">
      <c r="A28" s="22"/>
      <c r="I28" s="21">
        <v>52</v>
      </c>
      <c r="J28" s="15"/>
      <c r="K28" s="20"/>
    </row>
    <row r="29">
      <c r="A29" s="24" t="str">
        <f>'data'!$A$67</f>
      </c>
      <c r="C29" s="23" t="str">
        <f>CONCATENATE("Pool W-1st ",'Pool Matches'!O298)</f>
      </c>
      <c r="I29" s="20"/>
    </row>
    <row r="30">
      <c r="A30" s="25" t="str">
        <f>"1. " &amp; data!$B$65</f>
      </c>
      <c r="D30" s="22"/>
      <c r="E30" s="21">
        <v>21</v>
      </c>
      <c r="I30" s="20"/>
    </row>
    <row r="31">
      <c r="A31" s="26" t="str">
        <f>"2. " &amp; data!$B$66</f>
      </c>
      <c r="C31" s="23" t="str">
        <f>CONCATENATE("Pool F-2nd ",'Pool Matches'!G256)</f>
      </c>
      <c r="D31" s="15"/>
      <c r="E31" s="20"/>
      <c r="F31" s="22"/>
      <c r="G31" s="20"/>
      <c r="I31" s="20"/>
    </row>
    <row r="32">
      <c r="A32" s="27" t="str">
        <f>"3. " &amp; data!$B$67</f>
      </c>
      <c r="G32" s="21">
        <v>42</v>
      </c>
      <c r="H32" s="15"/>
      <c r="I32" s="20"/>
    </row>
    <row r="33">
      <c r="A33" s="22"/>
      <c r="C33" s="23" t="str">
        <f>CONCATENATE("Pool X-1st ",'Pool Matches'!O341)</f>
      </c>
      <c r="G33" s="20"/>
    </row>
    <row r="34">
      <c r="A34" s="24" t="str">
        <f>'data'!$A$70</f>
      </c>
      <c r="D34" s="22"/>
      <c r="E34" s="21">
        <v>22</v>
      </c>
      <c r="F34" s="15"/>
      <c r="G34" s="20"/>
    </row>
    <row r="35">
      <c r="A35" s="25" t="str">
        <f>"1. " &amp; data!$B$68</f>
      </c>
      <c r="C35" s="23" t="str">
        <f>CONCATENATE("Pool G-2nd ",'Pool Matches'!G299)</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"1. " &amp; data!$B$74</f>
      </c>
      <c r="C5" s="23" t="str">
        <f>CONCATENATE("Pool Y-1st ",'Pool Matches'!O384)</f>
      </c>
    </row>
    <row r="6">
      <c r="A6" s="26" t="str">
        <f>"2. " &amp; data!$B$75</f>
      </c>
      <c r="D6" s="22"/>
      <c r="E6" s="21">
        <v>23</v>
      </c>
    </row>
    <row r="7">
      <c r="A7" s="27" t="str">
        <f>"3. " &amp; data!$B$76</f>
      </c>
      <c r="C7" s="23" t="str">
        <f>CONCATENATE("Pool H-2nd ",'Pool Matches'!G342)</f>
      </c>
      <c r="D7" s="15"/>
      <c r="E7" s="20"/>
      <c r="F7" s="22"/>
      <c r="G7" s="20"/>
    </row>
    <row r="8">
      <c r="A8" s="22"/>
      <c r="G8" s="21">
        <v>43</v>
      </c>
    </row>
    <row r="9">
      <c r="A9" s="24" t="str">
        <f>'data'!$A$79</f>
      </c>
      <c r="C9" s="23" t="str">
        <f>CONCATENATE("Pool Z-1st ",'Pool Matches'!O427)</f>
      </c>
      <c r="G9" s="20"/>
      <c r="H9" s="22"/>
      <c r="I9" s="20"/>
    </row>
    <row r="10">
      <c r="A10" s="25" t="str">
        <f>"1. " &amp; data!$B$77</f>
      </c>
      <c r="D10" s="22"/>
      <c r="E10" s="21">
        <v>24</v>
      </c>
      <c r="F10" s="15"/>
      <c r="G10" s="20"/>
      <c r="I10" s="20"/>
    </row>
    <row r="11">
      <c r="A11" s="26" t="str">
        <f>"2. " &amp; data!$B$78</f>
      </c>
      <c r="C11" s="23" t="str">
        <f>CONCATENATE("Pool I-2nd ",'Pool Matches'!G385)</f>
      </c>
      <c r="D11" s="15"/>
      <c r="E11" s="20"/>
      <c r="I11" s="20"/>
    </row>
    <row r="12">
      <c r="A12" s="27" t="str">
        <f>"3. " &amp; data!$B$79</f>
      </c>
      <c r="I12" s="21">
        <v>53</v>
      </c>
    </row>
    <row r="13">
      <c r="A13" s="22"/>
      <c r="C13" s="23" t="str">
        <f>CONCATENATE("Pool AA-1st ",'Pool Matches'!O470)</f>
      </c>
      <c r="I13" s="20"/>
      <c r="J13" s="22"/>
      <c r="K13" s="20"/>
    </row>
    <row r="14">
      <c r="A14" s="24" t="str">
        <f>'data'!$A$82</f>
      </c>
      <c r="D14" s="22"/>
      <c r="E14" s="21">
        <v>25</v>
      </c>
      <c r="I14" s="20"/>
      <c r="K14" s="20"/>
    </row>
    <row r="15">
      <c r="A15" s="25" t="str">
        <f>"1. " &amp; data!$B$80</f>
      </c>
      <c r="C15" s="23" t="str">
        <f>CONCATENATE("Pool J-2nd ",'Pool Matches'!G428)</f>
      </c>
      <c r="D15" s="15"/>
      <c r="E15" s="20"/>
      <c r="F15" s="22"/>
      <c r="G15" s="20"/>
      <c r="I15" s="20"/>
      <c r="K15" s="20"/>
    </row>
    <row r="16">
      <c r="A16" s="26" t="str">
        <f>"2. " &amp; data!$B$81</f>
      </c>
      <c r="G16" s="21">
        <v>44</v>
      </c>
      <c r="H16" s="15"/>
      <c r="I16" s="20"/>
      <c r="K16" s="20"/>
    </row>
    <row r="17">
      <c r="A17" s="27" t="str">
        <f>"3. " &amp; data!$B$82</f>
      </c>
      <c r="C17" s="23" t="str">
        <f>CONCATENATE("Pool BB-1st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"1. " &amp; data!$B$83</f>
      </c>
      <c r="K20" s="21">
        <v>58</v>
      </c>
    </row>
    <row r="21">
      <c r="A21" s="26" t="str">
        <f>"2. " &amp; data!$B$84</f>
      </c>
      <c r="C21" s="23" t="str">
        <f>CONCATENATE("Pool CC-1st ",'Pool Matches'!O556)</f>
      </c>
      <c r="K21" s="20"/>
    </row>
    <row r="22">
      <c r="A22" s="27" t="str">
        <f>"3. " &amp; 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"1. " &amp; data!$B$86</f>
      </c>
      <c r="C25" s="23" t="str">
        <f>CONCATENATE("Pool DD-1st ",'Pool Matches'!O599)</f>
      </c>
      <c r="G25" s="20"/>
      <c r="H25" s="22"/>
      <c r="I25" s="20"/>
      <c r="K25" s="20"/>
    </row>
    <row r="26">
      <c r="A26" s="26" t="str">
        <f>"2. " &amp; data!$B$87</f>
      </c>
      <c r="D26" s="22"/>
      <c r="E26" s="21">
        <v>28</v>
      </c>
      <c r="F26" s="15"/>
      <c r="G26" s="20"/>
      <c r="I26" s="20"/>
      <c r="K26" s="20"/>
    </row>
    <row r="27">
      <c r="A27" s="27" t="str">
        <f>"3. " &amp; data!$B$88</f>
      </c>
      <c r="C27" s="23" t="str">
        <f>CONCATENATE("Pool M-2nd ",'Pool Matches'!G557)</f>
      </c>
      <c r="D27" s="15"/>
      <c r="E27" s="20"/>
      <c r="I27" s="20"/>
      <c r="K27" s="20"/>
    </row>
    <row r="28">
      <c r="A28" s="22"/>
      <c r="I28" s="21">
        <v>54</v>
      </c>
      <c r="J28" s="15"/>
      <c r="K28" s="20"/>
    </row>
    <row r="29">
      <c r="A29" s="24" t="str">
        <f>'data'!$A$91</f>
      </c>
      <c r="C29" s="23" t="str">
        <f>CONCATENATE("Pool EE-1st ",'Pool Matches'!O640)</f>
      </c>
      <c r="I29" s="20"/>
    </row>
    <row r="30">
      <c r="A30" s="25" t="str">
        <f>"1. " &amp; data!$B$89</f>
      </c>
      <c r="D30" s="22"/>
      <c r="E30" s="21">
        <v>29</v>
      </c>
      <c r="I30" s="20"/>
    </row>
    <row r="31">
      <c r="A31" s="26" t="str">
        <f>"2. " &amp; data!$B$90</f>
      </c>
      <c r="C31" s="23" t="str">
        <f>CONCATENATE("Pool N-2nd ",'Pool Matches'!G600)</f>
      </c>
      <c r="D31" s="15"/>
      <c r="E31" s="20"/>
      <c r="F31" s="22"/>
      <c r="G31" s="20"/>
      <c r="I31" s="20"/>
    </row>
    <row r="32">
      <c r="A32" s="27" t="str">
        <f>"3. " &amp; data!$B$91</f>
      </c>
      <c r="G32" s="21">
        <v>46</v>
      </c>
      <c r="H32" s="15"/>
      <c r="I32" s="20"/>
    </row>
    <row r="33">
      <c r="A33" s="22"/>
      <c r="C33" s="23" t="str">
        <f>CONCATENATE("Pool O-2nd ",'Pool Matches'!G643)</f>
      </c>
      <c r="G33" s="20"/>
    </row>
    <row r="34">
      <c r="A34" s="24" t="str">
        <f>'data'!$A$93</f>
      </c>
      <c r="D34" s="22"/>
      <c r="E34" s="21">
        <v>30</v>
      </c>
      <c r="F34" s="15"/>
      <c r="G34" s="20"/>
    </row>
    <row r="35">
      <c r="A35" s="25" t="str">
        <f>"1. " &amp; data!$B$92</f>
      </c>
      <c r="C35" s="23" t="str">
        <f>CONCATENATE("Pool P-2nd ",'Pool Matches'!G668)</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110"/>
  </cols>
  <sheetData>
    <row r="1" ht="409" customHeight="true">
      <c r="A1" s="30" t="s">
        <v>256</v>
      </c>
    </row>
    <row r="2" ht="409" customHeight="true">
      <c r="A2" s="30" t="s">
        <v>256</v>
      </c>
    </row>
    <row r="3" ht="409" customHeight="true">
      <c r="A3" s="30" t="s">
        <v>257</v>
      </c>
    </row>
    <row r="4" ht="409" customHeight="true">
      <c r="A4" s="30" t="s">
        <v>257</v>
      </c>
    </row>
    <row r="5" ht="409" customHeight="true">
      <c r="A5" s="30" t="s">
        <v>258</v>
      </c>
    </row>
    <row r="6" ht="409" customHeight="true">
      <c r="A6" s="30" t="s">
        <v>258</v>
      </c>
    </row>
    <row r="7" ht="409" customHeight="true">
      <c r="A7" s="30" t="s">
        <v>259</v>
      </c>
    </row>
    <row r="8" ht="409" customHeight="true">
      <c r="A8" s="30" t="s">
        <v>259</v>
      </c>
    </row>
    <row r="9" ht="409" customHeight="true">
      <c r="A9" s="30" t="s">
        <v>260</v>
      </c>
    </row>
    <row r="10" ht="409" customHeight="true">
      <c r="A10" s="30" t="s">
        <v>260</v>
      </c>
    </row>
    <row r="11" ht="409" customHeight="true">
      <c r="A11" s="30" t="s">
        <v>261</v>
      </c>
    </row>
    <row r="12" ht="409" customHeight="true">
      <c r="A12" s="30" t="s">
        <v>261</v>
      </c>
    </row>
    <row r="13" ht="409" customHeight="true">
      <c r="A13" s="30" t="s">
        <v>262</v>
      </c>
    </row>
    <row r="14" ht="409" customHeight="true">
      <c r="A14" s="30" t="s">
        <v>262</v>
      </c>
    </row>
    <row r="15" ht="409" customHeight="true">
      <c r="A15" s="30" t="s">
        <v>263</v>
      </c>
    </row>
    <row r="16" ht="409" customHeight="true">
      <c r="A16" s="30" t="s">
        <v>263</v>
      </c>
    </row>
    <row r="17" ht="409" customHeight="true">
      <c r="A17" s="30" t="s">
        <v>264</v>
      </c>
    </row>
    <row r="18" ht="409" customHeight="true">
      <c r="A18" s="30" t="s">
        <v>264</v>
      </c>
    </row>
    <row r="19" ht="409" customHeight="true">
      <c r="A19" s="30" t="s">
        <v>265</v>
      </c>
    </row>
    <row r="20" ht="409" customHeight="true">
      <c r="A20" s="30" t="s">
        <v>265</v>
      </c>
    </row>
    <row r="21" ht="409" customHeight="true">
      <c r="A21" s="30" t="s">
        <v>266</v>
      </c>
    </row>
    <row r="22" ht="409" customHeight="true">
      <c r="A22" s="30" t="s">
        <v>266</v>
      </c>
    </row>
    <row r="23" ht="409" customHeight="true">
      <c r="A23" s="30" t="s">
        <v>267</v>
      </c>
    </row>
    <row r="24" ht="409" customHeight="true">
      <c r="A24" s="30" t="s">
        <v>267</v>
      </c>
    </row>
    <row r="25" ht="409" customHeight="true">
      <c r="A25" s="30" t="s">
        <v>268</v>
      </c>
    </row>
    <row r="26" ht="409" customHeight="true">
      <c r="A26" s="30" t="s">
        <v>268</v>
      </c>
    </row>
    <row r="27" ht="409" customHeight="true">
      <c r="A27" s="30" t="s">
        <v>269</v>
      </c>
    </row>
    <row r="28" ht="409" customHeight="true">
      <c r="A28" s="30" t="s">
        <v>269</v>
      </c>
    </row>
    <row r="29" ht="409" customHeight="true">
      <c r="A29" s="30" t="s">
        <v>270</v>
      </c>
    </row>
    <row r="30" ht="409" customHeight="true">
      <c r="A30" s="30" t="s">
        <v>270</v>
      </c>
    </row>
    <row r="31" ht="409" customHeight="true">
      <c r="A31" s="30" t="s">
        <v>271</v>
      </c>
    </row>
    <row r="32" ht="409" customHeight="true">
      <c r="A32" s="30" t="s">
        <v>271</v>
      </c>
    </row>
    <row r="33" ht="409" customHeight="true">
      <c r="A33" s="30" t="s">
        <v>272</v>
      </c>
    </row>
    <row r="34" ht="409" customHeight="true">
      <c r="A34" s="30" t="s">
        <v>272</v>
      </c>
    </row>
    <row r="35" ht="409" customHeight="true">
      <c r="A35" s="30" t="s">
        <v>273</v>
      </c>
    </row>
    <row r="36" ht="409" customHeight="true">
      <c r="A36" s="30" t="s">
        <v>273</v>
      </c>
    </row>
    <row r="37" ht="409" customHeight="true">
      <c r="A37" s="30" t="s">
        <v>274</v>
      </c>
    </row>
    <row r="38" ht="409" customHeight="true">
      <c r="A38" s="30" t="s">
        <v>274</v>
      </c>
    </row>
    <row r="39" ht="409" customHeight="true">
      <c r="A39" s="30" t="s">
        <v>275</v>
      </c>
    </row>
    <row r="40" ht="409" customHeight="true">
      <c r="A40" s="30" t="s">
        <v>275</v>
      </c>
    </row>
    <row r="41" ht="409" customHeight="true">
      <c r="A41" s="30" t="s">
        <v>276</v>
      </c>
    </row>
    <row r="42" ht="409" customHeight="true">
      <c r="A42" s="30" t="s">
        <v>276</v>
      </c>
    </row>
    <row r="43" ht="409" customHeight="true">
      <c r="A43" s="30" t="s">
        <v>277</v>
      </c>
    </row>
    <row r="44" ht="409" customHeight="true">
      <c r="A44" s="30" t="s">
        <v>277</v>
      </c>
    </row>
    <row r="45" ht="409" customHeight="true">
      <c r="A45" s="30" t="s">
        <v>278</v>
      </c>
    </row>
    <row r="46" ht="409" customHeight="true">
      <c r="A46" s="30" t="s">
        <v>278</v>
      </c>
    </row>
    <row r="47" ht="409" customHeight="true">
      <c r="A47" s="30" t="s">
        <v>279</v>
      </c>
    </row>
    <row r="48" ht="409" customHeight="true">
      <c r="A48" s="30" t="s">
        <v>279</v>
      </c>
    </row>
    <row r="49" ht="409" customHeight="true">
      <c r="A49" s="30" t="s">
        <v>280</v>
      </c>
    </row>
    <row r="50" ht="409" customHeight="true">
      <c r="A50" s="30" t="s">
        <v>280</v>
      </c>
    </row>
    <row r="51" ht="409" customHeight="true">
      <c r="A51" s="30" t="s">
        <v>281</v>
      </c>
    </row>
    <row r="52" ht="409" customHeight="true">
      <c r="A52" s="30" t="s">
        <v>281</v>
      </c>
    </row>
    <row r="53" ht="409" customHeight="true">
      <c r="A53" s="30" t="s">
        <v>282</v>
      </c>
    </row>
    <row r="54" ht="409" customHeight="true">
      <c r="A54" s="30" t="s">
        <v>282</v>
      </c>
    </row>
    <row r="55" ht="409" customHeight="true">
      <c r="A55" s="30" t="s">
        <v>283</v>
      </c>
    </row>
    <row r="56" ht="409" customHeight="true">
      <c r="A56" s="30" t="s">
        <v>283</v>
      </c>
    </row>
    <row r="57" ht="409" customHeight="true">
      <c r="A57" s="30" t="s">
        <v>284</v>
      </c>
    </row>
    <row r="58" ht="409" customHeight="true">
      <c r="A58" s="30" t="s">
        <v>284</v>
      </c>
    </row>
    <row r="59" ht="409" customHeight="true">
      <c r="A59" s="30" t="s">
        <v>285</v>
      </c>
    </row>
    <row r="60" ht="409" customHeight="true">
      <c r="A60" s="30" t="s">
        <v>285</v>
      </c>
    </row>
    <row r="61" ht="409" customHeight="true">
      <c r="A61" s="30" t="s">
        <v>286</v>
      </c>
    </row>
    <row r="62" ht="409" customHeight="true">
      <c r="A62" s="30" t="s">
        <v>286</v>
      </c>
    </row>
    <row r="63" ht="409" customHeight="true">
      <c r="A63" s="30" t="s">
        <v>287</v>
      </c>
    </row>
    <row r="64" ht="409" customHeight="true">
      <c r="A64" s="30" t="s">
        <v>287</v>
      </c>
    </row>
    <row r="65" ht="409" customHeight="true">
      <c r="A65" s="30" t="s">
        <v>288</v>
      </c>
    </row>
    <row r="66" ht="409" customHeight="true">
      <c r="A66" s="30" t="s">
        <v>288</v>
      </c>
    </row>
    <row r="67" ht="409" customHeight="true">
      <c r="A67" s="30" t="s">
        <v>289</v>
      </c>
    </row>
    <row r="68" ht="409" customHeight="true">
      <c r="A68" s="30" t="s">
        <v>289</v>
      </c>
    </row>
    <row r="69" ht="409" customHeight="true">
      <c r="A69" s="30" t="s">
        <v>290</v>
      </c>
    </row>
    <row r="70" ht="409" customHeight="true">
      <c r="A70" s="30" t="s">
        <v>290</v>
      </c>
    </row>
    <row r="71" ht="409" customHeight="true">
      <c r="A71" s="30" t="s">
        <v>291</v>
      </c>
    </row>
    <row r="72" ht="409" customHeight="true">
      <c r="A72" s="30" t="s">
        <v>291</v>
      </c>
    </row>
    <row r="73" ht="409" customHeight="true">
      <c r="A73" s="30" t="s">
        <v>292</v>
      </c>
    </row>
    <row r="74" ht="409" customHeight="true">
      <c r="A74" s="30" t="s">
        <v>292</v>
      </c>
    </row>
    <row r="75" ht="409" customHeight="true">
      <c r="A75" s="30" t="s">
        <v>293</v>
      </c>
    </row>
    <row r="76" ht="409" customHeight="true">
      <c r="A76" s="30" t="s">
        <v>293</v>
      </c>
    </row>
    <row r="77" ht="409" customHeight="true">
      <c r="A77" s="30" t="s">
        <v>294</v>
      </c>
    </row>
    <row r="78" ht="409" customHeight="true">
      <c r="A78" s="30" t="s">
        <v>294</v>
      </c>
    </row>
    <row r="79" ht="409" customHeight="true">
      <c r="A79" s="30" t="s">
        <v>295</v>
      </c>
    </row>
    <row r="80" ht="409" customHeight="true">
      <c r="A80" s="30" t="s">
        <v>295</v>
      </c>
    </row>
    <row r="81" ht="409" customHeight="true">
      <c r="A81" s="30" t="s">
        <v>296</v>
      </c>
    </row>
    <row r="82" ht="409" customHeight="true">
      <c r="A82" s="30" t="s">
        <v>296</v>
      </c>
    </row>
    <row r="83" ht="409" customHeight="true">
      <c r="A83" s="30" t="s">
        <v>297</v>
      </c>
    </row>
    <row r="84" ht="409" customHeight="true">
      <c r="A84" s="30" t="s">
        <v>297</v>
      </c>
    </row>
    <row r="85" ht="409" customHeight="true">
      <c r="A85" s="30" t="s">
        <v>298</v>
      </c>
    </row>
    <row r="86" ht="409" customHeight="true">
      <c r="A86" s="30" t="s">
        <v>298</v>
      </c>
    </row>
    <row r="87" ht="409" customHeight="true">
      <c r="A87" s="30" t="s">
        <v>299</v>
      </c>
    </row>
    <row r="88" ht="409" customHeight="true">
      <c r="A88" s="30" t="s">
        <v>299</v>
      </c>
    </row>
    <row r="89" ht="409" customHeight="true">
      <c r="A89" s="30" t="s">
        <v>300</v>
      </c>
    </row>
    <row r="90" ht="409" customHeight="true">
      <c r="A90" s="30" t="s">
        <v>300</v>
      </c>
    </row>
    <row r="91" ht="409" customHeight="true">
      <c r="A91" s="30" t="s">
        <v>301</v>
      </c>
    </row>
    <row r="92" ht="409" customHeight="true">
      <c r="A92" s="30" t="s">
        <v>301</v>
      </c>
    </row>
    <row r="93" ht="409" customHeight="true">
      <c r="A93" s="30" t="s">
        <v>302</v>
      </c>
    </row>
    <row r="94" ht="409" customHeight="true">
      <c r="A94" s="30" t="s">
        <v>302</v>
      </c>
    </row>
    <row r="95" ht="409" customHeight="true">
      <c r="A95" s="30" t="s">
        <v>303</v>
      </c>
    </row>
    <row r="96" ht="409" customHeight="true">
      <c r="A96" s="30" t="s">
        <v>303</v>
      </c>
    </row>
    <row r="97" ht="409" customHeight="true">
      <c r="A97" s="30" t="s">
        <v>304</v>
      </c>
    </row>
    <row r="98" ht="409" customHeight="true">
      <c r="A98" s="30" t="s">
        <v>304</v>
      </c>
    </row>
    <row r="99" ht="409" customHeight="true">
      <c r="A99" s="30" t="s">
        <v>305</v>
      </c>
    </row>
    <row r="100" ht="409" customHeight="true">
      <c r="A100" s="30" t="s">
        <v>305</v>
      </c>
    </row>
    <row r="101" ht="409" customHeight="true">
      <c r="A101" s="30" t="s">
        <v>306</v>
      </c>
    </row>
    <row r="102" ht="409" customHeight="true">
      <c r="A102" s="30" t="s">
        <v>306</v>
      </c>
    </row>
    <row r="103" ht="409" customHeight="true">
      <c r="A103" s="30" t="s">
        <v>307</v>
      </c>
    </row>
    <row r="104" ht="409" customHeight="true">
      <c r="A104" s="30" t="s">
        <v>307</v>
      </c>
    </row>
    <row r="105" ht="409" customHeight="true">
      <c r="A105" s="30" t="s">
        <v>308</v>
      </c>
    </row>
    <row r="106" ht="409" customHeight="true">
      <c r="A106" s="30" t="s">
        <v>308</v>
      </c>
    </row>
    <row r="107" ht="409" customHeight="true">
      <c r="A107" s="30" t="s">
        <v>309</v>
      </c>
    </row>
    <row r="108" ht="409" customHeight="true">
      <c r="A108" s="30" t="s">
        <v>309</v>
      </c>
    </row>
    <row r="109" ht="409" customHeight="true">
      <c r="A109" s="30" t="s">
        <v>310</v>
      </c>
    </row>
    <row r="110" ht="409" customHeight="true">
      <c r="A110" s="30" t="s">
        <v>310</v>
      </c>
    </row>
    <row r="111" ht="409" customHeight="true">
      <c r="A111" s="30" t="s">
        <v>311</v>
      </c>
    </row>
    <row r="112" ht="409" customHeight="true">
      <c r="A112" s="30" t="s">
        <v>311</v>
      </c>
    </row>
    <row r="113" ht="409" customHeight="true">
      <c r="A113" s="30" t="s">
        <v>312</v>
      </c>
    </row>
    <row r="114" ht="409" customHeight="true">
      <c r="A114" s="30" t="s">
        <v>312</v>
      </c>
    </row>
    <row r="115" ht="409" customHeight="true">
      <c r="A115" s="30" t="s">
        <v>313</v>
      </c>
    </row>
    <row r="116" ht="409" customHeight="true">
      <c r="A116" s="30" t="s">
        <v>313</v>
      </c>
    </row>
    <row r="117" ht="409" customHeight="true">
      <c r="A117" s="30" t="s">
        <v>314</v>
      </c>
    </row>
    <row r="118" ht="409" customHeight="true">
      <c r="A118" s="30" t="s">
        <v>314</v>
      </c>
    </row>
    <row r="119" ht="409" customHeight="true">
      <c r="A119" s="30" t="s">
        <v>315</v>
      </c>
    </row>
    <row r="120" ht="409" customHeight="true">
      <c r="A120" s="30" t="s">
        <v>315</v>
      </c>
    </row>
    <row r="121" ht="409" customHeight="true">
      <c r="A121" s="30" t="s">
        <v>316</v>
      </c>
    </row>
    <row r="122" ht="409" customHeight="true">
      <c r="A122" s="30" t="s">
        <v>316</v>
      </c>
    </row>
    <row r="123" ht="409" customHeight="true">
      <c r="A123" s="30" t="s">
        <v>317</v>
      </c>
    </row>
    <row r="124" ht="409" customHeight="true">
      <c r="A124" s="30" t="s">
        <v>317</v>
      </c>
    </row>
    <row r="125" ht="409" customHeight="true">
      <c r="A125" s="30" t="s">
        <v>318</v>
      </c>
    </row>
    <row r="126" ht="409" customHeight="true">
      <c r="A126" s="30" t="s">
        <v>318</v>
      </c>
    </row>
    <row r="127" ht="409" customHeight="true">
      <c r="A127" s="30" t="s">
        <v>319</v>
      </c>
    </row>
    <row r="128" ht="409" customHeight="true">
      <c r="A128" s="30" t="s">
        <v>319</v>
      </c>
    </row>
    <row r="129" ht="409" customHeight="true">
      <c r="A129" s="30" t="s">
        <v>320</v>
      </c>
    </row>
    <row r="130" ht="409" customHeight="true">
      <c r="A130" s="30" t="s">
        <v>320</v>
      </c>
    </row>
    <row r="131" ht="409" customHeight="true">
      <c r="A131" s="30" t="s">
        <v>321</v>
      </c>
    </row>
    <row r="132" ht="409" customHeight="true">
      <c r="A132" s="30" t="s">
        <v>321</v>
      </c>
    </row>
    <row r="133" ht="409" customHeight="true">
      <c r="A133" s="30" t="s">
        <v>322</v>
      </c>
    </row>
    <row r="134" ht="409" customHeight="true">
      <c r="A134" s="30" t="s">
        <v>322</v>
      </c>
    </row>
    <row r="135" ht="409" customHeight="true">
      <c r="A135" s="30" t="s">
        <v>323</v>
      </c>
    </row>
    <row r="136" ht="409" customHeight="true">
      <c r="A136" s="30" t="s">
        <v>323</v>
      </c>
    </row>
    <row r="137" ht="409" customHeight="true">
      <c r="A137" s="30" t="s">
        <v>324</v>
      </c>
    </row>
    <row r="138" ht="409" customHeight="true">
      <c r="A138" s="30" t="s">
        <v>324</v>
      </c>
    </row>
    <row r="139" ht="409" customHeight="true">
      <c r="A139" s="30" t="s">
        <v>325</v>
      </c>
    </row>
    <row r="140" ht="409" customHeight="true">
      <c r="A140" s="30" t="s">
        <v>325</v>
      </c>
    </row>
    <row r="141" ht="409" customHeight="true">
      <c r="A141" s="30" t="s">
        <v>326</v>
      </c>
    </row>
    <row r="142" ht="409" customHeight="true">
      <c r="A142" s="30" t="s">
        <v>326</v>
      </c>
    </row>
    <row r="143" ht="409" customHeight="true">
      <c r="A143" s="30" t="s">
        <v>327</v>
      </c>
    </row>
    <row r="144" ht="409" customHeight="true">
      <c r="A144" s="30" t="s">
        <v>327</v>
      </c>
    </row>
    <row r="145" ht="409" customHeight="true">
      <c r="A145" s="30" t="s">
        <v>328</v>
      </c>
    </row>
    <row r="146" ht="409" customHeight="true">
      <c r="A146" s="30" t="s">
        <v>328</v>
      </c>
    </row>
    <row r="147" ht="409" customHeight="true">
      <c r="A147" s="30" t="s">
        <v>329</v>
      </c>
    </row>
    <row r="148" ht="409" customHeight="true">
      <c r="A148" s="30" t="s">
        <v>329</v>
      </c>
    </row>
    <row r="149" ht="409" customHeight="true">
      <c r="A149" s="30" t="s">
        <v>330</v>
      </c>
    </row>
    <row r="150" ht="409" customHeight="true">
      <c r="A150" s="30" t="s">
        <v>330</v>
      </c>
    </row>
    <row r="151" ht="409" customHeight="true">
      <c r="A151" s="30" t="s">
        <v>331</v>
      </c>
    </row>
    <row r="152" ht="409" customHeight="true">
      <c r="A152" s="30" t="s">
        <v>331</v>
      </c>
    </row>
    <row r="153" ht="409" customHeight="true">
      <c r="A153" s="30" t="s">
        <v>332</v>
      </c>
    </row>
    <row r="154" ht="409" customHeight="true">
      <c r="A154" s="30" t="s">
        <v>332</v>
      </c>
    </row>
    <row r="155" ht="409" customHeight="true">
      <c r="A155" s="30" t="s">
        <v>333</v>
      </c>
    </row>
    <row r="156" ht="409" customHeight="true">
      <c r="A156" s="30" t="s">
        <v>333</v>
      </c>
    </row>
    <row r="157" ht="409" customHeight="true">
      <c r="A157" s="30" t="s">
        <v>334</v>
      </c>
    </row>
    <row r="158" ht="409" customHeight="true">
      <c r="A158" s="30" t="s">
        <v>334</v>
      </c>
    </row>
    <row r="159" ht="409" customHeight="true">
      <c r="A159" s="30" t="s">
        <v>335</v>
      </c>
    </row>
    <row r="160" ht="409" customHeight="true">
      <c r="A160" s="30" t="s">
        <v>335</v>
      </c>
    </row>
    <row r="161" ht="409" customHeight="true">
      <c r="A161" s="30" t="s">
        <v>336</v>
      </c>
    </row>
    <row r="162" ht="409" customHeight="true">
      <c r="A162" s="30" t="s">
        <v>336</v>
      </c>
    </row>
    <row r="163" ht="409" customHeight="true">
      <c r="A163" s="30" t="s">
        <v>337</v>
      </c>
    </row>
    <row r="164" ht="409" customHeight="true">
      <c r="A164" s="30" t="s">
        <v>337</v>
      </c>
    </row>
    <row r="165" ht="409" customHeight="true">
      <c r="A165" s="30" t="s">
        <v>338</v>
      </c>
    </row>
    <row r="166" ht="409" customHeight="true">
      <c r="A166" s="30" t="s">
        <v>338</v>
      </c>
    </row>
    <row r="167" ht="409" customHeight="true">
      <c r="A167" s="30" t="s">
        <v>339</v>
      </c>
    </row>
    <row r="168" ht="409" customHeight="true">
      <c r="A168" s="30" t="s">
        <v>339</v>
      </c>
    </row>
    <row r="169" ht="409" customHeight="true">
      <c r="A169" s="30" t="s">
        <v>340</v>
      </c>
    </row>
    <row r="170" ht="409" customHeight="true">
      <c r="A170" s="30" t="s">
        <v>340</v>
      </c>
    </row>
    <row r="171" ht="409" customHeight="true">
      <c r="A171" s="30" t="s">
        <v>341</v>
      </c>
    </row>
    <row r="172" ht="409" customHeight="true">
      <c r="A172" s="30" t="s">
        <v>341</v>
      </c>
    </row>
    <row r="173" ht="409" customHeight="true">
      <c r="A173" s="30" t="s">
        <v>342</v>
      </c>
    </row>
    <row r="174" ht="409" customHeight="true">
      <c r="A174" s="30" t="s">
        <v>342</v>
      </c>
    </row>
    <row r="175" ht="409" customHeight="true">
      <c r="A175" s="30" t="s">
        <v>343</v>
      </c>
    </row>
    <row r="176" ht="409" customHeight="true">
      <c r="A176" s="30" t="s">
        <v>343</v>
      </c>
    </row>
    <row r="177" ht="409" customHeight="true">
      <c r="A177" s="30" t="s">
        <v>344</v>
      </c>
    </row>
    <row r="178" ht="409" customHeight="true">
      <c r="A178" s="30" t="s">
        <v>344</v>
      </c>
    </row>
    <row r="179" ht="409" customHeight="true">
      <c r="A179" s="30" t="s">
        <v>345</v>
      </c>
    </row>
    <row r="180" ht="409" customHeight="true">
      <c r="A180" s="30" t="s">
        <v>345</v>
      </c>
    </row>
    <row r="181" ht="409" customHeight="true">
      <c r="A181" s="30" t="s">
        <v>346</v>
      </c>
    </row>
    <row r="182" ht="409"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