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Matches'!$A$1:$P$511</definedName>
  </definedNames>
  <calcPr calcId="122211"/>
</workbook>
</file>

<file path=xl/sharedStrings.xml><?xml version="1.0" encoding="utf-8"?>
<sst xmlns="http://schemas.openxmlformats.org/spreadsheetml/2006/main" count="415" uniqueCount="415">
  <si>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</si>
  <si>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</si>
  <si>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</si>
  <si>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</si>
  <si>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</si>
  <si>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</si>
  <si>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</si>
  <si>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</si>
  <si>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</si>
  <si>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</si>
  <si>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</si>
  <si>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</si>
  <si>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</si>
  <si>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</si>
  <si>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</si>
  <si>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</si>
  <si>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</si>
  <si>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</si>
  <si>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Tyrion Lannister</t>
  </si>
  <si>
    <t>Team Upsilon</t>
  </si>
  <si>
    <t>LANNISTER</t>
  </si>
  <si>
    <t>K1</t>
  </si>
  <si>
    <t>Michael Lewis</t>
  </si>
  <si>
    <t>Team Gamma</t>
  </si>
  <si>
    <t>LEWIS</t>
  </si>
  <si>
    <t>K2</t>
  </si>
  <si>
    <t>Ryan Hall</t>
  </si>
  <si>
    <t>Team Theta</t>
  </si>
  <si>
    <t>HALL</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</si>
  <si>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</si>
  <si>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</si>
  <si>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</si>
  <si>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</si>
  <si>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</si>
  <si>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</si>
  <si>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</si>
  <si>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</si>
  <si>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</si>
  <si>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</si>
  <si>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</si>
  <si>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</si>
  <si>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</si>
  <si>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</si>
  <si>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</si>
  <si>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</si>
  <si>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</si>
  <si>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</si>
  <si>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</si>
  <si>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Oliver Walker</t>
  </si>
  <si>
    <t>Team Epsilon</t>
  </si>
  <si>
    <t>WALKER</t>
  </si>
  <si>
    <t>K8</t>
  </si>
  <si>
    <t>Nolan Clark</t>
  </si>
  <si>
    <t>Team Delta</t>
  </si>
  <si>
    <t>CLARK</t>
  </si>
  <si>
    <t>K9</t>
  </si>
  <si>
    <t>Quirinus Quirrell</t>
  </si>
  <si>
    <t>Team Rho</t>
  </si>
  <si>
    <t>QUIRRELL</t>
  </si>
  <si>
    <t>K10</t>
  </si>
  <si>
    <t>Pool D</t>
  </si>
  <si>
    <t>Gabriel Thomas</t>
  </si>
  <si>
    <t>Team Eta</t>
  </si>
  <si>
    <t>THOMAS</t>
  </si>
  <si>
    <t>K11</t>
  </si>
  <si>
    <t>Nathaniel Hawthorne</t>
  </si>
  <si>
    <t>Team Xi</t>
  </si>
  <si>
    <t>HAWTHORNE</t>
  </si>
  <si>
    <t>K12</t>
  </si>
  <si>
    <t>Ygritte</t>
  </si>
  <si>
    <t>Team Alpha</t>
  </si>
  <si>
    <t>YGRITTE</t>
  </si>
  <si>
    <t>K13</t>
  </si>
  <si>
    <t>Pool E</t>
  </si>
  <si>
    <t>Quentin Allen</t>
  </si>
  <si>
    <t>ALLEN</t>
  </si>
  <si>
    <t>K14</t>
  </si>
  <si>
    <t>Mason Martinez</t>
  </si>
  <si>
    <t>MARTINEZ</t>
  </si>
  <si>
    <t>K15</t>
  </si>
  <si>
    <t>Moby Dick</t>
  </si>
  <si>
    <t>Team Nu</t>
  </si>
  <si>
    <t>DICK</t>
  </si>
  <si>
    <t>K16</t>
  </si>
  <si>
    <t>Pool F</t>
  </si>
  <si>
    <t>Isaac White</t>
  </si>
  <si>
    <t>Team Iota</t>
  </si>
  <si>
    <t>WHITE</t>
  </si>
  <si>
    <t>K17</t>
  </si>
  <si>
    <t>Oscar Wilde</t>
  </si>
  <si>
    <t>Team Omicron</t>
  </si>
  <si>
    <t>WILDE</t>
  </si>
  <si>
    <t>K18</t>
  </si>
  <si>
    <t>Yann Martel</t>
  </si>
  <si>
    <t>MARTEL</t>
  </si>
  <si>
    <t>K19</t>
  </si>
  <si>
    <t>Pool G</t>
  </si>
  <si>
    <t>Steven Hernandez</t>
  </si>
  <si>
    <t>HERNANDEZ</t>
  </si>
  <si>
    <t>K20</t>
  </si>
  <si>
    <t>Parker Lewis</t>
  </si>
  <si>
    <t>Team Zeta</t>
  </si>
  <si>
    <t>K21</t>
  </si>
  <si>
    <t>Legolas Greenleaf</t>
  </si>
  <si>
    <t>Team Mu</t>
  </si>
  <si>
    <t>GREENLEAF</t>
  </si>
  <si>
    <t>K22</t>
  </si>
  <si>
    <t>Pool H</t>
  </si>
  <si>
    <t>Aaron Thompson</t>
  </si>
  <si>
    <t>K23</t>
  </si>
  <si>
    <t>Yosef Hill</t>
  </si>
  <si>
    <t>HILL</t>
  </si>
  <si>
    <t>K24</t>
  </si>
  <si>
    <t>Ulysses</t>
  </si>
  <si>
    <t>Team Phi</t>
  </si>
  <si>
    <t>ULYSSES</t>
  </si>
  <si>
    <t>K25</t>
  </si>
  <si>
    <t>Pool I</t>
  </si>
  <si>
    <t>Uriel Wright</t>
  </si>
  <si>
    <t>WRIGHT</t>
  </si>
  <si>
    <t>K26</t>
  </si>
  <si>
    <t>Elijah Taylor</t>
  </si>
  <si>
    <t>TAYLOR</t>
  </si>
  <si>
    <t>K27</t>
  </si>
  <si>
    <t>Victor Lopez</t>
  </si>
  <si>
    <t>LOPEZ</t>
  </si>
  <si>
    <t>K28</t>
  </si>
  <si>
    <t>Pool J</t>
  </si>
  <si>
    <t>Xavier Scott</t>
  </si>
  <si>
    <t>SCOTT</t>
  </si>
  <si>
    <t>K29</t>
  </si>
  <si>
    <t>Isaac Asimov</t>
  </si>
  <si>
    <t>ASIMOV</t>
  </si>
  <si>
    <t>K30</t>
  </si>
  <si>
    <t>Xavier Herbert</t>
  </si>
  <si>
    <t>Team Omega</t>
  </si>
  <si>
    <t>HERBERT</t>
  </si>
  <si>
    <t>K31</t>
  </si>
  <si>
    <t>Pool K</t>
  </si>
  <si>
    <t>Hermione Granger</t>
  </si>
  <si>
    <t>GRANGER</t>
  </si>
  <si>
    <t>K32</t>
  </si>
  <si>
    <t>George Orwell</t>
  </si>
  <si>
    <t>ORWELL</t>
  </si>
  <si>
    <t>K33</t>
  </si>
  <si>
    <t>Frodo Baggins</t>
  </si>
  <si>
    <t>BAGGINS</t>
  </si>
  <si>
    <t>K34</t>
  </si>
  <si>
    <t>Pool L</t>
  </si>
  <si>
    <t>Caleb Wilson</t>
  </si>
  <si>
    <t>WILSON</t>
  </si>
  <si>
    <t>K35</t>
  </si>
  <si>
    <t>Kevin Clark</t>
  </si>
  <si>
    <t>K36</t>
  </si>
  <si>
    <t>Willy Wonka</t>
  </si>
  <si>
    <t>Team Psi</t>
  </si>
  <si>
    <t>WONKA</t>
  </si>
  <si>
    <t>K37</t>
  </si>
  <si>
    <t>Pool M</t>
  </si>
  <si>
    <t>Bram Stoker</t>
  </si>
  <si>
    <t>STOKER</t>
  </si>
  <si>
    <t>K38</t>
  </si>
  <si>
    <t>Charles Dickens</t>
  </si>
  <si>
    <t>DICKENS</t>
  </si>
  <si>
    <t>K39</t>
  </si>
  <si>
    <t>Kurt Vonnegut</t>
  </si>
  <si>
    <t>Team Lambda</t>
  </si>
  <si>
    <t>VONNEGUT</t>
  </si>
  <si>
    <t>K40</t>
  </si>
  <si>
    <t>Pool N</t>
  </si>
  <si>
    <t>Arthur Conan</t>
  </si>
  <si>
    <t>CONAN</t>
  </si>
  <si>
    <t>K41</t>
  </si>
  <si>
    <t>Emily Bronte</t>
  </si>
  <si>
    <t>BRONTE</t>
  </si>
  <si>
    <t>K42</t>
  </si>
  <si>
    <t>Philip K Dick</t>
  </si>
  <si>
    <t>Team Pi</t>
  </si>
  <si>
    <t>K43</t>
  </si>
  <si>
    <t>Pool O</t>
  </si>
  <si>
    <t>Daenerys Targaryen</t>
  </si>
  <si>
    <t>TARGARYEN</t>
  </si>
  <si>
    <t>K44</t>
  </si>
  <si>
    <t>Sylvia Plath</t>
  </si>
  <si>
    <t>Team Tau</t>
  </si>
  <si>
    <t>PLATH</t>
  </si>
  <si>
    <t>K45</t>
  </si>
  <si>
    <t>Jon Snow</t>
  </si>
  <si>
    <t>SNOW</t>
  </si>
  <si>
    <t>K46</t>
  </si>
  <si>
    <t>Pool P</t>
  </si>
  <si>
    <t>Luke Rodriguez</t>
  </si>
  <si>
    <t>RODRIGUEZ</t>
  </si>
  <si>
    <t>K47</t>
  </si>
  <si>
    <t>Owen Rodriguez</t>
  </si>
  <si>
    <t>K48</t>
  </si>
  <si>
    <t>Petyr Baelish</t>
  </si>
  <si>
    <t>BAELISH</t>
  </si>
  <si>
    <t>K49</t>
  </si>
  <si>
    <t>Pool Q</t>
  </si>
  <si>
    <t>Nathan Lee</t>
  </si>
  <si>
    <t>LEE</t>
  </si>
  <si>
    <t>K50</t>
  </si>
  <si>
    <t>Zachary Adams</t>
  </si>
  <si>
    <t>ADAMS</t>
  </si>
  <si>
    <t>K51</t>
  </si>
  <si>
    <t>William Shakespeare</t>
  </si>
  <si>
    <t>SHAKESPEARE</t>
  </si>
  <si>
    <t>K52</t>
  </si>
  <si>
    <t>Pool R</t>
  </si>
  <si>
    <t>Finn Anderson</t>
  </si>
  <si>
    <t>ANDERSON</t>
  </si>
  <si>
    <t>K53</t>
  </si>
  <si>
    <t>Kaden Martin</t>
  </si>
  <si>
    <t>MARTIN</t>
  </si>
  <si>
    <t>K54</t>
  </si>
  <si>
    <t>Othello</t>
  </si>
  <si>
    <t>OTHELLO</t>
  </si>
  <si>
    <t>K55</t>
  </si>
  <si>
    <t>Pool S</t>
  </si>
  <si>
    <t>Hudson Jackson</t>
  </si>
  <si>
    <t>JACKSON</t>
  </si>
  <si>
    <t>K56</t>
  </si>
  <si>
    <t>William Wright</t>
  </si>
  <si>
    <t>K57</t>
  </si>
  <si>
    <t>Samwise Gamgee</t>
  </si>
  <si>
    <t>GAMGEE</t>
  </si>
  <si>
    <t>K58</t>
  </si>
  <si>
    <t>Pool T</t>
  </si>
  <si>
    <t>Paul Hall</t>
  </si>
  <si>
    <t>K59</t>
  </si>
  <si>
    <t>Quinn Walker</t>
  </si>
  <si>
    <t>K60</t>
  </si>
  <si>
    <t>Katniss Everdeen</t>
  </si>
  <si>
    <t>EVERDEEN</t>
  </si>
  <si>
    <t>K61</t>
  </si>
  <si>
    <t>Pool U</t>
  </si>
  <si>
    <t>Thomas King</t>
  </si>
  <si>
    <t>KING</t>
  </si>
  <si>
    <t>K62</t>
  </si>
  <si>
    <t>Xavier Lopez</t>
  </si>
  <si>
    <t>K63</t>
  </si>
  <si>
    <t>Neville Longbottom</t>
  </si>
  <si>
    <t>LONGBOTTOM</t>
  </si>
  <si>
    <t>K64</t>
  </si>
  <si>
    <t>Pool V</t>
  </si>
  <si>
    <t>Robert Young</t>
  </si>
  <si>
    <t>K65</t>
  </si>
  <si>
    <t>Sebastian Allen</t>
  </si>
  <si>
    <t>K66</t>
  </si>
  <si>
    <t>Albus Dumbledore</t>
  </si>
  <si>
    <t>DUMBLEDORE</t>
  </si>
  <si>
    <t>K67</t>
  </si>
  <si>
    <t>Pool W</t>
  </si>
  <si>
    <t>Jackson Harris</t>
  </si>
  <si>
    <t>HARRIS</t>
  </si>
  <si>
    <t>K68</t>
  </si>
  <si>
    <t>Vincent King</t>
  </si>
  <si>
    <t>K69</t>
  </si>
  <si>
    <t>Xaro Xhoan Daxos</t>
  </si>
  <si>
    <t>DAXOS</t>
  </si>
  <si>
    <t>K70</t>
  </si>
  <si>
    <t>Pool X</t>
  </si>
  <si>
    <t>William Hill</t>
  </si>
  <si>
    <t>K71</t>
  </si>
  <si>
    <t>Quentin Blake</t>
  </si>
  <si>
    <t>BLAKE</t>
  </si>
  <si>
    <t>K72</t>
  </si>
  <si>
    <t>Ray Bradbury</t>
  </si>
  <si>
    <t>BRADBURY</t>
  </si>
  <si>
    <t>K73</t>
  </si>
  <si>
    <t>Pool Y</t>
  </si>
  <si>
    <t>Benjamin Evans</t>
  </si>
  <si>
    <t>EVANS</t>
  </si>
  <si>
    <t>K74</t>
  </si>
  <si>
    <t>Herman Melville</t>
  </si>
  <si>
    <t>MELVILLE</t>
  </si>
  <si>
    <t>K75</t>
  </si>
  <si>
    <t>Ursula K Le Guin</t>
  </si>
  <si>
    <t>LE GUIN</t>
  </si>
  <si>
    <t>K76</t>
  </si>
  <si>
    <t>Pool Z</t>
  </si>
  <si>
    <t>Yosef Green</t>
  </si>
  <si>
    <t>GREEN</t>
  </si>
  <si>
    <t>K77</t>
  </si>
  <si>
    <t>Dylan Moore</t>
  </si>
  <si>
    <t>MOORE</t>
  </si>
  <si>
    <t>K78</t>
  </si>
  <si>
    <t>Inigo Montoya</t>
  </si>
  <si>
    <t>MONTOYA</t>
  </si>
  <si>
    <t>K79</t>
  </si>
  <si>
    <t>Pool AA</t>
  </si>
  <si>
    <t>Mary Shelley</t>
  </si>
  <si>
    <t>SHELLEY</t>
  </si>
  <si>
    <t>K80</t>
  </si>
  <si>
    <t>Jane Austen</t>
  </si>
  <si>
    <t>AUSTEN</t>
  </si>
  <si>
    <t>K81</t>
  </si>
  <si>
    <t>Voldemort</t>
  </si>
  <si>
    <t>VOLDEMORT</t>
  </si>
  <si>
    <t>K82</t>
  </si>
  <si>
    <t>Pool AB</t>
  </si>
  <si>
    <t>Ulysses Hernandez</t>
  </si>
  <si>
    <t>K83</t>
  </si>
  <si>
    <t>Fyodor Dostoevsky</t>
  </si>
  <si>
    <t>DOSTOEVSKY</t>
  </si>
  <si>
    <t>K84</t>
  </si>
  <si>
    <t>Lewis Carroll</t>
  </si>
  <si>
    <t>CARROLL</t>
  </si>
  <si>
    <t>K85</t>
  </si>
  <si>
    <t>Pool AC</t>
  </si>
  <si>
    <t>Daniel Defoe</t>
  </si>
  <si>
    <t>DEFOE</t>
  </si>
  <si>
    <t>K86</t>
  </si>
  <si>
    <t>Gandalf The Grey</t>
  </si>
  <si>
    <t>GANDALF</t>
  </si>
  <si>
    <t>K87</t>
  </si>
  <si>
    <t>Bilbo Baggins</t>
  </si>
  <si>
    <t>K88</t>
  </si>
  <si>
    <t>Pool AD</t>
  </si>
  <si>
    <t>Eddard Stark</t>
  </si>
  <si>
    <t>STARK</t>
  </si>
  <si>
    <t>K89</t>
  </si>
  <si>
    <t>Thomas Hardy</t>
  </si>
  <si>
    <t>HARDY</t>
  </si>
  <si>
    <t>K90</t>
  </si>
  <si>
    <t>Cersei Lannister</t>
  </si>
  <si>
    <t>K91</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</si>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</sst>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70</v>
      </c>
      <c r="D15" t="s">
        <v>71</v>
      </c>
      <c r="E15" t="s">
        <v>72</v>
      </c>
    </row>
    <row r="16">
      <c r="A16" t="s">
        <v>73</v>
      </c>
      <c r="B16" t="s">
        <v>74</v>
      </c>
      <c r="C16" t="s">
        <v>36</v>
      </c>
      <c r="D16" t="s">
        <v>75</v>
      </c>
      <c r="E16" t="s">
        <v>76</v>
      </c>
    </row>
    <row r="17">
      <c r="A17" t="s">
        <v>73</v>
      </c>
      <c r="B17" t="s">
        <v>77</v>
      </c>
      <c r="C17" t="s">
        <v>23</v>
      </c>
      <c r="D17" t="s">
        <v>78</v>
      </c>
      <c r="E17" t="s">
        <v>79</v>
      </c>
    </row>
    <row r="18">
      <c r="A18" t="s">
        <v>73</v>
      </c>
      <c r="B18" t="s">
        <v>80</v>
      </c>
      <c r="C18" t="s">
        <v>81</v>
      </c>
      <c r="D18" t="s">
        <v>82</v>
      </c>
      <c r="E18" t="s">
        <v>83</v>
      </c>
    </row>
    <row r="19">
      <c r="A19" t="s">
        <v>84</v>
      </c>
      <c r="B19" t="s">
        <v>85</v>
      </c>
      <c r="C19" t="s">
        <v>86</v>
      </c>
      <c r="D19" t="s">
        <v>87</v>
      </c>
      <c r="E19" t="s">
        <v>88</v>
      </c>
    </row>
    <row r="20">
      <c r="A20" t="s">
        <v>84</v>
      </c>
      <c r="B20" t="s">
        <v>89</v>
      </c>
      <c r="C20" t="s">
        <v>90</v>
      </c>
      <c r="D20" t="s">
        <v>91</v>
      </c>
      <c r="E20" t="s">
        <v>92</v>
      </c>
    </row>
    <row r="21">
      <c r="A21" t="s">
        <v>84</v>
      </c>
      <c r="B21" t="s">
        <v>93</v>
      </c>
      <c r="C21" t="s">
        <v>70</v>
      </c>
      <c r="D21" t="s">
        <v>94</v>
      </c>
      <c r="E21" t="s">
        <v>95</v>
      </c>
    </row>
    <row r="22">
      <c r="A22" t="s">
        <v>96</v>
      </c>
      <c r="B22" t="s">
        <v>97</v>
      </c>
      <c r="C22" t="s">
        <v>53</v>
      </c>
      <c r="D22" t="s">
        <v>98</v>
      </c>
      <c r="E22" t="s">
        <v>99</v>
      </c>
    </row>
    <row r="23">
      <c r="A23" t="s">
        <v>96</v>
      </c>
      <c r="B23" t="s">
        <v>100</v>
      </c>
      <c r="C23" t="s">
        <v>101</v>
      </c>
      <c r="D23" t="s">
        <v>24</v>
      </c>
      <c r="E23" t="s">
        <v>102</v>
      </c>
    </row>
    <row r="24">
      <c r="A24" t="s">
        <v>96</v>
      </c>
      <c r="B24" t="s">
        <v>103</v>
      </c>
      <c r="C24" t="s">
        <v>104</v>
      </c>
      <c r="D24" t="s">
        <v>105</v>
      </c>
      <c r="E24" t="s">
        <v>106</v>
      </c>
    </row>
    <row r="25">
      <c r="A25" t="s">
        <v>107</v>
      </c>
      <c r="B25" t="s">
        <v>108</v>
      </c>
      <c r="C25" t="s">
        <v>70</v>
      </c>
      <c r="D25" t="s">
        <v>37</v>
      </c>
      <c r="E25" t="s">
        <v>109</v>
      </c>
    </row>
    <row r="26">
      <c r="A26" t="s">
        <v>107</v>
      </c>
      <c r="B26" t="s">
        <v>110</v>
      </c>
      <c r="C26" t="s">
        <v>49</v>
      </c>
      <c r="D26" t="s">
        <v>111</v>
      </c>
      <c r="E26" t="s">
        <v>112</v>
      </c>
    </row>
    <row r="27">
      <c r="A27" t="s">
        <v>107</v>
      </c>
      <c r="B27" t="s">
        <v>113</v>
      </c>
      <c r="C27" t="s">
        <v>114</v>
      </c>
      <c r="D27" t="s">
        <v>115</v>
      </c>
      <c r="E27" t="s">
        <v>116</v>
      </c>
    </row>
    <row r="28">
      <c r="A28" t="s">
        <v>117</v>
      </c>
      <c r="B28" t="s">
        <v>118</v>
      </c>
      <c r="C28" t="s">
        <v>70</v>
      </c>
      <c r="D28" t="s">
        <v>119</v>
      </c>
      <c r="E28" t="s">
        <v>120</v>
      </c>
    </row>
    <row r="29">
      <c r="A29" t="s">
        <v>117</v>
      </c>
      <c r="B29" t="s">
        <v>121</v>
      </c>
      <c r="C29" t="s">
        <v>49</v>
      </c>
      <c r="D29" t="s">
        <v>122</v>
      </c>
      <c r="E29" t="s">
        <v>123</v>
      </c>
    </row>
    <row r="30">
      <c r="A30" t="s">
        <v>117</v>
      </c>
      <c r="B30" t="s">
        <v>124</v>
      </c>
      <c r="C30" t="s">
        <v>36</v>
      </c>
      <c r="D30" t="s">
        <v>125</v>
      </c>
      <c r="E30" t="s">
        <v>126</v>
      </c>
    </row>
    <row r="31">
      <c r="A31" t="s">
        <v>127</v>
      </c>
      <c r="B31" t="s">
        <v>128</v>
      </c>
      <c r="C31" t="s">
        <v>53</v>
      </c>
      <c r="D31" t="s">
        <v>129</v>
      </c>
      <c r="E31" t="s">
        <v>130</v>
      </c>
    </row>
    <row r="32">
      <c r="A32" t="s">
        <v>127</v>
      </c>
      <c r="B32" t="s">
        <v>131</v>
      </c>
      <c r="C32" t="s">
        <v>86</v>
      </c>
      <c r="D32" t="s">
        <v>132</v>
      </c>
      <c r="E32" t="s">
        <v>133</v>
      </c>
    </row>
    <row r="33">
      <c r="A33" t="s">
        <v>127</v>
      </c>
      <c r="B33" t="s">
        <v>134</v>
      </c>
      <c r="C33" t="s">
        <v>135</v>
      </c>
      <c r="D33" t="s">
        <v>136</v>
      </c>
      <c r="E33" t="s">
        <v>137</v>
      </c>
    </row>
    <row r="34">
      <c r="A34" t="s">
        <v>138</v>
      </c>
      <c r="B34" t="s">
        <v>139</v>
      </c>
      <c r="C34" t="s">
        <v>27</v>
      </c>
      <c r="D34" t="s">
        <v>140</v>
      </c>
      <c r="E34" t="s">
        <v>141</v>
      </c>
    </row>
    <row r="35">
      <c r="A35" t="s">
        <v>138</v>
      </c>
      <c r="B35" t="s">
        <v>142</v>
      </c>
      <c r="C35" t="s">
        <v>62</v>
      </c>
      <c r="D35" t="s">
        <v>143</v>
      </c>
      <c r="E35" t="s">
        <v>144</v>
      </c>
    </row>
    <row r="36">
      <c r="A36" t="s">
        <v>138</v>
      </c>
      <c r="B36" t="s">
        <v>145</v>
      </c>
      <c r="C36" t="s">
        <v>101</v>
      </c>
      <c r="D36" t="s">
        <v>146</v>
      </c>
      <c r="E36" t="s">
        <v>147</v>
      </c>
    </row>
    <row r="37">
      <c r="A37" t="s">
        <v>148</v>
      </c>
      <c r="B37" t="s">
        <v>149</v>
      </c>
      <c r="C37" t="s">
        <v>23</v>
      </c>
      <c r="D37" t="s">
        <v>150</v>
      </c>
      <c r="E37" t="s">
        <v>151</v>
      </c>
    </row>
    <row r="38">
      <c r="A38" t="s">
        <v>148</v>
      </c>
      <c r="B38" t="s">
        <v>152</v>
      </c>
      <c r="C38" t="s">
        <v>70</v>
      </c>
      <c r="D38" t="s">
        <v>54</v>
      </c>
      <c r="E38" t="s">
        <v>153</v>
      </c>
    </row>
    <row r="39">
      <c r="A39" t="s">
        <v>148</v>
      </c>
      <c r="B39" t="s">
        <v>154</v>
      </c>
      <c r="C39" t="s">
        <v>155</v>
      </c>
      <c r="D39" t="s">
        <v>156</v>
      </c>
      <c r="E39" t="s">
        <v>157</v>
      </c>
    </row>
    <row r="40">
      <c r="A40" t="s">
        <v>158</v>
      </c>
      <c r="B40" t="s">
        <v>159</v>
      </c>
      <c r="C40" t="s">
        <v>36</v>
      </c>
      <c r="D40" t="s">
        <v>160</v>
      </c>
      <c r="E40" t="s">
        <v>161</v>
      </c>
    </row>
    <row r="41">
      <c r="A41" t="s">
        <v>158</v>
      </c>
      <c r="B41" t="s">
        <v>162</v>
      </c>
      <c r="C41" t="s">
        <v>23</v>
      </c>
      <c r="D41" t="s">
        <v>163</v>
      </c>
      <c r="E41" t="s">
        <v>164</v>
      </c>
    </row>
    <row r="42">
      <c r="A42" t="s">
        <v>158</v>
      </c>
      <c r="B42" t="s">
        <v>165</v>
      </c>
      <c r="C42" t="s">
        <v>166</v>
      </c>
      <c r="D42" t="s">
        <v>167</v>
      </c>
      <c r="E42" t="s">
        <v>168</v>
      </c>
    </row>
    <row r="43">
      <c r="A43" t="s">
        <v>169</v>
      </c>
      <c r="B43" t="s">
        <v>170</v>
      </c>
      <c r="C43" t="s">
        <v>70</v>
      </c>
      <c r="D43" t="s">
        <v>171</v>
      </c>
      <c r="E43" t="s">
        <v>172</v>
      </c>
    </row>
    <row r="44">
      <c r="A44" t="s">
        <v>169</v>
      </c>
      <c r="B44" t="s">
        <v>173</v>
      </c>
      <c r="C44" t="s">
        <v>49</v>
      </c>
      <c r="D44" t="s">
        <v>174</v>
      </c>
      <c r="E44" t="s">
        <v>175</v>
      </c>
    </row>
    <row r="45">
      <c r="A45" t="s">
        <v>169</v>
      </c>
      <c r="B45" t="s">
        <v>176</v>
      </c>
      <c r="C45" t="s">
        <v>177</v>
      </c>
      <c r="D45" t="s">
        <v>82</v>
      </c>
      <c r="E45" t="s">
        <v>178</v>
      </c>
    </row>
    <row r="46">
      <c r="A46" t="s">
        <v>179</v>
      </c>
      <c r="B46" t="s">
        <v>180</v>
      </c>
      <c r="C46" t="s">
        <v>53</v>
      </c>
      <c r="D46" t="s">
        <v>181</v>
      </c>
      <c r="E46" t="s">
        <v>182</v>
      </c>
    </row>
    <row r="47">
      <c r="A47" t="s">
        <v>179</v>
      </c>
      <c r="B47" t="s">
        <v>183</v>
      </c>
      <c r="C47" t="s">
        <v>184</v>
      </c>
      <c r="D47" t="s">
        <v>185</v>
      </c>
      <c r="E47" t="s">
        <v>186</v>
      </c>
    </row>
    <row r="48">
      <c r="A48" t="s">
        <v>179</v>
      </c>
      <c r="B48" t="s">
        <v>187</v>
      </c>
      <c r="C48" t="s">
        <v>40</v>
      </c>
      <c r="D48" t="s">
        <v>188</v>
      </c>
      <c r="E48" t="s">
        <v>189</v>
      </c>
    </row>
    <row r="49">
      <c r="A49" t="s">
        <v>190</v>
      </c>
      <c r="B49" t="s">
        <v>191</v>
      </c>
      <c r="C49" t="s">
        <v>36</v>
      </c>
      <c r="D49" t="s">
        <v>192</v>
      </c>
      <c r="E49" t="s">
        <v>193</v>
      </c>
    </row>
    <row r="50">
      <c r="A50" t="s">
        <v>190</v>
      </c>
      <c r="B50" t="s">
        <v>194</v>
      </c>
      <c r="C50" t="s">
        <v>49</v>
      </c>
      <c r="D50" t="s">
        <v>192</v>
      </c>
      <c r="E50" t="s">
        <v>195</v>
      </c>
    </row>
    <row r="51">
      <c r="A51" t="s">
        <v>190</v>
      </c>
      <c r="B51" t="s">
        <v>196</v>
      </c>
      <c r="C51" t="s">
        <v>177</v>
      </c>
      <c r="D51" t="s">
        <v>197</v>
      </c>
      <c r="E51" t="s">
        <v>198</v>
      </c>
    </row>
    <row r="52">
      <c r="A52" t="s">
        <v>199</v>
      </c>
      <c r="B52" t="s">
        <v>200</v>
      </c>
      <c r="C52" t="s">
        <v>53</v>
      </c>
      <c r="D52" t="s">
        <v>201</v>
      </c>
      <c r="E52" t="s">
        <v>202</v>
      </c>
    </row>
    <row r="53">
      <c r="A53" t="s">
        <v>199</v>
      </c>
      <c r="B53" t="s">
        <v>203</v>
      </c>
      <c r="C53" t="s">
        <v>70</v>
      </c>
      <c r="D53" t="s">
        <v>204</v>
      </c>
      <c r="E53" t="s">
        <v>205</v>
      </c>
    </row>
    <row r="54">
      <c r="A54" t="s">
        <v>199</v>
      </c>
      <c r="B54" t="s">
        <v>206</v>
      </c>
      <c r="C54" t="s">
        <v>155</v>
      </c>
      <c r="D54" t="s">
        <v>207</v>
      </c>
      <c r="E54" t="s">
        <v>208</v>
      </c>
    </row>
    <row r="55">
      <c r="A55" t="s">
        <v>209</v>
      </c>
      <c r="B55" t="s">
        <v>210</v>
      </c>
      <c r="C55" t="s">
        <v>101</v>
      </c>
      <c r="D55" t="s">
        <v>211</v>
      </c>
      <c r="E55" t="s">
        <v>212</v>
      </c>
    </row>
    <row r="56">
      <c r="A56" t="s">
        <v>209</v>
      </c>
      <c r="B56" t="s">
        <v>213</v>
      </c>
      <c r="C56" t="s">
        <v>70</v>
      </c>
      <c r="D56" t="s">
        <v>214</v>
      </c>
      <c r="E56" t="s">
        <v>215</v>
      </c>
    </row>
    <row r="57">
      <c r="A57" t="s">
        <v>209</v>
      </c>
      <c r="B57" t="s">
        <v>216</v>
      </c>
      <c r="C57" t="s">
        <v>90</v>
      </c>
      <c r="D57" t="s">
        <v>217</v>
      </c>
      <c r="E57" t="s">
        <v>218</v>
      </c>
    </row>
    <row r="58">
      <c r="A58" t="s">
        <v>219</v>
      </c>
      <c r="B58" t="s">
        <v>220</v>
      </c>
      <c r="C58" t="s">
        <v>27</v>
      </c>
      <c r="D58" t="s">
        <v>221</v>
      </c>
      <c r="E58" t="s">
        <v>222</v>
      </c>
    </row>
    <row r="59">
      <c r="A59" t="s">
        <v>219</v>
      </c>
      <c r="B59" t="s">
        <v>223</v>
      </c>
      <c r="C59" t="s">
        <v>23</v>
      </c>
      <c r="D59" t="s">
        <v>119</v>
      </c>
      <c r="E59" t="s">
        <v>224</v>
      </c>
    </row>
    <row r="60">
      <c r="A60" t="s">
        <v>219</v>
      </c>
      <c r="B60" t="s">
        <v>225</v>
      </c>
      <c r="C60" t="s">
        <v>184</v>
      </c>
      <c r="D60" t="s">
        <v>226</v>
      </c>
      <c r="E60" t="s">
        <v>227</v>
      </c>
    </row>
    <row r="61">
      <c r="A61" t="s">
        <v>228</v>
      </c>
      <c r="B61" t="s">
        <v>229</v>
      </c>
      <c r="C61" t="s">
        <v>70</v>
      </c>
      <c r="D61" t="s">
        <v>28</v>
      </c>
      <c r="E61" t="s">
        <v>230</v>
      </c>
    </row>
    <row r="62">
      <c r="A62" t="s">
        <v>228</v>
      </c>
      <c r="B62" t="s">
        <v>231</v>
      </c>
      <c r="C62" t="s">
        <v>62</v>
      </c>
      <c r="D62" t="s">
        <v>50</v>
      </c>
      <c r="E62" t="s">
        <v>232</v>
      </c>
    </row>
    <row r="63">
      <c r="A63" t="s">
        <v>228</v>
      </c>
      <c r="B63" t="s">
        <v>233</v>
      </c>
      <c r="C63" t="s">
        <v>166</v>
      </c>
      <c r="D63" t="s">
        <v>234</v>
      </c>
      <c r="E63" t="s">
        <v>235</v>
      </c>
    </row>
    <row r="64">
      <c r="A64" t="s">
        <v>236</v>
      </c>
      <c r="B64" t="s">
        <v>237</v>
      </c>
      <c r="C64" t="s">
        <v>49</v>
      </c>
      <c r="D64" t="s">
        <v>238</v>
      </c>
      <c r="E64" t="s">
        <v>239</v>
      </c>
    </row>
    <row r="65">
      <c r="A65" t="s">
        <v>236</v>
      </c>
      <c r="B65" t="s">
        <v>240</v>
      </c>
      <c r="C65" t="s">
        <v>53</v>
      </c>
      <c r="D65" t="s">
        <v>125</v>
      </c>
      <c r="E65" t="s">
        <v>241</v>
      </c>
    </row>
    <row r="66">
      <c r="A66" t="s">
        <v>236</v>
      </c>
      <c r="B66" t="s">
        <v>242</v>
      </c>
      <c r="C66" t="s">
        <v>66</v>
      </c>
      <c r="D66" t="s">
        <v>243</v>
      </c>
      <c r="E66" t="s">
        <v>244</v>
      </c>
    </row>
    <row r="67">
      <c r="A67" t="s">
        <v>245</v>
      </c>
      <c r="B67" t="s">
        <v>246</v>
      </c>
      <c r="C67" t="s">
        <v>23</v>
      </c>
      <c r="D67" t="s">
        <v>41</v>
      </c>
      <c r="E67" t="s">
        <v>247</v>
      </c>
    </row>
    <row r="68">
      <c r="A68" t="s">
        <v>245</v>
      </c>
      <c r="B68" t="s">
        <v>248</v>
      </c>
      <c r="C68" t="s">
        <v>86</v>
      </c>
      <c r="D68" t="s">
        <v>75</v>
      </c>
      <c r="E68" t="s">
        <v>249</v>
      </c>
    </row>
    <row r="69">
      <c r="A69" t="s">
        <v>245</v>
      </c>
      <c r="B69" t="s">
        <v>250</v>
      </c>
      <c r="C69" t="s">
        <v>70</v>
      </c>
      <c r="D69" t="s">
        <v>251</v>
      </c>
      <c r="E69" t="s">
        <v>252</v>
      </c>
    </row>
    <row r="70">
      <c r="A70" t="s">
        <v>253</v>
      </c>
      <c r="B70" t="s">
        <v>254</v>
      </c>
      <c r="C70" t="s">
        <v>40</v>
      </c>
      <c r="D70" t="s">
        <v>255</v>
      </c>
      <c r="E70" t="s">
        <v>256</v>
      </c>
    </row>
    <row r="71">
      <c r="A71" t="s">
        <v>253</v>
      </c>
      <c r="B71" t="s">
        <v>257</v>
      </c>
      <c r="C71" t="s">
        <v>36</v>
      </c>
      <c r="D71" t="s">
        <v>238</v>
      </c>
      <c r="E71" t="s">
        <v>258</v>
      </c>
    </row>
    <row r="72">
      <c r="A72" t="s">
        <v>253</v>
      </c>
      <c r="B72" t="s">
        <v>259</v>
      </c>
      <c r="C72" t="s">
        <v>135</v>
      </c>
      <c r="D72" t="s">
        <v>260</v>
      </c>
      <c r="E72" t="s">
        <v>261</v>
      </c>
    </row>
    <row r="73">
      <c r="A73" t="s">
        <v>262</v>
      </c>
      <c r="B73" t="s">
        <v>263</v>
      </c>
      <c r="C73" t="s">
        <v>23</v>
      </c>
      <c r="D73" t="s">
        <v>111</v>
      </c>
      <c r="E73" t="s">
        <v>264</v>
      </c>
    </row>
    <row r="74">
      <c r="A74" t="s">
        <v>262</v>
      </c>
      <c r="B74" t="s">
        <v>265</v>
      </c>
      <c r="C74" t="s">
        <v>57</v>
      </c>
      <c r="D74" t="s">
        <v>266</v>
      </c>
      <c r="E74" t="s">
        <v>267</v>
      </c>
    </row>
    <row r="75">
      <c r="A75" t="s">
        <v>262</v>
      </c>
      <c r="B75" t="s">
        <v>268</v>
      </c>
      <c r="C75" t="s">
        <v>31</v>
      </c>
      <c r="D75" t="s">
        <v>269</v>
      </c>
      <c r="E75" t="s">
        <v>270</v>
      </c>
    </row>
    <row r="76">
      <c r="A76" t="s">
        <v>271</v>
      </c>
      <c r="B76" t="s">
        <v>272</v>
      </c>
      <c r="C76" t="s">
        <v>36</v>
      </c>
      <c r="D76" t="s">
        <v>273</v>
      </c>
      <c r="E76" t="s">
        <v>274</v>
      </c>
    </row>
    <row r="77">
      <c r="A77" t="s">
        <v>271</v>
      </c>
      <c r="B77" t="s">
        <v>275</v>
      </c>
      <c r="C77" t="s">
        <v>27</v>
      </c>
      <c r="D77" t="s">
        <v>276</v>
      </c>
      <c r="E77" t="s">
        <v>277</v>
      </c>
    </row>
    <row r="78">
      <c r="A78" t="s">
        <v>271</v>
      </c>
      <c r="B78" t="s">
        <v>278</v>
      </c>
      <c r="C78" t="s">
        <v>114</v>
      </c>
      <c r="D78" t="s">
        <v>279</v>
      </c>
      <c r="E78" t="s">
        <v>280</v>
      </c>
    </row>
    <row r="79">
      <c r="A79" t="s">
        <v>281</v>
      </c>
      <c r="B79" t="s">
        <v>282</v>
      </c>
      <c r="C79" t="s">
        <v>49</v>
      </c>
      <c r="D79" t="s">
        <v>283</v>
      </c>
      <c r="E79" t="s">
        <v>284</v>
      </c>
    </row>
    <row r="80">
      <c r="A80" t="s">
        <v>281</v>
      </c>
      <c r="B80" t="s">
        <v>285</v>
      </c>
      <c r="C80" t="s">
        <v>53</v>
      </c>
      <c r="D80" t="s">
        <v>286</v>
      </c>
      <c r="E80" t="s">
        <v>287</v>
      </c>
    </row>
    <row r="81">
      <c r="A81" t="s">
        <v>281</v>
      </c>
      <c r="B81" t="s">
        <v>288</v>
      </c>
      <c r="C81" t="s">
        <v>86</v>
      </c>
      <c r="D81" t="s">
        <v>289</v>
      </c>
      <c r="E81" t="s">
        <v>290</v>
      </c>
    </row>
    <row r="82">
      <c r="A82" t="s">
        <v>291</v>
      </c>
      <c r="B82" t="s">
        <v>292</v>
      </c>
      <c r="C82" t="s">
        <v>81</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70</v>
      </c>
      <c r="D85" t="s">
        <v>98</v>
      </c>
      <c r="E85" t="s">
        <v>303</v>
      </c>
    </row>
    <row r="86">
      <c r="A86" t="s">
        <v>301</v>
      </c>
      <c r="B86" t="s">
        <v>304</v>
      </c>
      <c r="C86" t="s">
        <v>101</v>
      </c>
      <c r="D86" t="s">
        <v>305</v>
      </c>
      <c r="E86" t="s">
        <v>306</v>
      </c>
    </row>
    <row r="87">
      <c r="A87" t="s">
        <v>301</v>
      </c>
      <c r="B87" t="s">
        <v>307</v>
      </c>
      <c r="C87" t="s">
        <v>104</v>
      </c>
      <c r="D87" t="s">
        <v>308</v>
      </c>
      <c r="E87" t="s">
        <v>309</v>
      </c>
    </row>
    <row r="88">
      <c r="A88" t="s">
        <v>310</v>
      </c>
      <c r="B88" t="s">
        <v>311</v>
      </c>
      <c r="C88" t="s">
        <v>53</v>
      </c>
      <c r="D88" t="s">
        <v>312</v>
      </c>
      <c r="E88" t="s">
        <v>313</v>
      </c>
    </row>
    <row r="89">
      <c r="A89" t="s">
        <v>310</v>
      </c>
      <c r="B89" t="s">
        <v>314</v>
      </c>
      <c r="C89" t="s">
        <v>62</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23</v>
      </c>
      <c r="D93" t="s">
        <v>20</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408</v>
      </c>
      <c r="F13" s="13"/>
      <c r="G13" s="13"/>
      <c r="H13" s="13"/>
    </row>
    <row r="14">
      <c r="A14">
        <v>2</v>
      </c>
      <c r="E14" s="32" t="s">
        <v>409</v>
      </c>
      <c r="F14" s="32"/>
      <c r="G14" s="32"/>
      <c r="H14" s="31" t="str">
        <f>H2</f>
      </c>
    </row>
    <row r="15">
      <c r="E15" s="32" t="s">
        <v>410</v>
      </c>
      <c r="F15" s="32"/>
      <c r="G15" s="32"/>
      <c r="H15" s="31" t="str">
        <f>H8</f>
      </c>
    </row>
    <row r="16">
      <c r="E16" s="32" t="s">
        <v>411</v>
      </c>
      <c r="F16" s="32"/>
      <c r="G16" s="32"/>
      <c r="H16" s="31" t="str">
        <f>H14+H15</f>
      </c>
    </row>
    <row r="17">
      <c r="E17" s="32" t="s">
        <v>412</v>
      </c>
      <c r="F17" s="32"/>
      <c r="G17" s="32"/>
      <c r="H17" s="31" t="str">
        <f>H16/A14</f>
      </c>
    </row>
    <row r="18">
      <c r="E18" s="13" t="s">
        <v>413</v>
      </c>
      <c r="F18" s="13"/>
      <c r="G18" s="13"/>
      <c r="H18" s="33">
        <v>0.375</v>
      </c>
    </row>
    <row r="19">
      <c r="E19" s="13" t="s">
        <v>414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B3" s="14"/>
      <c r="C3" s="14"/>
      <c r="D3" s="14" t="s">
        <v>331</v>
      </c>
      <c r="E3" s="14"/>
      <c r="F3" s="14"/>
      <c r="G3" s="16" t="s">
        <v>332</v>
      </c>
      <c r="I3" s="17" t="s">
        <v>330</v>
      </c>
      <c r="J3" s="14"/>
      <c r="K3" s="14"/>
      <c r="L3" s="14" t="s">
        <v>331</v>
      </c>
      <c r="M3" s="14"/>
      <c r="N3" s="14"/>
      <c r="O3" s="16" t="s">
        <v>332</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data!$E$50&amp;" "&amp;data!$B$50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data!$E$49&amp;" "&amp;data!$B$49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330</v>
      </c>
      <c r="B11" s="14"/>
      <c r="C11" s="14"/>
      <c r="D11" s="14" t="s">
        <v>331</v>
      </c>
      <c r="E11" s="14"/>
      <c r="F11" s="14"/>
      <c r="G11" s="16" t="s">
        <v>332</v>
      </c>
      <c r="I11" s="17" t="s">
        <v>330</v>
      </c>
      <c r="J11" s="14"/>
      <c r="K11" s="14"/>
      <c r="L11" s="14" t="s">
        <v>331</v>
      </c>
      <c r="M11" s="14"/>
      <c r="N11" s="14"/>
      <c r="O11" s="16" t="s">
        <v>332</v>
      </c>
    </row>
    <row r="12">
      <c r="A12" s="14" t="str">
        <f>data!$E$4&amp;"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data!$E$5&amp;" "&amp;data!$B$5</f>
      </c>
      <c r="I12" s="14" t="str">
        <f>data!$E$51&amp;" "&amp;data!$B$51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data!$E$49&amp;" "&amp;data!$B$49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330</v>
      </c>
      <c r="B19" s="14"/>
      <c r="C19" s="14"/>
      <c r="D19" s="14" t="s">
        <v>331</v>
      </c>
      <c r="E19" s="14"/>
      <c r="F19" s="14"/>
      <c r="G19" s="16" t="s">
        <v>332</v>
      </c>
      <c r="I19" s="17" t="s">
        <v>330</v>
      </c>
      <c r="J19" s="14"/>
      <c r="K19" s="14"/>
      <c r="L19" s="14" t="s">
        <v>331</v>
      </c>
      <c r="M19" s="14"/>
      <c r="N19" s="14"/>
      <c r="O19" s="16" t="s">
        <v>332</v>
      </c>
    </row>
    <row r="20">
      <c r="A20" s="14" t="str">
        <f>data!$E$6&amp;"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data!$E$5&amp;" "&amp;data!$B$5</f>
      </c>
      <c r="I20" s="14" t="str">
        <f>data!$E$51&amp;" "&amp;data!$B$51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data!$E$50&amp;" "&amp;data!$B$50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330</v>
      </c>
      <c r="B27" s="14"/>
      <c r="C27" s="14"/>
      <c r="D27" s="14" t="s">
        <v>331</v>
      </c>
      <c r="E27" s="14"/>
      <c r="F27" s="14"/>
      <c r="G27" s="16" t="s">
        <v>332</v>
      </c>
    </row>
    <row r="28">
      <c r="A28" s="14" t="str">
        <f>data!$E$6&amp;"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data!$E$3&amp;"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333</v>
      </c>
      <c r="B36" s="13" t="s">
        <v>334</v>
      </c>
      <c r="C36" s="13" t="s">
        <v>335</v>
      </c>
      <c r="D36" s="13" t="s">
        <v>336</v>
      </c>
      <c r="E36" s="13"/>
      <c r="F36" s="13"/>
      <c r="G36" s="13" t="s">
        <v>337</v>
      </c>
      <c r="I36" s="13" t="s">
        <v>333</v>
      </c>
      <c r="J36" s="13" t="s">
        <v>334</v>
      </c>
      <c r="K36" s="13" t="s">
        <v>335</v>
      </c>
      <c r="L36" s="13" t="s">
        <v>336</v>
      </c>
      <c r="M36" s="13"/>
      <c r="N36" s="13"/>
      <c r="O36" s="13" t="s">
        <v>337</v>
      </c>
    </row>
    <row r="37">
      <c r="A37" s="14" t="str">
        <f>data!$E$3&amp;" "&amp;data!$B$3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data!$E$49&amp;" "&amp;data!$B$49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data!$E$4&amp;" "&amp;data!$B$4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data!$E$50&amp;" "&amp;data!$B$50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data!$E$5&amp;" "&amp;data!$B$5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data!$E$51&amp;" "&amp;data!$B$51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data!$E$6&amp;" "&amp;data!$B$6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338</v>
      </c>
      <c r="K41" s="13" t="s">
        <v>339</v>
      </c>
      <c r="L41" s="13" t="s">
        <v>340</v>
      </c>
      <c r="M41" s="13" t="s">
        <v>341</v>
      </c>
      <c r="N41" s="13" t="s">
        <v>342</v>
      </c>
    </row>
    <row r="42">
      <c r="A42" s="13"/>
      <c r="B42" s="13" t="s">
        <v>338</v>
      </c>
      <c r="C42" s="13" t="s">
        <v>339</v>
      </c>
      <c r="D42" s="13" t="s">
        <v>340</v>
      </c>
      <c r="E42" s="13" t="s">
        <v>341</v>
      </c>
      <c r="F42" s="13" t="s">
        <v>342</v>
      </c>
      <c r="I42" s="14" t="str">
        <f>data!$E$49&amp;" "&amp;data!$B$49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data!$E$3&amp;" "&amp;data!$B$3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data!$E$50&amp;" "&amp;data!$B$50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data!$E$4&amp;" "&amp;data!$B$4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data!$E$51&amp;" "&amp;data!$B$51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data!$E$5&amp;" "&amp;data!$B$5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data!$E$6&amp;" "&amp;data!$B$6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343</v>
      </c>
    </row>
    <row r="48">
      <c r="N48" t="s">
        <v>344</v>
      </c>
      <c r="O48" s="19" t="str">
        <f>IFERROR(INDEX($I$37:$I$44, MATCH(1, $O$37:$O$44, 0)), "-")</f>
      </c>
    </row>
    <row r="49">
      <c r="F49" s="13"/>
      <c r="G49" s="13" t="s">
        <v>343</v>
      </c>
      <c r="N49" t="s">
        <v>345</v>
      </c>
      <c r="O49" s="19" t="str">
        <f>IFERROR(INDEX($I$37:$I$44, MATCH(2, $O$37:$O$44, 0)), "-")</f>
      </c>
    </row>
    <row r="50">
      <c r="F50" t="s">
        <v>344</v>
      </c>
      <c r="G50" s="19" t="str">
        <f>IFERROR(INDEX($A$37:$A$46, MATCH(1, $G$37:$G$46, 0)), "-")</f>
      </c>
      <c r="N50" t="s">
        <v>346</v>
      </c>
      <c r="O50" s="19" t="str">
        <f>IFERROR(INDEX($I$37:$I$44, MATCH(3, $O$37:$O$44, 0)), "-")</f>
      </c>
    </row>
    <row r="51">
      <c r="F51" t="s">
        <v>345</v>
      </c>
      <c r="G51" s="19" t="str">
        <f>IFERROR(INDEX($A$37:$A$46, MATCH(2, $G$37:$G$46, 0)), "-")</f>
      </c>
    </row>
    <row r="52">
      <c r="F52" t="s">
        <v>346</v>
      </c>
      <c r="G52" s="19" t="str">
        <f>IFERROR(INDEX($A$37:$A$46, MATCH(3, $G$37:$G$46, 0)), "-")</f>
      </c>
    </row>
    <row r="53">
      <c r="F53" t="s">
        <v>347</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330</v>
      </c>
      <c r="B56" s="14"/>
      <c r="C56" s="14"/>
      <c r="D56" s="14" t="s">
        <v>331</v>
      </c>
      <c r="E56" s="14"/>
      <c r="F56" s="14"/>
      <c r="G56" s="16" t="s">
        <v>332</v>
      </c>
      <c r="I56" s="17" t="s">
        <v>330</v>
      </c>
      <c r="J56" s="14"/>
      <c r="K56" s="14"/>
      <c r="L56" s="14" t="s">
        <v>331</v>
      </c>
      <c r="M56" s="14"/>
      <c r="N56" s="14"/>
      <c r="O56" s="16" t="s">
        <v>332</v>
      </c>
    </row>
    <row r="57">
      <c r="A57" s="14" t="str">
        <f>data!$E$8&amp;" "&amp;data!$B$8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data!$E$7&amp;" "&amp;data!$B$7</f>
      </c>
      <c r="I57" s="14" t="str">
        <f>data!$E$53&amp;" "&amp;data!$B$53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data!$E$52&amp;" "&amp;data!$B$52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330</v>
      </c>
      <c r="B64" s="14"/>
      <c r="C64" s="14"/>
      <c r="D64" s="14" t="s">
        <v>331</v>
      </c>
      <c r="E64" s="14"/>
      <c r="F64" s="14"/>
      <c r="G64" s="16" t="s">
        <v>332</v>
      </c>
      <c r="I64" s="17" t="s">
        <v>330</v>
      </c>
      <c r="J64" s="14"/>
      <c r="K64" s="14"/>
      <c r="L64" s="14" t="s">
        <v>331</v>
      </c>
      <c r="M64" s="14"/>
      <c r="N64" s="14"/>
      <c r="O64" s="16" t="s">
        <v>332</v>
      </c>
    </row>
    <row r="65">
      <c r="A65" s="14" t="str">
        <f>data!$E$9&amp;" "&amp;data!$B$9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data!$E$7&amp;" "&amp;data!$B$7</f>
      </c>
      <c r="I65" s="14" t="str">
        <f>data!$E$54&amp;" "&amp;data!$B$54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data!$E$52&amp;" "&amp;data!$B$52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330</v>
      </c>
      <c r="B72" s="14"/>
      <c r="C72" s="14"/>
      <c r="D72" s="14" t="s">
        <v>331</v>
      </c>
      <c r="E72" s="14"/>
      <c r="F72" s="14"/>
      <c r="G72" s="16" t="s">
        <v>332</v>
      </c>
      <c r="I72" s="17" t="s">
        <v>330</v>
      </c>
      <c r="J72" s="14"/>
      <c r="K72" s="14"/>
      <c r="L72" s="14" t="s">
        <v>331</v>
      </c>
      <c r="M72" s="14"/>
      <c r="N72" s="14"/>
      <c r="O72" s="16" t="s">
        <v>332</v>
      </c>
    </row>
    <row r="73">
      <c r="A73" s="14" t="str">
        <f>data!$E$9&amp;" "&amp;data!$B$9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data!$E$8&amp;" "&amp;data!$B$8</f>
      </c>
      <c r="I73" s="14" t="str">
        <f>data!$E$54&amp;" "&amp;data!$B$54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data!$E$53&amp;" "&amp;data!$B$53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333</v>
      </c>
      <c r="B81" s="13" t="s">
        <v>334</v>
      </c>
      <c r="C81" s="13" t="s">
        <v>335</v>
      </c>
      <c r="D81" s="13" t="s">
        <v>336</v>
      </c>
      <c r="E81" s="13"/>
      <c r="F81" s="13"/>
      <c r="G81" s="13" t="s">
        <v>337</v>
      </c>
      <c r="I81" s="13" t="s">
        <v>333</v>
      </c>
      <c r="J81" s="13" t="s">
        <v>334</v>
      </c>
      <c r="K81" s="13" t="s">
        <v>335</v>
      </c>
      <c r="L81" s="13" t="s">
        <v>336</v>
      </c>
      <c r="M81" s="13"/>
      <c r="N81" s="13"/>
      <c r="O81" s="13" t="s">
        <v>337</v>
      </c>
    </row>
    <row r="82">
      <c r="A82" s="14" t="str">
        <f>data!$E$7&amp;" "&amp;data!$B$7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data!$E$52&amp;" "&amp;data!$B$52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data!$E$8&amp;" "&amp;data!$B$8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data!$E$53&amp;" "&amp;data!$B$53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data!$E$9&amp;" "&amp;data!$B$9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data!$E$54&amp;" "&amp;data!$B$54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338</v>
      </c>
      <c r="C86" s="13" t="s">
        <v>339</v>
      </c>
      <c r="D86" s="13" t="s">
        <v>340</v>
      </c>
      <c r="E86" s="13" t="s">
        <v>341</v>
      </c>
      <c r="F86" s="13" t="s">
        <v>342</v>
      </c>
      <c r="I86" s="13"/>
      <c r="J86" s="13" t="s">
        <v>338</v>
      </c>
      <c r="K86" s="13" t="s">
        <v>339</v>
      </c>
      <c r="L86" s="13" t="s">
        <v>340</v>
      </c>
      <c r="M86" s="13" t="s">
        <v>341</v>
      </c>
      <c r="N86" s="13" t="s">
        <v>342</v>
      </c>
    </row>
    <row r="87">
      <c r="A87" s="14" t="str">
        <f>data!$E$7&amp;" "&amp;data!$B$7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data!$E$52&amp;" "&amp;data!$B$52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data!$E$8&amp;" "&amp;data!$B$8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data!$E$53&amp;" "&amp;data!$B$53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data!$E$9&amp;" "&amp;data!$B$9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data!$E$54&amp;" "&amp;data!$B$54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343</v>
      </c>
      <c r="N92" s="13"/>
      <c r="O92" s="13" t="s">
        <v>343</v>
      </c>
    </row>
    <row r="93">
      <c r="F93" t="s">
        <v>344</v>
      </c>
      <c r="G93" s="19" t="str">
        <f>IFERROR(INDEX($A$82:$A$89, MATCH(1, $G$82:$G$89, 0)), "-")</f>
      </c>
      <c r="N93" t="s">
        <v>344</v>
      </c>
      <c r="O93" s="19" t="str">
        <f>IFERROR(INDEX($I$82:$I$89, MATCH(1, $O$82:$O$89, 0)), "-")</f>
      </c>
    </row>
    <row r="94">
      <c r="F94" t="s">
        <v>345</v>
      </c>
      <c r="G94" s="19" t="str">
        <f>IFERROR(INDEX($A$82:$A$89, MATCH(2, $G$82:$G$89, 0)), "-")</f>
      </c>
      <c r="N94" t="s">
        <v>345</v>
      </c>
      <c r="O94" s="19" t="str">
        <f>IFERROR(INDEX($I$82:$I$89, MATCH(2, $O$82:$O$89, 0)), "-")</f>
      </c>
    </row>
    <row r="95">
      <c r="F95" t="s">
        <v>346</v>
      </c>
      <c r="G95" s="19" t="str">
        <f>IFERROR(INDEX($A$82:$A$89, MATCH(3, $G$82:$G$89, 0)), "-")</f>
      </c>
      <c r="N95" t="s">
        <v>346</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330</v>
      </c>
      <c r="B99" s="14"/>
      <c r="C99" s="14"/>
      <c r="D99" s="14" t="s">
        <v>331</v>
      </c>
      <c r="E99" s="14"/>
      <c r="F99" s="14"/>
      <c r="G99" s="16" t="s">
        <v>332</v>
      </c>
      <c r="I99" s="17" t="s">
        <v>330</v>
      </c>
      <c r="J99" s="14"/>
      <c r="K99" s="14"/>
      <c r="L99" s="14" t="s">
        <v>331</v>
      </c>
      <c r="M99" s="14"/>
      <c r="N99" s="14"/>
      <c r="O99" s="16" t="s">
        <v>332</v>
      </c>
    </row>
    <row r="100">
      <c r="A100" s="14" t="str">
        <f>data!$E$11&amp;" "&amp;data!$B$11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data!$E$10&amp;" "&amp;data!$B$10</f>
      </c>
      <c r="I100" s="14" t="str">
        <f>data!$E$56&amp;" "&amp;data!$B$56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data!$E$55&amp;" "&amp;data!$B$55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330</v>
      </c>
      <c r="B107" s="14"/>
      <c r="C107" s="14"/>
      <c r="D107" s="14" t="s">
        <v>331</v>
      </c>
      <c r="E107" s="14"/>
      <c r="F107" s="14"/>
      <c r="G107" s="16" t="s">
        <v>332</v>
      </c>
      <c r="I107" s="17" t="s">
        <v>330</v>
      </c>
      <c r="J107" s="14"/>
      <c r="K107" s="14"/>
      <c r="L107" s="14" t="s">
        <v>331</v>
      </c>
      <c r="M107" s="14"/>
      <c r="N107" s="14"/>
      <c r="O107" s="16" t="s">
        <v>332</v>
      </c>
    </row>
    <row r="108">
      <c r="A108" s="14" t="str">
        <f>data!$E$12&amp;" "&amp;data!$B$12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data!$E$10&amp;" "&amp;data!$B$10</f>
      </c>
      <c r="I108" s="14" t="str">
        <f>data!$E$57&amp;" "&amp;data!$B$57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data!$E$55&amp;" "&amp;data!$B$55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330</v>
      </c>
      <c r="B115" s="14"/>
      <c r="C115" s="14"/>
      <c r="D115" s="14" t="s">
        <v>331</v>
      </c>
      <c r="E115" s="14"/>
      <c r="F115" s="14"/>
      <c r="G115" s="16" t="s">
        <v>332</v>
      </c>
      <c r="I115" s="17" t="s">
        <v>330</v>
      </c>
      <c r="J115" s="14"/>
      <c r="K115" s="14"/>
      <c r="L115" s="14" t="s">
        <v>331</v>
      </c>
      <c r="M115" s="14"/>
      <c r="N115" s="14"/>
      <c r="O115" s="16" t="s">
        <v>332</v>
      </c>
    </row>
    <row r="116">
      <c r="A116" s="14" t="str">
        <f>data!$E$12&amp;" "&amp;data!$B$12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data!$E$11&amp;" "&amp;data!$B$11</f>
      </c>
      <c r="I116" s="14" t="str">
        <f>data!$E$57&amp;" "&amp;data!$B$57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data!$E$56&amp;" "&amp;data!$B$56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333</v>
      </c>
      <c r="B124" s="13" t="s">
        <v>334</v>
      </c>
      <c r="C124" s="13" t="s">
        <v>335</v>
      </c>
      <c r="D124" s="13" t="s">
        <v>336</v>
      </c>
      <c r="E124" s="13"/>
      <c r="F124" s="13"/>
      <c r="G124" s="13" t="s">
        <v>337</v>
      </c>
      <c r="I124" s="13" t="s">
        <v>333</v>
      </c>
      <c r="J124" s="13" t="s">
        <v>334</v>
      </c>
      <c r="K124" s="13" t="s">
        <v>335</v>
      </c>
      <c r="L124" s="13" t="s">
        <v>336</v>
      </c>
      <c r="M124" s="13"/>
      <c r="N124" s="13"/>
      <c r="O124" s="13" t="s">
        <v>337</v>
      </c>
    </row>
    <row r="125">
      <c r="A125" s="14" t="str">
        <f>data!$E$10&amp;" "&amp;data!$B$10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data!$E$55&amp;" "&amp;data!$B$55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data!$E$11&amp;" "&amp;data!$B$11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data!$E$56&amp;" "&amp;data!$B$56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data!$E$12&amp;" "&amp;data!$B$12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data!$E$57&amp;" "&amp;data!$B$57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338</v>
      </c>
      <c r="C129" s="13" t="s">
        <v>339</v>
      </c>
      <c r="D129" s="13" t="s">
        <v>340</v>
      </c>
      <c r="E129" s="13" t="s">
        <v>341</v>
      </c>
      <c r="F129" s="13" t="s">
        <v>342</v>
      </c>
      <c r="I129" s="13"/>
      <c r="J129" s="13" t="s">
        <v>338</v>
      </c>
      <c r="K129" s="13" t="s">
        <v>339</v>
      </c>
      <c r="L129" s="13" t="s">
        <v>340</v>
      </c>
      <c r="M129" s="13" t="s">
        <v>341</v>
      </c>
      <c r="N129" s="13" t="s">
        <v>342</v>
      </c>
    </row>
    <row r="130">
      <c r="A130" s="14" t="str">
        <f>data!$E$10&amp;" "&amp;data!$B$10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data!$E$55&amp;" "&amp;data!$B$55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data!$E$11&amp;" "&amp;data!$B$11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data!$E$56&amp;" "&amp;data!$B$56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data!$E$12&amp;" "&amp;data!$B$12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data!$E$57&amp;" "&amp;data!$B$57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343</v>
      </c>
      <c r="N135" s="13"/>
      <c r="O135" s="13" t="s">
        <v>343</v>
      </c>
    </row>
    <row r="136">
      <c r="F136" t="s">
        <v>344</v>
      </c>
      <c r="G136" s="19" t="str">
        <f>IFERROR(INDEX($A$125:$A$132, MATCH(1, $G$125:$G$132, 0)), "-")</f>
      </c>
      <c r="N136" t="s">
        <v>344</v>
      </c>
      <c r="O136" s="19" t="str">
        <f>IFERROR(INDEX($I$125:$I$132, MATCH(1, $O$125:$O$132, 0)), "-")</f>
      </c>
    </row>
    <row r="137">
      <c r="F137" t="s">
        <v>345</v>
      </c>
      <c r="G137" s="19" t="str">
        <f>IFERROR(INDEX($A$125:$A$132, MATCH(2, $G$125:$G$132, 0)), "-")</f>
      </c>
      <c r="N137" t="s">
        <v>345</v>
      </c>
      <c r="O137" s="19" t="str">
        <f>IFERROR(INDEX($I$125:$I$132, MATCH(2, $O$125:$O$132, 0)), "-")</f>
      </c>
    </row>
    <row r="138">
      <c r="F138" t="s">
        <v>346</v>
      </c>
      <c r="G138" s="19" t="str">
        <f>IFERROR(INDEX($A$125:$A$132, MATCH(3, $G$125:$G$132, 0)), "-")</f>
      </c>
      <c r="N138" t="s">
        <v>346</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330</v>
      </c>
      <c r="B142" s="14"/>
      <c r="C142" s="14"/>
      <c r="D142" s="14" t="s">
        <v>331</v>
      </c>
      <c r="E142" s="14"/>
      <c r="F142" s="14"/>
      <c r="G142" s="16" t="s">
        <v>332</v>
      </c>
      <c r="I142" s="17" t="s">
        <v>330</v>
      </c>
      <c r="J142" s="14"/>
      <c r="K142" s="14"/>
      <c r="L142" s="14" t="s">
        <v>331</v>
      </c>
      <c r="M142" s="14"/>
      <c r="N142" s="14"/>
      <c r="O142" s="16" t="s">
        <v>332</v>
      </c>
    </row>
    <row r="143">
      <c r="A143" s="14" t="str">
        <f>data!$E$14&amp;" "&amp;data!$B$14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data!$E$13&amp;" "&amp;data!$B$13</f>
      </c>
      <c r="I143" s="14" t="str">
        <f>data!$E$59&amp;" "&amp;data!$B$59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data!$E$58&amp;" "&amp;data!$B$58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330</v>
      </c>
      <c r="B150" s="14"/>
      <c r="C150" s="14"/>
      <c r="D150" s="14" t="s">
        <v>331</v>
      </c>
      <c r="E150" s="14"/>
      <c r="F150" s="14"/>
      <c r="G150" s="16" t="s">
        <v>332</v>
      </c>
      <c r="I150" s="17" t="s">
        <v>330</v>
      </c>
      <c r="J150" s="14"/>
      <c r="K150" s="14"/>
      <c r="L150" s="14" t="s">
        <v>331</v>
      </c>
      <c r="M150" s="14"/>
      <c r="N150" s="14"/>
      <c r="O150" s="16" t="s">
        <v>332</v>
      </c>
    </row>
    <row r="151">
      <c r="A151" s="14" t="str">
        <f>data!$E$15&amp;" "&amp;data!$B$15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data!$E$13&amp;" "&amp;data!$B$13</f>
      </c>
      <c r="I151" s="14" t="str">
        <f>data!$E$60&amp;" "&amp;data!$B$60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data!$E$58&amp;" "&amp;data!$B$58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330</v>
      </c>
      <c r="B158" s="14"/>
      <c r="C158" s="14"/>
      <c r="D158" s="14" t="s">
        <v>331</v>
      </c>
      <c r="E158" s="14"/>
      <c r="F158" s="14"/>
      <c r="G158" s="16" t="s">
        <v>332</v>
      </c>
      <c r="I158" s="17" t="s">
        <v>330</v>
      </c>
      <c r="J158" s="14"/>
      <c r="K158" s="14"/>
      <c r="L158" s="14" t="s">
        <v>331</v>
      </c>
      <c r="M158" s="14"/>
      <c r="N158" s="14"/>
      <c r="O158" s="16" t="s">
        <v>332</v>
      </c>
    </row>
    <row r="159">
      <c r="A159" s="14" t="str">
        <f>data!$E$15&amp;" "&amp;data!$B$15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data!$E$14&amp;" "&amp;data!$B$14</f>
      </c>
      <c r="I159" s="14" t="str">
        <f>data!$E$60&amp;" "&amp;data!$B$60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data!$E$59&amp;" "&amp;data!$B$59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333</v>
      </c>
      <c r="B167" s="13" t="s">
        <v>334</v>
      </c>
      <c r="C167" s="13" t="s">
        <v>335</v>
      </c>
      <c r="D167" s="13" t="s">
        <v>336</v>
      </c>
      <c r="E167" s="13"/>
      <c r="F167" s="13"/>
      <c r="G167" s="13" t="s">
        <v>337</v>
      </c>
      <c r="I167" s="13" t="s">
        <v>333</v>
      </c>
      <c r="J167" s="13" t="s">
        <v>334</v>
      </c>
      <c r="K167" s="13" t="s">
        <v>335</v>
      </c>
      <c r="L167" s="13" t="s">
        <v>336</v>
      </c>
      <c r="M167" s="13"/>
      <c r="N167" s="13"/>
      <c r="O167" s="13" t="s">
        <v>337</v>
      </c>
    </row>
    <row r="168">
      <c r="A168" s="14" t="str">
        <f>data!$E$13&amp;" "&amp;data!$B$13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data!$E$58&amp;" "&amp;data!$B$58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data!$E$14&amp;" "&amp;data!$B$14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data!$E$59&amp;" "&amp;data!$B$59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data!$E$15&amp;" "&amp;data!$B$15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data!$E$60&amp;" "&amp;data!$B$60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338</v>
      </c>
      <c r="C172" s="13" t="s">
        <v>339</v>
      </c>
      <c r="D172" s="13" t="s">
        <v>340</v>
      </c>
      <c r="E172" s="13" t="s">
        <v>341</v>
      </c>
      <c r="F172" s="13" t="s">
        <v>342</v>
      </c>
      <c r="I172" s="13"/>
      <c r="J172" s="13" t="s">
        <v>338</v>
      </c>
      <c r="K172" s="13" t="s">
        <v>339</v>
      </c>
      <c r="L172" s="13" t="s">
        <v>340</v>
      </c>
      <c r="M172" s="13" t="s">
        <v>341</v>
      </c>
      <c r="N172" s="13" t="s">
        <v>342</v>
      </c>
    </row>
    <row r="173">
      <c r="A173" s="14" t="str">
        <f>data!$E$13&amp;" "&amp;data!$B$13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data!$E$58&amp;" "&amp;data!$B$58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data!$E$14&amp;" "&amp;data!$B$14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data!$E$59&amp;" "&amp;data!$B$59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data!$E$15&amp;" "&amp;data!$B$15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data!$E$60&amp;" "&amp;data!$B$60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343</v>
      </c>
      <c r="N178" s="13"/>
      <c r="O178" s="13" t="s">
        <v>343</v>
      </c>
    </row>
    <row r="179">
      <c r="F179" t="s">
        <v>344</v>
      </c>
      <c r="G179" s="19" t="str">
        <f>IFERROR(INDEX($A$168:$A$175, MATCH(1, $G$168:$G$175, 0)), "-")</f>
      </c>
      <c r="N179" t="s">
        <v>344</v>
      </c>
      <c r="O179" s="19" t="str">
        <f>IFERROR(INDEX($I$168:$I$175, MATCH(1, $O$168:$O$175, 0)), "-")</f>
      </c>
    </row>
    <row r="180">
      <c r="F180" t="s">
        <v>345</v>
      </c>
      <c r="G180" s="19" t="str">
        <f>IFERROR(INDEX($A$168:$A$175, MATCH(2, $G$168:$G$175, 0)), "-")</f>
      </c>
      <c r="N180" t="s">
        <v>345</v>
      </c>
      <c r="O180" s="19" t="str">
        <f>IFERROR(INDEX($I$168:$I$175, MATCH(2, $O$168:$O$175, 0)), "-")</f>
      </c>
    </row>
    <row r="181">
      <c r="F181" t="s">
        <v>346</v>
      </c>
      <c r="G181" s="19" t="str">
        <f>IFERROR(INDEX($A$168:$A$175, MATCH(3, $G$168:$G$175, 0)), "-")</f>
      </c>
      <c r="N181" t="s">
        <v>346</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330</v>
      </c>
      <c r="B185" s="14"/>
      <c r="C185" s="14"/>
      <c r="D185" s="14" t="s">
        <v>331</v>
      </c>
      <c r="E185" s="14"/>
      <c r="F185" s="14"/>
      <c r="G185" s="16" t="s">
        <v>332</v>
      </c>
      <c r="I185" s="17" t="s">
        <v>330</v>
      </c>
      <c r="J185" s="14"/>
      <c r="K185" s="14"/>
      <c r="L185" s="14" t="s">
        <v>331</v>
      </c>
      <c r="M185" s="14"/>
      <c r="N185" s="14"/>
      <c r="O185" s="16" t="s">
        <v>332</v>
      </c>
    </row>
    <row r="186">
      <c r="A186" s="14" t="str">
        <f>data!$E$17&amp;" "&amp;data!$B$17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data!$E$16&amp;" "&amp;data!$B$16</f>
      </c>
      <c r="I186" s="14" t="str">
        <f>data!$E$62&amp;" "&amp;data!$B$62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data!$E$61&amp;" "&amp;data!$B$61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330</v>
      </c>
      <c r="B193" s="14"/>
      <c r="C193" s="14"/>
      <c r="D193" s="14" t="s">
        <v>331</v>
      </c>
      <c r="E193" s="14"/>
      <c r="F193" s="14"/>
      <c r="G193" s="16" t="s">
        <v>332</v>
      </c>
      <c r="I193" s="17" t="s">
        <v>330</v>
      </c>
      <c r="J193" s="14"/>
      <c r="K193" s="14"/>
      <c r="L193" s="14" t="s">
        <v>331</v>
      </c>
      <c r="M193" s="14"/>
      <c r="N193" s="14"/>
      <c r="O193" s="16" t="s">
        <v>332</v>
      </c>
    </row>
    <row r="194">
      <c r="A194" s="14" t="str">
        <f>data!$E$18&amp;" "&amp;data!$B$18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data!$E$16&amp;" "&amp;data!$B$16</f>
      </c>
      <c r="I194" s="14" t="str">
        <f>data!$E$63&amp;" "&amp;data!$B$63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data!$E$61&amp;" "&amp;data!$B$61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330</v>
      </c>
      <c r="B201" s="14"/>
      <c r="C201" s="14"/>
      <c r="D201" s="14" t="s">
        <v>331</v>
      </c>
      <c r="E201" s="14"/>
      <c r="F201" s="14"/>
      <c r="G201" s="16" t="s">
        <v>332</v>
      </c>
      <c r="I201" s="17" t="s">
        <v>330</v>
      </c>
      <c r="J201" s="14"/>
      <c r="K201" s="14"/>
      <c r="L201" s="14" t="s">
        <v>331</v>
      </c>
      <c r="M201" s="14"/>
      <c r="N201" s="14"/>
      <c r="O201" s="16" t="s">
        <v>332</v>
      </c>
    </row>
    <row r="202">
      <c r="A202" s="14" t="str">
        <f>data!$E$18&amp;" "&amp;data!$B$18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data!$E$17&amp;" "&amp;data!$B$17</f>
      </c>
      <c r="I202" s="14" t="str">
        <f>data!$E$63&amp;" "&amp;data!$B$63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data!$E$62&amp;" "&amp;data!$B$62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333</v>
      </c>
      <c r="B210" s="13" t="s">
        <v>334</v>
      </c>
      <c r="C210" s="13" t="s">
        <v>335</v>
      </c>
      <c r="D210" s="13" t="s">
        <v>336</v>
      </c>
      <c r="E210" s="13"/>
      <c r="F210" s="13"/>
      <c r="G210" s="13" t="s">
        <v>337</v>
      </c>
      <c r="I210" s="13" t="s">
        <v>333</v>
      </c>
      <c r="J210" s="13" t="s">
        <v>334</v>
      </c>
      <c r="K210" s="13" t="s">
        <v>335</v>
      </c>
      <c r="L210" s="13" t="s">
        <v>336</v>
      </c>
      <c r="M210" s="13"/>
      <c r="N210" s="13"/>
      <c r="O210" s="13" t="s">
        <v>337</v>
      </c>
    </row>
    <row r="211">
      <c r="A211" s="14" t="str">
        <f>data!$E$16&amp;" "&amp;data!$B$16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data!$E$61&amp;" "&amp;data!$B$61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data!$E$17&amp;" "&amp;data!$B$17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data!$E$62&amp;" "&amp;data!$B$62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data!$E$18&amp;" "&amp;data!$B$18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data!$E$63&amp;" "&amp;data!$B$63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338</v>
      </c>
      <c r="C215" s="13" t="s">
        <v>339</v>
      </c>
      <c r="D215" s="13" t="s">
        <v>340</v>
      </c>
      <c r="E215" s="13" t="s">
        <v>341</v>
      </c>
      <c r="F215" s="13" t="s">
        <v>342</v>
      </c>
      <c r="I215" s="13"/>
      <c r="J215" s="13" t="s">
        <v>338</v>
      </c>
      <c r="K215" s="13" t="s">
        <v>339</v>
      </c>
      <c r="L215" s="13" t="s">
        <v>340</v>
      </c>
      <c r="M215" s="13" t="s">
        <v>341</v>
      </c>
      <c r="N215" s="13" t="s">
        <v>342</v>
      </c>
    </row>
    <row r="216">
      <c r="A216" s="14" t="str">
        <f>data!$E$16&amp;" "&amp;data!$B$16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data!$E$61&amp;" "&amp;data!$B$61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data!$E$17&amp;" "&amp;data!$B$17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data!$E$62&amp;" "&amp;data!$B$62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data!$E$18&amp;" "&amp;data!$B$18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data!$E$63&amp;" "&amp;data!$B$63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343</v>
      </c>
      <c r="N221" s="13"/>
      <c r="O221" s="13" t="s">
        <v>343</v>
      </c>
    </row>
    <row r="222">
      <c r="F222" t="s">
        <v>344</v>
      </c>
      <c r="G222" s="19" t="str">
        <f>IFERROR(INDEX($A$211:$A$218, MATCH(1, $G$211:$G$218, 0)), "-")</f>
      </c>
      <c r="N222" t="s">
        <v>344</v>
      </c>
      <c r="O222" s="19" t="str">
        <f>IFERROR(INDEX($I$211:$I$218, MATCH(1, $O$211:$O$218, 0)), "-")</f>
      </c>
    </row>
    <row r="223">
      <c r="F223" t="s">
        <v>345</v>
      </c>
      <c r="G223" s="19" t="str">
        <f>IFERROR(INDEX($A$211:$A$218, MATCH(2, $G$211:$G$218, 0)), "-")</f>
      </c>
      <c r="N223" t="s">
        <v>345</v>
      </c>
      <c r="O223" s="19" t="str">
        <f>IFERROR(INDEX($I$211:$I$218, MATCH(2, $O$211:$O$218, 0)), "-")</f>
      </c>
    </row>
    <row r="224">
      <c r="F224" t="s">
        <v>346</v>
      </c>
      <c r="G224" s="19" t="str">
        <f>IFERROR(INDEX($A$211:$A$218, MATCH(3, $G$211:$G$218, 0)), "-")</f>
      </c>
      <c r="N224" t="s">
        <v>346</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330</v>
      </c>
      <c r="B228" s="14"/>
      <c r="C228" s="14"/>
      <c r="D228" s="14" t="s">
        <v>331</v>
      </c>
      <c r="E228" s="14"/>
      <c r="F228" s="14"/>
      <c r="G228" s="16" t="s">
        <v>332</v>
      </c>
      <c r="I228" s="17" t="s">
        <v>330</v>
      </c>
      <c r="J228" s="14"/>
      <c r="K228" s="14"/>
      <c r="L228" s="14" t="s">
        <v>331</v>
      </c>
      <c r="M228" s="14"/>
      <c r="N228" s="14"/>
      <c r="O228" s="16" t="s">
        <v>332</v>
      </c>
    </row>
    <row r="229">
      <c r="A229" s="14" t="str">
        <f>data!$E$20&amp;" "&amp;data!$B$20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data!$E$19&amp;" "&amp;data!$B$19</f>
      </c>
      <c r="I229" s="14" t="str">
        <f>data!$E$65&amp;" "&amp;data!$B$65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data!$E$64&amp;" "&amp;data!$B$64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330</v>
      </c>
      <c r="B236" s="14"/>
      <c r="C236" s="14"/>
      <c r="D236" s="14" t="s">
        <v>331</v>
      </c>
      <c r="E236" s="14"/>
      <c r="F236" s="14"/>
      <c r="G236" s="16" t="s">
        <v>332</v>
      </c>
      <c r="I236" s="17" t="s">
        <v>330</v>
      </c>
      <c r="J236" s="14"/>
      <c r="K236" s="14"/>
      <c r="L236" s="14" t="s">
        <v>331</v>
      </c>
      <c r="M236" s="14"/>
      <c r="N236" s="14"/>
      <c r="O236" s="16" t="s">
        <v>332</v>
      </c>
    </row>
    <row r="237">
      <c r="A237" s="14" t="str">
        <f>data!$E$21&amp;" "&amp;data!$B$21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data!$E$19&amp;" "&amp;data!$B$19</f>
      </c>
      <c r="I237" s="14" t="str">
        <f>data!$E$66&amp;" "&amp;data!$B$66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data!$E$64&amp;" "&amp;data!$B$64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330</v>
      </c>
      <c r="B244" s="14"/>
      <c r="C244" s="14"/>
      <c r="D244" s="14" t="s">
        <v>331</v>
      </c>
      <c r="E244" s="14"/>
      <c r="F244" s="14"/>
      <c r="G244" s="16" t="s">
        <v>332</v>
      </c>
      <c r="I244" s="17" t="s">
        <v>330</v>
      </c>
      <c r="J244" s="14"/>
      <c r="K244" s="14"/>
      <c r="L244" s="14" t="s">
        <v>331</v>
      </c>
      <c r="M244" s="14"/>
      <c r="N244" s="14"/>
      <c r="O244" s="16" t="s">
        <v>332</v>
      </c>
    </row>
    <row r="245">
      <c r="A245" s="14" t="str">
        <f>data!$E$21&amp;" "&amp;data!$B$21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data!$E$20&amp;" "&amp;data!$B$20</f>
      </c>
      <c r="I245" s="14" t="str">
        <f>data!$E$66&amp;" "&amp;data!$B$66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data!$E$65&amp;" "&amp;data!$B$65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333</v>
      </c>
      <c r="B253" s="13" t="s">
        <v>334</v>
      </c>
      <c r="C253" s="13" t="s">
        <v>335</v>
      </c>
      <c r="D253" s="13" t="s">
        <v>336</v>
      </c>
      <c r="E253" s="13"/>
      <c r="F253" s="13"/>
      <c r="G253" s="13" t="s">
        <v>337</v>
      </c>
      <c r="I253" s="13" t="s">
        <v>333</v>
      </c>
      <c r="J253" s="13" t="s">
        <v>334</v>
      </c>
      <c r="K253" s="13" t="s">
        <v>335</v>
      </c>
      <c r="L253" s="13" t="s">
        <v>336</v>
      </c>
      <c r="M253" s="13"/>
      <c r="N253" s="13"/>
      <c r="O253" s="13" t="s">
        <v>337</v>
      </c>
    </row>
    <row r="254">
      <c r="A254" s="14" t="str">
        <f>data!$E$19&amp;" "&amp;data!$B$19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data!$E$64&amp;" "&amp;data!$B$64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data!$E$20&amp;" "&amp;data!$B$20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data!$E$65&amp;" "&amp;data!$B$65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data!$E$21&amp;" "&amp;data!$B$21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data!$E$66&amp;" "&amp;data!$B$66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338</v>
      </c>
      <c r="C258" s="13" t="s">
        <v>339</v>
      </c>
      <c r="D258" s="13" t="s">
        <v>340</v>
      </c>
      <c r="E258" s="13" t="s">
        <v>341</v>
      </c>
      <c r="F258" s="13" t="s">
        <v>342</v>
      </c>
      <c r="I258" s="13"/>
      <c r="J258" s="13" t="s">
        <v>338</v>
      </c>
      <c r="K258" s="13" t="s">
        <v>339</v>
      </c>
      <c r="L258" s="13" t="s">
        <v>340</v>
      </c>
      <c r="M258" s="13" t="s">
        <v>341</v>
      </c>
      <c r="N258" s="13" t="s">
        <v>342</v>
      </c>
    </row>
    <row r="259">
      <c r="A259" s="14" t="str">
        <f>data!$E$19&amp;" "&amp;data!$B$19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data!$E$64&amp;" "&amp;data!$B$64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data!$E$20&amp;" "&amp;data!$B$20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data!$E$65&amp;" "&amp;data!$B$65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data!$E$21&amp;" "&amp;data!$B$21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data!$E$66&amp;" "&amp;data!$B$66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343</v>
      </c>
      <c r="N264" s="13"/>
      <c r="O264" s="13" t="s">
        <v>343</v>
      </c>
    </row>
    <row r="265">
      <c r="F265" t="s">
        <v>344</v>
      </c>
      <c r="G265" s="19" t="str">
        <f>IFERROR(INDEX($A$254:$A$261, MATCH(1, $G$254:$G$261, 0)), "-")</f>
      </c>
      <c r="N265" t="s">
        <v>344</v>
      </c>
      <c r="O265" s="19" t="str">
        <f>IFERROR(INDEX($I$254:$I$261, MATCH(1, $O$254:$O$261, 0)), "-")</f>
      </c>
    </row>
    <row r="266">
      <c r="F266" t="s">
        <v>345</v>
      </c>
      <c r="G266" s="19" t="str">
        <f>IFERROR(INDEX($A$254:$A$261, MATCH(2, $G$254:$G$261, 0)), "-")</f>
      </c>
      <c r="N266" t="s">
        <v>345</v>
      </c>
      <c r="O266" s="19" t="str">
        <f>IFERROR(INDEX($I$254:$I$261, MATCH(2, $O$254:$O$261, 0)), "-")</f>
      </c>
    </row>
    <row r="267">
      <c r="F267" t="s">
        <v>346</v>
      </c>
      <c r="G267" s="19" t="str">
        <f>IFERROR(INDEX($A$254:$A$261, MATCH(3, $G$254:$G$261, 0)), "-")</f>
      </c>
      <c r="N267" t="s">
        <v>346</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330</v>
      </c>
      <c r="B271" s="14"/>
      <c r="C271" s="14"/>
      <c r="D271" s="14" t="s">
        <v>331</v>
      </c>
      <c r="E271" s="14"/>
      <c r="F271" s="14"/>
      <c r="G271" s="16" t="s">
        <v>332</v>
      </c>
      <c r="I271" s="17" t="s">
        <v>330</v>
      </c>
      <c r="J271" s="14"/>
      <c r="K271" s="14"/>
      <c r="L271" s="14" t="s">
        <v>331</v>
      </c>
      <c r="M271" s="14"/>
      <c r="N271" s="14"/>
      <c r="O271" s="16" t="s">
        <v>332</v>
      </c>
    </row>
    <row r="272">
      <c r="A272" s="14" t="str">
        <f>data!$E$23&amp;" "&amp;data!$B$23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data!$E$22&amp;" "&amp;data!$B$22</f>
      </c>
      <c r="I272" s="14" t="str">
        <f>data!$E$68&amp;" "&amp;data!$B$68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data!$E$67&amp;" "&amp;data!$B$67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330</v>
      </c>
      <c r="B279" s="14"/>
      <c r="C279" s="14"/>
      <c r="D279" s="14" t="s">
        <v>331</v>
      </c>
      <c r="E279" s="14"/>
      <c r="F279" s="14"/>
      <c r="G279" s="16" t="s">
        <v>332</v>
      </c>
      <c r="I279" s="17" t="s">
        <v>330</v>
      </c>
      <c r="J279" s="14"/>
      <c r="K279" s="14"/>
      <c r="L279" s="14" t="s">
        <v>331</v>
      </c>
      <c r="M279" s="14"/>
      <c r="N279" s="14"/>
      <c r="O279" s="16" t="s">
        <v>332</v>
      </c>
    </row>
    <row r="280">
      <c r="A280" s="14" t="str">
        <f>data!$E$24&amp;" "&amp;data!$B$24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data!$E$22&amp;" "&amp;data!$B$22</f>
      </c>
      <c r="I280" s="14" t="str">
        <f>data!$E$69&amp;" "&amp;data!$B$69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data!$E$67&amp;" "&amp;data!$B$67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330</v>
      </c>
      <c r="B287" s="14"/>
      <c r="C287" s="14"/>
      <c r="D287" s="14" t="s">
        <v>331</v>
      </c>
      <c r="E287" s="14"/>
      <c r="F287" s="14"/>
      <c r="G287" s="16" t="s">
        <v>332</v>
      </c>
      <c r="I287" s="17" t="s">
        <v>330</v>
      </c>
      <c r="J287" s="14"/>
      <c r="K287" s="14"/>
      <c r="L287" s="14" t="s">
        <v>331</v>
      </c>
      <c r="M287" s="14"/>
      <c r="N287" s="14"/>
      <c r="O287" s="16" t="s">
        <v>332</v>
      </c>
    </row>
    <row r="288">
      <c r="A288" s="14" t="str">
        <f>data!$E$24&amp;" "&amp;data!$B$24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data!$E$23&amp;" "&amp;data!$B$23</f>
      </c>
      <c r="I288" s="14" t="str">
        <f>data!$E$69&amp;" "&amp;data!$B$69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data!$E$68&amp;" "&amp;data!$B$68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333</v>
      </c>
      <c r="B296" s="13" t="s">
        <v>334</v>
      </c>
      <c r="C296" s="13" t="s">
        <v>335</v>
      </c>
      <c r="D296" s="13" t="s">
        <v>336</v>
      </c>
      <c r="E296" s="13"/>
      <c r="F296" s="13"/>
      <c r="G296" s="13" t="s">
        <v>337</v>
      </c>
      <c r="I296" s="13" t="s">
        <v>333</v>
      </c>
      <c r="J296" s="13" t="s">
        <v>334</v>
      </c>
      <c r="K296" s="13" t="s">
        <v>335</v>
      </c>
      <c r="L296" s="13" t="s">
        <v>336</v>
      </c>
      <c r="M296" s="13"/>
      <c r="N296" s="13"/>
      <c r="O296" s="13" t="s">
        <v>337</v>
      </c>
    </row>
    <row r="297">
      <c r="A297" s="14" t="str">
        <f>data!$E$22&amp;" "&amp;data!$B$22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data!$E$67&amp;" "&amp;data!$B$67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data!$E$23&amp;" "&amp;data!$B$23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data!$E$68&amp;" "&amp;data!$B$68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data!$E$24&amp;" "&amp;data!$B$24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data!$E$69&amp;" "&amp;data!$B$69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338</v>
      </c>
      <c r="C301" s="13" t="s">
        <v>339</v>
      </c>
      <c r="D301" s="13" t="s">
        <v>340</v>
      </c>
      <c r="E301" s="13" t="s">
        <v>341</v>
      </c>
      <c r="F301" s="13" t="s">
        <v>342</v>
      </c>
      <c r="I301" s="13"/>
      <c r="J301" s="13" t="s">
        <v>338</v>
      </c>
      <c r="K301" s="13" t="s">
        <v>339</v>
      </c>
      <c r="L301" s="13" t="s">
        <v>340</v>
      </c>
      <c r="M301" s="13" t="s">
        <v>341</v>
      </c>
      <c r="N301" s="13" t="s">
        <v>342</v>
      </c>
    </row>
    <row r="302">
      <c r="A302" s="14" t="str">
        <f>data!$E$22&amp;" "&amp;data!$B$22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data!$E$67&amp;" "&amp;data!$B$67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data!$E$23&amp;" "&amp;data!$B$23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data!$E$68&amp;" "&amp;data!$B$68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data!$E$24&amp;" "&amp;data!$B$24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data!$E$69&amp;" "&amp;data!$B$69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343</v>
      </c>
      <c r="N307" s="13"/>
      <c r="O307" s="13" t="s">
        <v>343</v>
      </c>
    </row>
    <row r="308">
      <c r="F308" t="s">
        <v>344</v>
      </c>
      <c r="G308" s="19" t="str">
        <f>IFERROR(INDEX($A$297:$A$304, MATCH(1, $G$297:$G$304, 0)), "-")</f>
      </c>
      <c r="N308" t="s">
        <v>344</v>
      </c>
      <c r="O308" s="19" t="str">
        <f>IFERROR(INDEX($I$297:$I$304, MATCH(1, $O$297:$O$304, 0)), "-")</f>
      </c>
    </row>
    <row r="309">
      <c r="F309" t="s">
        <v>345</v>
      </c>
      <c r="G309" s="19" t="str">
        <f>IFERROR(INDEX($A$297:$A$304, MATCH(2, $G$297:$G$304, 0)), "-")</f>
      </c>
      <c r="N309" t="s">
        <v>345</v>
      </c>
      <c r="O309" s="19" t="str">
        <f>IFERROR(INDEX($I$297:$I$304, MATCH(2, $O$297:$O$304, 0)), "-")</f>
      </c>
    </row>
    <row r="310">
      <c r="F310" t="s">
        <v>346</v>
      </c>
      <c r="G310" s="19" t="str">
        <f>IFERROR(INDEX($A$297:$A$304, MATCH(3, $G$297:$G$304, 0)), "-")</f>
      </c>
      <c r="N310" t="s">
        <v>346</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330</v>
      </c>
      <c r="B314" s="14"/>
      <c r="C314" s="14"/>
      <c r="D314" s="14" t="s">
        <v>331</v>
      </c>
      <c r="E314" s="14"/>
      <c r="F314" s="14"/>
      <c r="G314" s="16" t="s">
        <v>332</v>
      </c>
      <c r="I314" s="17" t="s">
        <v>330</v>
      </c>
      <c r="J314" s="14"/>
      <c r="K314" s="14"/>
      <c r="L314" s="14" t="s">
        <v>331</v>
      </c>
      <c r="M314" s="14"/>
      <c r="N314" s="14"/>
      <c r="O314" s="16" t="s">
        <v>332</v>
      </c>
    </row>
    <row r="315">
      <c r="A315" s="14" t="str">
        <f>data!$E$26&amp;" "&amp;data!$B$26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data!$E$25&amp;" "&amp;data!$B$25</f>
      </c>
      <c r="I315" s="14" t="str">
        <f>data!$E$71&amp;" "&amp;data!$B$71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data!$E$70&amp;" "&amp;data!$B$70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330</v>
      </c>
      <c r="B322" s="14"/>
      <c r="C322" s="14"/>
      <c r="D322" s="14" t="s">
        <v>331</v>
      </c>
      <c r="E322" s="14"/>
      <c r="F322" s="14"/>
      <c r="G322" s="16" t="s">
        <v>332</v>
      </c>
      <c r="I322" s="17" t="s">
        <v>330</v>
      </c>
      <c r="J322" s="14"/>
      <c r="K322" s="14"/>
      <c r="L322" s="14" t="s">
        <v>331</v>
      </c>
      <c r="M322" s="14"/>
      <c r="N322" s="14"/>
      <c r="O322" s="16" t="s">
        <v>332</v>
      </c>
    </row>
    <row r="323">
      <c r="A323" s="14" t="str">
        <f>data!$E$27&amp;" "&amp;data!$B$27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data!$E$25&amp;" "&amp;data!$B$25</f>
      </c>
      <c r="I323" s="14" t="str">
        <f>data!$E$72&amp;" "&amp;data!$B$72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data!$E$70&amp;" "&amp;data!$B$70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330</v>
      </c>
      <c r="B330" s="14"/>
      <c r="C330" s="14"/>
      <c r="D330" s="14" t="s">
        <v>331</v>
      </c>
      <c r="E330" s="14"/>
      <c r="F330" s="14"/>
      <c r="G330" s="16" t="s">
        <v>332</v>
      </c>
      <c r="I330" s="17" t="s">
        <v>330</v>
      </c>
      <c r="J330" s="14"/>
      <c r="K330" s="14"/>
      <c r="L330" s="14" t="s">
        <v>331</v>
      </c>
      <c r="M330" s="14"/>
      <c r="N330" s="14"/>
      <c r="O330" s="16" t="s">
        <v>332</v>
      </c>
    </row>
    <row r="331">
      <c r="A331" s="14" t="str">
        <f>data!$E$27&amp;" "&amp;data!$B$27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data!$E$26&amp;" "&amp;data!$B$26</f>
      </c>
      <c r="I331" s="14" t="str">
        <f>data!$E$72&amp;" "&amp;data!$B$72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data!$E$71&amp;" "&amp;data!$B$71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333</v>
      </c>
      <c r="B339" s="13" t="s">
        <v>334</v>
      </c>
      <c r="C339" s="13" t="s">
        <v>335</v>
      </c>
      <c r="D339" s="13" t="s">
        <v>336</v>
      </c>
      <c r="E339" s="13"/>
      <c r="F339" s="13"/>
      <c r="G339" s="13" t="s">
        <v>337</v>
      </c>
      <c r="I339" s="13" t="s">
        <v>333</v>
      </c>
      <c r="J339" s="13" t="s">
        <v>334</v>
      </c>
      <c r="K339" s="13" t="s">
        <v>335</v>
      </c>
      <c r="L339" s="13" t="s">
        <v>336</v>
      </c>
      <c r="M339" s="13"/>
      <c r="N339" s="13"/>
      <c r="O339" s="13" t="s">
        <v>337</v>
      </c>
    </row>
    <row r="340">
      <c r="A340" s="14" t="str">
        <f>data!$E$25&amp;" "&amp;data!$B$25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data!$E$70&amp;" "&amp;data!$B$70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data!$E$26&amp;" "&amp;data!$B$26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data!$E$71&amp;" "&amp;data!$B$71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data!$E$27&amp;" "&amp;data!$B$27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data!$E$72&amp;" "&amp;data!$B$72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338</v>
      </c>
      <c r="C344" s="13" t="s">
        <v>339</v>
      </c>
      <c r="D344" s="13" t="s">
        <v>340</v>
      </c>
      <c r="E344" s="13" t="s">
        <v>341</v>
      </c>
      <c r="F344" s="13" t="s">
        <v>342</v>
      </c>
      <c r="I344" s="13"/>
      <c r="J344" s="13" t="s">
        <v>338</v>
      </c>
      <c r="K344" s="13" t="s">
        <v>339</v>
      </c>
      <c r="L344" s="13" t="s">
        <v>340</v>
      </c>
      <c r="M344" s="13" t="s">
        <v>341</v>
      </c>
      <c r="N344" s="13" t="s">
        <v>342</v>
      </c>
    </row>
    <row r="345">
      <c r="A345" s="14" t="str">
        <f>data!$E$25&amp;" "&amp;data!$B$25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data!$E$70&amp;" "&amp;data!$B$70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data!$E$26&amp;" "&amp;data!$B$26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data!$E$71&amp;" "&amp;data!$B$71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data!$E$27&amp;" "&amp;data!$B$27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data!$E$72&amp;" "&amp;data!$B$72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343</v>
      </c>
      <c r="N350" s="13"/>
      <c r="O350" s="13" t="s">
        <v>343</v>
      </c>
    </row>
    <row r="351">
      <c r="F351" t="s">
        <v>344</v>
      </c>
      <c r="G351" s="19" t="str">
        <f>IFERROR(INDEX($A$340:$A$347, MATCH(1, $G$340:$G$347, 0)), "-")</f>
      </c>
      <c r="N351" t="s">
        <v>344</v>
      </c>
      <c r="O351" s="19" t="str">
        <f>IFERROR(INDEX($I$340:$I$347, MATCH(1, $O$340:$O$347, 0)), "-")</f>
      </c>
    </row>
    <row r="352">
      <c r="F352" t="s">
        <v>345</v>
      </c>
      <c r="G352" s="19" t="str">
        <f>IFERROR(INDEX($A$340:$A$347, MATCH(2, $G$340:$G$347, 0)), "-")</f>
      </c>
      <c r="N352" t="s">
        <v>345</v>
      </c>
      <c r="O352" s="19" t="str">
        <f>IFERROR(INDEX($I$340:$I$347, MATCH(2, $O$340:$O$347, 0)), "-")</f>
      </c>
    </row>
    <row r="353">
      <c r="F353" t="s">
        <v>346</v>
      </c>
      <c r="G353" s="19" t="str">
        <f>IFERROR(INDEX($A$340:$A$347, MATCH(3, $G$340:$G$347, 0)), "-")</f>
      </c>
      <c r="N353" t="s">
        <v>346</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330</v>
      </c>
      <c r="B357" s="14"/>
      <c r="C357" s="14"/>
      <c r="D357" s="14" t="s">
        <v>331</v>
      </c>
      <c r="E357" s="14"/>
      <c r="F357" s="14"/>
      <c r="G357" s="16" t="s">
        <v>332</v>
      </c>
      <c r="I357" s="17" t="s">
        <v>330</v>
      </c>
      <c r="J357" s="14"/>
      <c r="K357" s="14"/>
      <c r="L357" s="14" t="s">
        <v>331</v>
      </c>
      <c r="M357" s="14"/>
      <c r="N357" s="14"/>
      <c r="O357" s="16" t="s">
        <v>332</v>
      </c>
    </row>
    <row r="358">
      <c r="A358" s="14" t="str">
        <f>data!$E$29&amp;" "&amp;data!$B$29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data!$E$28&amp;" "&amp;data!$B$28</f>
      </c>
      <c r="I358" s="14" t="str">
        <f>data!$E$74&amp;" "&amp;data!$B$74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data!$E$73&amp;" "&amp;data!$B$73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330</v>
      </c>
      <c r="B365" s="14"/>
      <c r="C365" s="14"/>
      <c r="D365" s="14" t="s">
        <v>331</v>
      </c>
      <c r="E365" s="14"/>
      <c r="F365" s="14"/>
      <c r="G365" s="16" t="s">
        <v>332</v>
      </c>
      <c r="I365" s="17" t="s">
        <v>330</v>
      </c>
      <c r="J365" s="14"/>
      <c r="K365" s="14"/>
      <c r="L365" s="14" t="s">
        <v>331</v>
      </c>
      <c r="M365" s="14"/>
      <c r="N365" s="14"/>
      <c r="O365" s="16" t="s">
        <v>332</v>
      </c>
    </row>
    <row r="366">
      <c r="A366" s="14" t="str">
        <f>data!$E$30&amp;" "&amp;data!$B$30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data!$E$28&amp;" "&amp;data!$B$28</f>
      </c>
      <c r="I366" s="14" t="str">
        <f>data!$E$75&amp;" "&amp;data!$B$75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data!$E$73&amp;" "&amp;data!$B$73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330</v>
      </c>
      <c r="B373" s="14"/>
      <c r="C373" s="14"/>
      <c r="D373" s="14" t="s">
        <v>331</v>
      </c>
      <c r="E373" s="14"/>
      <c r="F373" s="14"/>
      <c r="G373" s="16" t="s">
        <v>332</v>
      </c>
      <c r="I373" s="17" t="s">
        <v>330</v>
      </c>
      <c r="J373" s="14"/>
      <c r="K373" s="14"/>
      <c r="L373" s="14" t="s">
        <v>331</v>
      </c>
      <c r="M373" s="14"/>
      <c r="N373" s="14"/>
      <c r="O373" s="16" t="s">
        <v>332</v>
      </c>
    </row>
    <row r="374">
      <c r="A374" s="14" t="str">
        <f>data!$E$30&amp;" "&amp;data!$B$30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data!$E$29&amp;" "&amp;data!$B$29</f>
      </c>
      <c r="I374" s="14" t="str">
        <f>data!$E$75&amp;" "&amp;data!$B$75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data!$E$74&amp;" "&amp;data!$B$74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333</v>
      </c>
      <c r="B382" s="13" t="s">
        <v>334</v>
      </c>
      <c r="C382" s="13" t="s">
        <v>335</v>
      </c>
      <c r="D382" s="13" t="s">
        <v>336</v>
      </c>
      <c r="E382" s="13"/>
      <c r="F382" s="13"/>
      <c r="G382" s="13" t="s">
        <v>337</v>
      </c>
      <c r="I382" s="13" t="s">
        <v>333</v>
      </c>
      <c r="J382" s="13" t="s">
        <v>334</v>
      </c>
      <c r="K382" s="13" t="s">
        <v>335</v>
      </c>
      <c r="L382" s="13" t="s">
        <v>336</v>
      </c>
      <c r="M382" s="13"/>
      <c r="N382" s="13"/>
      <c r="O382" s="13" t="s">
        <v>337</v>
      </c>
    </row>
    <row r="383">
      <c r="A383" s="14" t="str">
        <f>data!$E$28&amp;" "&amp;data!$B$28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data!$E$73&amp;" "&amp;data!$B$73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data!$E$29&amp;" "&amp;data!$B$29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data!$E$74&amp;" "&amp;data!$B$74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data!$E$30&amp;" "&amp;data!$B$30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data!$E$75&amp;" "&amp;data!$B$75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338</v>
      </c>
      <c r="C387" s="13" t="s">
        <v>339</v>
      </c>
      <c r="D387" s="13" t="s">
        <v>340</v>
      </c>
      <c r="E387" s="13" t="s">
        <v>341</v>
      </c>
      <c r="F387" s="13" t="s">
        <v>342</v>
      </c>
      <c r="I387" s="13"/>
      <c r="J387" s="13" t="s">
        <v>338</v>
      </c>
      <c r="K387" s="13" t="s">
        <v>339</v>
      </c>
      <c r="L387" s="13" t="s">
        <v>340</v>
      </c>
      <c r="M387" s="13" t="s">
        <v>341</v>
      </c>
      <c r="N387" s="13" t="s">
        <v>342</v>
      </c>
    </row>
    <row r="388">
      <c r="A388" s="14" t="str">
        <f>data!$E$28&amp;" "&amp;data!$B$28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data!$E$73&amp;" "&amp;data!$B$73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data!$E$29&amp;" "&amp;data!$B$29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data!$E$74&amp;" "&amp;data!$B$74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data!$E$30&amp;" "&amp;data!$B$30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data!$E$75&amp;" "&amp;data!$B$75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343</v>
      </c>
      <c r="N393" s="13"/>
      <c r="O393" s="13" t="s">
        <v>343</v>
      </c>
    </row>
    <row r="394">
      <c r="F394" t="s">
        <v>344</v>
      </c>
      <c r="G394" s="19" t="str">
        <f>IFERROR(INDEX($A$383:$A$390, MATCH(1, $G$383:$G$390, 0)), "-")</f>
      </c>
      <c r="N394" t="s">
        <v>344</v>
      </c>
      <c r="O394" s="19" t="str">
        <f>IFERROR(INDEX($I$383:$I$390, MATCH(1, $O$383:$O$390, 0)), "-")</f>
      </c>
    </row>
    <row r="395">
      <c r="F395" t="s">
        <v>345</v>
      </c>
      <c r="G395" s="19" t="str">
        <f>IFERROR(INDEX($A$383:$A$390, MATCH(2, $G$383:$G$390, 0)), "-")</f>
      </c>
      <c r="N395" t="s">
        <v>345</v>
      </c>
      <c r="O395" s="19" t="str">
        <f>IFERROR(INDEX($I$383:$I$390, MATCH(2, $O$383:$O$390, 0)), "-")</f>
      </c>
    </row>
    <row r="396">
      <c r="F396" t="s">
        <v>346</v>
      </c>
      <c r="G396" s="19" t="str">
        <f>IFERROR(INDEX($A$383:$A$390, MATCH(3, $G$383:$G$390, 0)), "-")</f>
      </c>
      <c r="N396" t="s">
        <v>346</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330</v>
      </c>
      <c r="B400" s="14"/>
      <c r="C400" s="14"/>
      <c r="D400" s="14" t="s">
        <v>331</v>
      </c>
      <c r="E400" s="14"/>
      <c r="F400" s="14"/>
      <c r="G400" s="16" t="s">
        <v>332</v>
      </c>
      <c r="I400" s="17" t="s">
        <v>330</v>
      </c>
      <c r="J400" s="14"/>
      <c r="K400" s="14"/>
      <c r="L400" s="14" t="s">
        <v>331</v>
      </c>
      <c r="M400" s="14"/>
      <c r="N400" s="14"/>
      <c r="O400" s="16" t="s">
        <v>332</v>
      </c>
    </row>
    <row r="401">
      <c r="A401" s="14" t="str">
        <f>data!$E$32&amp;" "&amp;data!$B$32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data!$E$31&amp;" "&amp;data!$B$31</f>
      </c>
      <c r="I401" s="14" t="str">
        <f>data!$E$77&amp;" "&amp;data!$B$77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data!$E$76&amp;" "&amp;data!$B$76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330</v>
      </c>
      <c r="B408" s="14"/>
      <c r="C408" s="14"/>
      <c r="D408" s="14" t="s">
        <v>331</v>
      </c>
      <c r="E408" s="14"/>
      <c r="F408" s="14"/>
      <c r="G408" s="16" t="s">
        <v>332</v>
      </c>
      <c r="I408" s="17" t="s">
        <v>330</v>
      </c>
      <c r="J408" s="14"/>
      <c r="K408" s="14"/>
      <c r="L408" s="14" t="s">
        <v>331</v>
      </c>
      <c r="M408" s="14"/>
      <c r="N408" s="14"/>
      <c r="O408" s="16" t="s">
        <v>332</v>
      </c>
    </row>
    <row r="409">
      <c r="A409" s="14" t="str">
        <f>data!$E$33&amp;" "&amp;data!$B$33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data!$E$31&amp;" "&amp;data!$B$31</f>
      </c>
      <c r="I409" s="14" t="str">
        <f>data!$E$78&amp;" "&amp;data!$B$78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data!$E$76&amp;" "&amp;data!$B$76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330</v>
      </c>
      <c r="B416" s="14"/>
      <c r="C416" s="14"/>
      <c r="D416" s="14" t="s">
        <v>331</v>
      </c>
      <c r="E416" s="14"/>
      <c r="F416" s="14"/>
      <c r="G416" s="16" t="s">
        <v>332</v>
      </c>
      <c r="I416" s="17" t="s">
        <v>330</v>
      </c>
      <c r="J416" s="14"/>
      <c r="K416" s="14"/>
      <c r="L416" s="14" t="s">
        <v>331</v>
      </c>
      <c r="M416" s="14"/>
      <c r="N416" s="14"/>
      <c r="O416" s="16" t="s">
        <v>332</v>
      </c>
    </row>
    <row r="417">
      <c r="A417" s="14" t="str">
        <f>data!$E$33&amp;" "&amp;data!$B$33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data!$E$32&amp;" "&amp;data!$B$32</f>
      </c>
      <c r="I417" s="14" t="str">
        <f>data!$E$78&amp;" "&amp;data!$B$78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data!$E$77&amp;" "&amp;data!$B$77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333</v>
      </c>
      <c r="B425" s="13" t="s">
        <v>334</v>
      </c>
      <c r="C425" s="13" t="s">
        <v>335</v>
      </c>
      <c r="D425" s="13" t="s">
        <v>336</v>
      </c>
      <c r="E425" s="13"/>
      <c r="F425" s="13"/>
      <c r="G425" s="13" t="s">
        <v>337</v>
      </c>
      <c r="I425" s="13" t="s">
        <v>333</v>
      </c>
      <c r="J425" s="13" t="s">
        <v>334</v>
      </c>
      <c r="K425" s="13" t="s">
        <v>335</v>
      </c>
      <c r="L425" s="13" t="s">
        <v>336</v>
      </c>
      <c r="M425" s="13"/>
      <c r="N425" s="13"/>
      <c r="O425" s="13" t="s">
        <v>337</v>
      </c>
    </row>
    <row r="426">
      <c r="A426" s="14" t="str">
        <f>data!$E$31&amp;" "&amp;data!$B$31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data!$E$76&amp;" "&amp;data!$B$76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data!$E$32&amp;" "&amp;data!$B$32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data!$E$77&amp;" "&amp;data!$B$77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data!$E$33&amp;" "&amp;data!$B$33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data!$E$78&amp;" "&amp;data!$B$78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338</v>
      </c>
      <c r="C430" s="13" t="s">
        <v>339</v>
      </c>
      <c r="D430" s="13" t="s">
        <v>340</v>
      </c>
      <c r="E430" s="13" t="s">
        <v>341</v>
      </c>
      <c r="F430" s="13" t="s">
        <v>342</v>
      </c>
      <c r="I430" s="13"/>
      <c r="J430" s="13" t="s">
        <v>338</v>
      </c>
      <c r="K430" s="13" t="s">
        <v>339</v>
      </c>
      <c r="L430" s="13" t="s">
        <v>340</v>
      </c>
      <c r="M430" s="13" t="s">
        <v>341</v>
      </c>
      <c r="N430" s="13" t="s">
        <v>342</v>
      </c>
    </row>
    <row r="431">
      <c r="A431" s="14" t="str">
        <f>data!$E$31&amp;" "&amp;data!$B$31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data!$E$76&amp;" "&amp;data!$B$76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data!$E$32&amp;" "&amp;data!$B$32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data!$E$77&amp;" "&amp;data!$B$77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data!$E$33&amp;" "&amp;data!$B$33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data!$E$78&amp;" "&amp;data!$B$78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343</v>
      </c>
      <c r="N436" s="13"/>
      <c r="O436" s="13" t="s">
        <v>343</v>
      </c>
    </row>
    <row r="437">
      <c r="F437" t="s">
        <v>344</v>
      </c>
      <c r="G437" s="19" t="str">
        <f>IFERROR(INDEX($A$426:$A$433, MATCH(1, $G$426:$G$433, 0)), "-")</f>
      </c>
      <c r="N437" t="s">
        <v>344</v>
      </c>
      <c r="O437" s="19" t="str">
        <f>IFERROR(INDEX($I$426:$I$433, MATCH(1, $O$426:$O$433, 0)), "-")</f>
      </c>
    </row>
    <row r="438">
      <c r="F438" t="s">
        <v>345</v>
      </c>
      <c r="G438" s="19" t="str">
        <f>IFERROR(INDEX($A$426:$A$433, MATCH(2, $G$426:$G$433, 0)), "-")</f>
      </c>
      <c r="N438" t="s">
        <v>345</v>
      </c>
      <c r="O438" s="19" t="str">
        <f>IFERROR(INDEX($I$426:$I$433, MATCH(2, $O$426:$O$433, 0)), "-")</f>
      </c>
    </row>
    <row r="439">
      <c r="F439" t="s">
        <v>346</v>
      </c>
      <c r="G439" s="19" t="str">
        <f>IFERROR(INDEX($A$426:$A$433, MATCH(3, $G$426:$G$433, 0)), "-")</f>
      </c>
      <c r="N439" t="s">
        <v>346</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330</v>
      </c>
      <c r="B443" s="14"/>
      <c r="C443" s="14"/>
      <c r="D443" s="14" t="s">
        <v>331</v>
      </c>
      <c r="E443" s="14"/>
      <c r="F443" s="14"/>
      <c r="G443" s="16" t="s">
        <v>332</v>
      </c>
      <c r="I443" s="17" t="s">
        <v>330</v>
      </c>
      <c r="J443" s="14"/>
      <c r="K443" s="14"/>
      <c r="L443" s="14" t="s">
        <v>331</v>
      </c>
      <c r="M443" s="14"/>
      <c r="N443" s="14"/>
      <c r="O443" s="16" t="s">
        <v>332</v>
      </c>
    </row>
    <row r="444">
      <c r="A444" s="14" t="str">
        <f>data!$E$35&amp;" "&amp;data!$B$35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data!$E$34&amp;" "&amp;data!$B$34</f>
      </c>
      <c r="I444" s="14" t="str">
        <f>data!$E$80&amp;" "&amp;data!$B$80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data!$E$79&amp;" "&amp;data!$B$79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330</v>
      </c>
      <c r="B451" s="14"/>
      <c r="C451" s="14"/>
      <c r="D451" s="14" t="s">
        <v>331</v>
      </c>
      <c r="E451" s="14"/>
      <c r="F451" s="14"/>
      <c r="G451" s="16" t="s">
        <v>332</v>
      </c>
      <c r="I451" s="17" t="s">
        <v>330</v>
      </c>
      <c r="J451" s="14"/>
      <c r="K451" s="14"/>
      <c r="L451" s="14" t="s">
        <v>331</v>
      </c>
      <c r="M451" s="14"/>
      <c r="N451" s="14"/>
      <c r="O451" s="16" t="s">
        <v>332</v>
      </c>
    </row>
    <row r="452">
      <c r="A452" s="14" t="str">
        <f>data!$E$36&amp;" "&amp;data!$B$36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data!$E$34&amp;" "&amp;data!$B$34</f>
      </c>
      <c r="I452" s="14" t="str">
        <f>data!$E$81&amp;" "&amp;data!$B$81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data!$E$79&amp;" "&amp;data!$B$79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330</v>
      </c>
      <c r="B459" s="14"/>
      <c r="C459" s="14"/>
      <c r="D459" s="14" t="s">
        <v>331</v>
      </c>
      <c r="E459" s="14"/>
      <c r="F459" s="14"/>
      <c r="G459" s="16" t="s">
        <v>332</v>
      </c>
      <c r="I459" s="17" t="s">
        <v>330</v>
      </c>
      <c r="J459" s="14"/>
      <c r="K459" s="14"/>
      <c r="L459" s="14" t="s">
        <v>331</v>
      </c>
      <c r="M459" s="14"/>
      <c r="N459" s="14"/>
      <c r="O459" s="16" t="s">
        <v>332</v>
      </c>
    </row>
    <row r="460">
      <c r="A460" s="14" t="str">
        <f>data!$E$36&amp;" "&amp;data!$B$36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data!$E$35&amp;" "&amp;data!$B$35</f>
      </c>
      <c r="I460" s="14" t="str">
        <f>data!$E$81&amp;" "&amp;data!$B$81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data!$E$80&amp;" "&amp;data!$B$80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333</v>
      </c>
      <c r="B468" s="13" t="s">
        <v>334</v>
      </c>
      <c r="C468" s="13" t="s">
        <v>335</v>
      </c>
      <c r="D468" s="13" t="s">
        <v>336</v>
      </c>
      <c r="E468" s="13"/>
      <c r="F468" s="13"/>
      <c r="G468" s="13" t="s">
        <v>337</v>
      </c>
      <c r="I468" s="13" t="s">
        <v>333</v>
      </c>
      <c r="J468" s="13" t="s">
        <v>334</v>
      </c>
      <c r="K468" s="13" t="s">
        <v>335</v>
      </c>
      <c r="L468" s="13" t="s">
        <v>336</v>
      </c>
      <c r="M468" s="13"/>
      <c r="N468" s="13"/>
      <c r="O468" s="13" t="s">
        <v>337</v>
      </c>
    </row>
    <row r="469">
      <c r="A469" s="14" t="str">
        <f>data!$E$34&amp;" "&amp;data!$B$34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data!$E$79&amp;" "&amp;data!$B$79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data!$E$35&amp;" "&amp;data!$B$35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data!$E$80&amp;" "&amp;data!$B$80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data!$E$36&amp;" "&amp;data!$B$36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data!$E$81&amp;" "&amp;data!$B$81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338</v>
      </c>
      <c r="C473" s="13" t="s">
        <v>339</v>
      </c>
      <c r="D473" s="13" t="s">
        <v>340</v>
      </c>
      <c r="E473" s="13" t="s">
        <v>341</v>
      </c>
      <c r="F473" s="13" t="s">
        <v>342</v>
      </c>
      <c r="I473" s="13"/>
      <c r="J473" s="13" t="s">
        <v>338</v>
      </c>
      <c r="K473" s="13" t="s">
        <v>339</v>
      </c>
      <c r="L473" s="13" t="s">
        <v>340</v>
      </c>
      <c r="M473" s="13" t="s">
        <v>341</v>
      </c>
      <c r="N473" s="13" t="s">
        <v>342</v>
      </c>
    </row>
    <row r="474">
      <c r="A474" s="14" t="str">
        <f>data!$E$34&amp;" "&amp;data!$B$34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data!$E$79&amp;" "&amp;data!$B$79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data!$E$35&amp;" "&amp;data!$B$35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data!$E$80&amp;" "&amp;data!$B$80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data!$E$36&amp;" "&amp;data!$B$36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data!$E$81&amp;" "&amp;data!$B$81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343</v>
      </c>
      <c r="N479" s="13"/>
      <c r="O479" s="13" t="s">
        <v>343</v>
      </c>
    </row>
    <row r="480">
      <c r="F480" t="s">
        <v>344</v>
      </c>
      <c r="G480" s="19" t="str">
        <f>IFERROR(INDEX($A$469:$A$476, MATCH(1, $G$469:$G$476, 0)), "-")</f>
      </c>
      <c r="N480" t="s">
        <v>344</v>
      </c>
      <c r="O480" s="19" t="str">
        <f>IFERROR(INDEX($I$469:$I$476, MATCH(1, $O$469:$O$476, 0)), "-")</f>
      </c>
    </row>
    <row r="481">
      <c r="F481" t="s">
        <v>345</v>
      </c>
      <c r="G481" s="19" t="str">
        <f>IFERROR(INDEX($A$469:$A$476, MATCH(2, $G$469:$G$476, 0)), "-")</f>
      </c>
      <c r="N481" t="s">
        <v>345</v>
      </c>
      <c r="O481" s="19" t="str">
        <f>IFERROR(INDEX($I$469:$I$476, MATCH(2, $O$469:$O$476, 0)), "-")</f>
      </c>
    </row>
    <row r="482">
      <c r="F482" t="s">
        <v>346</v>
      </c>
      <c r="G482" s="19" t="str">
        <f>IFERROR(INDEX($A$469:$A$476, MATCH(3, $G$469:$G$476, 0)), "-")</f>
      </c>
      <c r="N482" t="s">
        <v>346</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330</v>
      </c>
      <c r="B486" s="14"/>
      <c r="C486" s="14"/>
      <c r="D486" s="14" t="s">
        <v>331</v>
      </c>
      <c r="E486" s="14"/>
      <c r="F486" s="14"/>
      <c r="G486" s="16" t="s">
        <v>332</v>
      </c>
      <c r="I486" s="17" t="s">
        <v>330</v>
      </c>
      <c r="J486" s="14"/>
      <c r="K486" s="14"/>
      <c r="L486" s="14" t="s">
        <v>331</v>
      </c>
      <c r="M486" s="14"/>
      <c r="N486" s="14"/>
      <c r="O486" s="16" t="s">
        <v>332</v>
      </c>
    </row>
    <row r="487">
      <c r="A487" s="14" t="str">
        <f>data!$E$38&amp;" "&amp;data!$B$38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data!$E$37&amp;" "&amp;data!$B$37</f>
      </c>
      <c r="I487" s="14" t="str">
        <f>data!$E$83&amp;" "&amp;data!$B$83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data!$E$82&amp;" "&amp;data!$B$82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330</v>
      </c>
      <c r="B494" s="14"/>
      <c r="C494" s="14"/>
      <c r="D494" s="14" t="s">
        <v>331</v>
      </c>
      <c r="E494" s="14"/>
      <c r="F494" s="14"/>
      <c r="G494" s="16" t="s">
        <v>332</v>
      </c>
      <c r="I494" s="17" t="s">
        <v>330</v>
      </c>
      <c r="J494" s="14"/>
      <c r="K494" s="14"/>
      <c r="L494" s="14" t="s">
        <v>331</v>
      </c>
      <c r="M494" s="14"/>
      <c r="N494" s="14"/>
      <c r="O494" s="16" t="s">
        <v>332</v>
      </c>
    </row>
    <row r="495">
      <c r="A495" s="14" t="str">
        <f>data!$E$39&amp;" "&amp;data!$B$39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data!$E$37&amp;" "&amp;data!$B$37</f>
      </c>
      <c r="I495" s="14" t="str">
        <f>data!$E$84&amp;" "&amp;data!$B$84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data!$E$82&amp;" "&amp;data!$B$82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330</v>
      </c>
      <c r="B502" s="14"/>
      <c r="C502" s="14"/>
      <c r="D502" s="14" t="s">
        <v>331</v>
      </c>
      <c r="E502" s="14"/>
      <c r="F502" s="14"/>
      <c r="G502" s="16" t="s">
        <v>332</v>
      </c>
      <c r="I502" s="17" t="s">
        <v>330</v>
      </c>
      <c r="J502" s="14"/>
      <c r="K502" s="14"/>
      <c r="L502" s="14" t="s">
        <v>331</v>
      </c>
      <c r="M502" s="14"/>
      <c r="N502" s="14"/>
      <c r="O502" s="16" t="s">
        <v>332</v>
      </c>
    </row>
    <row r="503">
      <c r="A503" s="14" t="str">
        <f>data!$E$39&amp;" "&amp;data!$B$39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data!$E$38&amp;" "&amp;data!$B$38</f>
      </c>
      <c r="I503" s="14" t="str">
        <f>data!$E$84&amp;" "&amp;data!$B$84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data!$E$83&amp;" "&amp;data!$B$83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333</v>
      </c>
      <c r="B511" s="13" t="s">
        <v>334</v>
      </c>
      <c r="C511" s="13" t="s">
        <v>335</v>
      </c>
      <c r="D511" s="13" t="s">
        <v>336</v>
      </c>
      <c r="E511" s="13"/>
      <c r="F511" s="13"/>
      <c r="G511" s="13" t="s">
        <v>337</v>
      </c>
      <c r="I511" s="13" t="s">
        <v>333</v>
      </c>
      <c r="J511" s="13" t="s">
        <v>334</v>
      </c>
      <c r="K511" s="13" t="s">
        <v>335</v>
      </c>
      <c r="L511" s="13" t="s">
        <v>336</v>
      </c>
      <c r="M511" s="13"/>
      <c r="N511" s="13"/>
      <c r="O511" s="13" t="s">
        <v>337</v>
      </c>
    </row>
    <row r="512">
      <c r="A512" s="14" t="str">
        <f>data!$E$37&amp;" "&amp;data!$B$37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data!$E$82&amp;" "&amp;data!$B$82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data!$E$38&amp;" "&amp;data!$B$38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data!$E$83&amp;" "&amp;data!$B$83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data!$E$39&amp;" "&amp;data!$B$39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data!$E$84&amp;" "&amp;data!$B$84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338</v>
      </c>
      <c r="C516" s="13" t="s">
        <v>339</v>
      </c>
      <c r="D516" s="13" t="s">
        <v>340</v>
      </c>
      <c r="E516" s="13" t="s">
        <v>341</v>
      </c>
      <c r="F516" s="13" t="s">
        <v>342</v>
      </c>
      <c r="I516" s="13"/>
      <c r="J516" s="13" t="s">
        <v>338</v>
      </c>
      <c r="K516" s="13" t="s">
        <v>339</v>
      </c>
      <c r="L516" s="13" t="s">
        <v>340</v>
      </c>
      <c r="M516" s="13" t="s">
        <v>341</v>
      </c>
      <c r="N516" s="13" t="s">
        <v>342</v>
      </c>
    </row>
    <row r="517">
      <c r="A517" s="14" t="str">
        <f>data!$E$37&amp;" "&amp;data!$B$37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data!$E$82&amp;" "&amp;data!$B$82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data!$E$38&amp;" "&amp;data!$B$38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data!$E$83&amp;" "&amp;data!$B$83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data!$E$39&amp;" "&amp;data!$B$39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data!$E$84&amp;" "&amp;data!$B$84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343</v>
      </c>
      <c r="N522" s="13"/>
      <c r="O522" s="13" t="s">
        <v>343</v>
      </c>
    </row>
    <row r="523">
      <c r="F523" t="s">
        <v>344</v>
      </c>
      <c r="G523" s="19" t="str">
        <f>IFERROR(INDEX($A$512:$A$519, MATCH(1, $G$512:$G$519, 0)), "-")</f>
      </c>
      <c r="N523" t="s">
        <v>344</v>
      </c>
      <c r="O523" s="19" t="str">
        <f>IFERROR(INDEX($I$512:$I$519, MATCH(1, $O$512:$O$519, 0)), "-")</f>
      </c>
    </row>
    <row r="524">
      <c r="F524" t="s">
        <v>345</v>
      </c>
      <c r="G524" s="19" t="str">
        <f>IFERROR(INDEX($A$512:$A$519, MATCH(2, $G$512:$G$519, 0)), "-")</f>
      </c>
      <c r="N524" t="s">
        <v>345</v>
      </c>
      <c r="O524" s="19" t="str">
        <f>IFERROR(INDEX($I$512:$I$519, MATCH(2, $O$512:$O$519, 0)), "-")</f>
      </c>
    </row>
    <row r="525">
      <c r="F525" t="s">
        <v>346</v>
      </c>
      <c r="G525" s="19" t="str">
        <f>IFERROR(INDEX($A$512:$A$519, MATCH(3, $G$512:$G$519, 0)), "-")</f>
      </c>
      <c r="N525" t="s">
        <v>346</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330</v>
      </c>
      <c r="B529" s="14"/>
      <c r="C529" s="14"/>
      <c r="D529" s="14" t="s">
        <v>331</v>
      </c>
      <c r="E529" s="14"/>
      <c r="F529" s="14"/>
      <c r="G529" s="16" t="s">
        <v>332</v>
      </c>
      <c r="I529" s="17" t="s">
        <v>330</v>
      </c>
      <c r="J529" s="14"/>
      <c r="K529" s="14"/>
      <c r="L529" s="14" t="s">
        <v>331</v>
      </c>
      <c r="M529" s="14"/>
      <c r="N529" s="14"/>
      <c r="O529" s="16" t="s">
        <v>332</v>
      </c>
    </row>
    <row r="530">
      <c r="A530" s="14" t="str">
        <f>data!$E$41&amp;" "&amp;data!$B$41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data!$E$40&amp;" "&amp;data!$B$40</f>
      </c>
      <c r="I530" s="14" t="str">
        <f>data!$E$86&amp;" "&amp;data!$B$86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data!$E$85&amp;" "&amp;data!$B$85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330</v>
      </c>
      <c r="B537" s="14"/>
      <c r="C537" s="14"/>
      <c r="D537" s="14" t="s">
        <v>331</v>
      </c>
      <c r="E537" s="14"/>
      <c r="F537" s="14"/>
      <c r="G537" s="16" t="s">
        <v>332</v>
      </c>
      <c r="I537" s="17" t="s">
        <v>330</v>
      </c>
      <c r="J537" s="14"/>
      <c r="K537" s="14"/>
      <c r="L537" s="14" t="s">
        <v>331</v>
      </c>
      <c r="M537" s="14"/>
      <c r="N537" s="14"/>
      <c r="O537" s="16" t="s">
        <v>332</v>
      </c>
    </row>
    <row r="538">
      <c r="A538" s="14" t="str">
        <f>data!$E$42&amp;" "&amp;data!$B$42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data!$E$40&amp;" "&amp;data!$B$40</f>
      </c>
      <c r="I538" s="14" t="str">
        <f>data!$E$87&amp;" "&amp;data!$B$87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data!$E$85&amp;" "&amp;data!$B$85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330</v>
      </c>
      <c r="B545" s="14"/>
      <c r="C545" s="14"/>
      <c r="D545" s="14" t="s">
        <v>331</v>
      </c>
      <c r="E545" s="14"/>
      <c r="F545" s="14"/>
      <c r="G545" s="16" t="s">
        <v>332</v>
      </c>
      <c r="I545" s="17" t="s">
        <v>330</v>
      </c>
      <c r="J545" s="14"/>
      <c r="K545" s="14"/>
      <c r="L545" s="14" t="s">
        <v>331</v>
      </c>
      <c r="M545" s="14"/>
      <c r="N545" s="14"/>
      <c r="O545" s="16" t="s">
        <v>332</v>
      </c>
    </row>
    <row r="546">
      <c r="A546" s="14" t="str">
        <f>data!$E$42&amp;" "&amp;data!$B$42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data!$E$41&amp;" "&amp;data!$B$41</f>
      </c>
      <c r="I546" s="14" t="str">
        <f>data!$E$87&amp;" "&amp;data!$B$87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data!$E$86&amp;" "&amp;data!$B$86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333</v>
      </c>
      <c r="B554" s="13" t="s">
        <v>334</v>
      </c>
      <c r="C554" s="13" t="s">
        <v>335</v>
      </c>
      <c r="D554" s="13" t="s">
        <v>336</v>
      </c>
      <c r="E554" s="13"/>
      <c r="F554" s="13"/>
      <c r="G554" s="13" t="s">
        <v>337</v>
      </c>
      <c r="I554" s="13" t="s">
        <v>333</v>
      </c>
      <c r="J554" s="13" t="s">
        <v>334</v>
      </c>
      <c r="K554" s="13" t="s">
        <v>335</v>
      </c>
      <c r="L554" s="13" t="s">
        <v>336</v>
      </c>
      <c r="M554" s="13"/>
      <c r="N554" s="13"/>
      <c r="O554" s="13" t="s">
        <v>337</v>
      </c>
    </row>
    <row r="555">
      <c r="A555" s="14" t="str">
        <f>data!$E$40&amp;" "&amp;data!$B$40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data!$E$85&amp;" "&amp;data!$B$85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data!$E$41&amp;" "&amp;data!$B$41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data!$E$86&amp;" "&amp;data!$B$86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data!$E$42&amp;" "&amp;data!$B$42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data!$E$87&amp;" "&amp;data!$B$87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338</v>
      </c>
      <c r="C559" s="13" t="s">
        <v>339</v>
      </c>
      <c r="D559" s="13" t="s">
        <v>340</v>
      </c>
      <c r="E559" s="13" t="s">
        <v>341</v>
      </c>
      <c r="F559" s="13" t="s">
        <v>342</v>
      </c>
      <c r="I559" s="13"/>
      <c r="J559" s="13" t="s">
        <v>338</v>
      </c>
      <c r="K559" s="13" t="s">
        <v>339</v>
      </c>
      <c r="L559" s="13" t="s">
        <v>340</v>
      </c>
      <c r="M559" s="13" t="s">
        <v>341</v>
      </c>
      <c r="N559" s="13" t="s">
        <v>342</v>
      </c>
    </row>
    <row r="560">
      <c r="A560" s="14" t="str">
        <f>data!$E$40&amp;" "&amp;data!$B$40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data!$E$85&amp;" "&amp;data!$B$85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data!$E$41&amp;" "&amp;data!$B$41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data!$E$86&amp;" "&amp;data!$B$86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data!$E$42&amp;" "&amp;data!$B$42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data!$E$87&amp;" "&amp;data!$B$87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343</v>
      </c>
      <c r="N565" s="13"/>
      <c r="O565" s="13" t="s">
        <v>343</v>
      </c>
    </row>
    <row r="566">
      <c r="F566" t="s">
        <v>344</v>
      </c>
      <c r="G566" s="19" t="str">
        <f>IFERROR(INDEX($A$555:$A$562, MATCH(1, $G$555:$G$562, 0)), "-")</f>
      </c>
      <c r="N566" t="s">
        <v>344</v>
      </c>
      <c r="O566" s="19" t="str">
        <f>IFERROR(INDEX($I$555:$I$562, MATCH(1, $O$555:$O$562, 0)), "-")</f>
      </c>
    </row>
    <row r="567">
      <c r="F567" t="s">
        <v>345</v>
      </c>
      <c r="G567" s="19" t="str">
        <f>IFERROR(INDEX($A$555:$A$562, MATCH(2, $G$555:$G$562, 0)), "-")</f>
      </c>
      <c r="N567" t="s">
        <v>345</v>
      </c>
      <c r="O567" s="19" t="str">
        <f>IFERROR(INDEX($I$555:$I$562, MATCH(2, $O$555:$O$562, 0)), "-")</f>
      </c>
    </row>
    <row r="568">
      <c r="F568" t="s">
        <v>346</v>
      </c>
      <c r="G568" s="19" t="str">
        <f>IFERROR(INDEX($A$555:$A$562, MATCH(3, $G$555:$G$562, 0)), "-")</f>
      </c>
      <c r="N568" t="s">
        <v>346</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330</v>
      </c>
      <c r="B572" s="14"/>
      <c r="C572" s="14"/>
      <c r="D572" s="14" t="s">
        <v>331</v>
      </c>
      <c r="E572" s="14"/>
      <c r="F572" s="14"/>
      <c r="G572" s="16" t="s">
        <v>332</v>
      </c>
      <c r="I572" s="17" t="s">
        <v>330</v>
      </c>
      <c r="J572" s="14"/>
      <c r="K572" s="14"/>
      <c r="L572" s="14" t="s">
        <v>331</v>
      </c>
      <c r="M572" s="14"/>
      <c r="N572" s="14"/>
      <c r="O572" s="16" t="s">
        <v>332</v>
      </c>
    </row>
    <row r="573">
      <c r="A573" s="14" t="str">
        <f>data!$E$44&amp;" "&amp;data!$B$44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data!$E$43&amp;" "&amp;data!$B$43</f>
      </c>
      <c r="I573" s="14" t="str">
        <f>data!$E$89&amp;" "&amp;data!$B$89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data!$E$88&amp;" "&amp;data!$B$88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330</v>
      </c>
      <c r="B580" s="14"/>
      <c r="C580" s="14"/>
      <c r="D580" s="14" t="s">
        <v>331</v>
      </c>
      <c r="E580" s="14"/>
      <c r="F580" s="14"/>
      <c r="G580" s="16" t="s">
        <v>332</v>
      </c>
      <c r="I580" s="17" t="s">
        <v>330</v>
      </c>
      <c r="J580" s="14"/>
      <c r="K580" s="14"/>
      <c r="L580" s="14" t="s">
        <v>331</v>
      </c>
      <c r="M580" s="14"/>
      <c r="N580" s="14"/>
      <c r="O580" s="16" t="s">
        <v>332</v>
      </c>
    </row>
    <row r="581">
      <c r="A581" s="14" t="str">
        <f>data!$E$45&amp;" "&amp;data!$B$45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data!$E$43&amp;" "&amp;data!$B$43</f>
      </c>
      <c r="I581" s="14" t="str">
        <f>data!$E$90&amp;" "&amp;data!$B$90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data!$E$88&amp;" "&amp;data!$B$88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330</v>
      </c>
      <c r="B588" s="14"/>
      <c r="C588" s="14"/>
      <c r="D588" s="14" t="s">
        <v>331</v>
      </c>
      <c r="E588" s="14"/>
      <c r="F588" s="14"/>
      <c r="G588" s="16" t="s">
        <v>332</v>
      </c>
      <c r="I588" s="17" t="s">
        <v>330</v>
      </c>
      <c r="J588" s="14"/>
      <c r="K588" s="14"/>
      <c r="L588" s="14" t="s">
        <v>331</v>
      </c>
      <c r="M588" s="14"/>
      <c r="N588" s="14"/>
      <c r="O588" s="16" t="s">
        <v>332</v>
      </c>
    </row>
    <row r="589">
      <c r="A589" s="14" t="str">
        <f>data!$E$45&amp;" "&amp;data!$B$45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data!$E$44&amp;" "&amp;data!$B$44</f>
      </c>
      <c r="I589" s="14" t="str">
        <f>data!$E$90&amp;" "&amp;data!$B$90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data!$E$89&amp;" "&amp;data!$B$89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333</v>
      </c>
      <c r="B597" s="13" t="s">
        <v>334</v>
      </c>
      <c r="C597" s="13" t="s">
        <v>335</v>
      </c>
      <c r="D597" s="13" t="s">
        <v>336</v>
      </c>
      <c r="E597" s="13"/>
      <c r="F597" s="13"/>
      <c r="G597" s="13" t="s">
        <v>337</v>
      </c>
      <c r="I597" s="13" t="s">
        <v>333</v>
      </c>
      <c r="J597" s="13" t="s">
        <v>334</v>
      </c>
      <c r="K597" s="13" t="s">
        <v>335</v>
      </c>
      <c r="L597" s="13" t="s">
        <v>336</v>
      </c>
      <c r="M597" s="13"/>
      <c r="N597" s="13"/>
      <c r="O597" s="13" t="s">
        <v>337</v>
      </c>
    </row>
    <row r="598">
      <c r="A598" s="14" t="str">
        <f>data!$E$43&amp;" "&amp;data!$B$43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data!$E$88&amp;" "&amp;data!$B$88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data!$E$44&amp;" "&amp;data!$B$44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data!$E$89&amp;" "&amp;data!$B$89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data!$E$45&amp;" "&amp;data!$B$45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data!$E$90&amp;" "&amp;data!$B$90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338</v>
      </c>
      <c r="C602" s="13" t="s">
        <v>339</v>
      </c>
      <c r="D602" s="13" t="s">
        <v>340</v>
      </c>
      <c r="E602" s="13" t="s">
        <v>341</v>
      </c>
      <c r="F602" s="13" t="s">
        <v>342</v>
      </c>
      <c r="I602" s="13"/>
      <c r="J602" s="13" t="s">
        <v>338</v>
      </c>
      <c r="K602" s="13" t="s">
        <v>339</v>
      </c>
      <c r="L602" s="13" t="s">
        <v>340</v>
      </c>
      <c r="M602" s="13" t="s">
        <v>341</v>
      </c>
      <c r="N602" s="13" t="s">
        <v>342</v>
      </c>
    </row>
    <row r="603">
      <c r="A603" s="14" t="str">
        <f>data!$E$43&amp;" "&amp;data!$B$43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data!$E$88&amp;" "&amp;data!$B$88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data!$E$44&amp;" "&amp;data!$B$44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data!$E$89&amp;" "&amp;data!$B$89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data!$E$45&amp;" "&amp;data!$B$45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data!$E$90&amp;" "&amp;data!$B$90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343</v>
      </c>
      <c r="N608" s="13"/>
      <c r="O608" s="13" t="s">
        <v>343</v>
      </c>
    </row>
    <row r="609">
      <c r="F609" t="s">
        <v>344</v>
      </c>
      <c r="G609" s="19" t="str">
        <f>IFERROR(INDEX($A$598:$A$605, MATCH(1, $G$598:$G$605, 0)), "-")</f>
      </c>
      <c r="N609" t="s">
        <v>344</v>
      </c>
      <c r="O609" s="19" t="str">
        <f>IFERROR(INDEX($I$598:$I$605, MATCH(1, $O$598:$O$605, 0)), "-")</f>
      </c>
    </row>
    <row r="610">
      <c r="F610" t="s">
        <v>345</v>
      </c>
      <c r="G610" s="19" t="str">
        <f>IFERROR(INDEX($A$598:$A$605, MATCH(2, $G$598:$G$605, 0)), "-")</f>
      </c>
      <c r="N610" t="s">
        <v>345</v>
      </c>
      <c r="O610" s="19" t="str">
        <f>IFERROR(INDEX($I$598:$I$605, MATCH(2, $O$598:$O$605, 0)), "-")</f>
      </c>
    </row>
    <row r="611">
      <c r="F611" t="s">
        <v>346</v>
      </c>
      <c r="G611" s="19" t="str">
        <f>IFERROR(INDEX($A$598:$A$605, MATCH(3, $G$598:$G$605, 0)), "-")</f>
      </c>
      <c r="N611" t="s">
        <v>346</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330</v>
      </c>
      <c r="B615" s="14"/>
      <c r="C615" s="14"/>
      <c r="D615" s="14" t="s">
        <v>331</v>
      </c>
      <c r="E615" s="14"/>
      <c r="F615" s="14"/>
      <c r="G615" s="16" t="s">
        <v>332</v>
      </c>
      <c r="I615" s="17" t="s">
        <v>330</v>
      </c>
      <c r="J615" s="14"/>
      <c r="K615" s="14"/>
      <c r="L615" s="14" t="s">
        <v>331</v>
      </c>
      <c r="M615" s="14"/>
      <c r="N615" s="14"/>
      <c r="O615" s="16" t="s">
        <v>332</v>
      </c>
    </row>
    <row r="616">
      <c r="A616" s="14" t="str">
        <f>data!$E$47&amp;" "&amp;data!$B$47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data!$E$46&amp;" "&amp;data!$B$46</f>
      </c>
      <c r="I616" s="14" t="str">
        <f>data!$E$92&amp;" "&amp;data!$B$92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data!$E$91&amp;" "&amp;data!$B$91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330</v>
      </c>
      <c r="B623" s="14"/>
      <c r="C623" s="14"/>
      <c r="D623" s="14" t="s">
        <v>331</v>
      </c>
      <c r="E623" s="14"/>
      <c r="F623" s="14"/>
      <c r="G623" s="16" t="s">
        <v>332</v>
      </c>
      <c r="I623" s="17" t="s">
        <v>330</v>
      </c>
      <c r="J623" s="14"/>
      <c r="K623" s="14"/>
      <c r="L623" s="14" t="s">
        <v>331</v>
      </c>
      <c r="M623" s="14"/>
      <c r="N623" s="14"/>
      <c r="O623" s="16" t="s">
        <v>332</v>
      </c>
    </row>
    <row r="624">
      <c r="A624" s="14" t="str">
        <f>data!$E$48&amp;" "&amp;data!$B$48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data!$E$46&amp;" "&amp;data!$B$46</f>
      </c>
      <c r="I624" s="14" t="str">
        <f>data!$E$93&amp;" "&amp;data!$B$93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data!$E$91&amp;" "&amp;data!$B$91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330</v>
      </c>
      <c r="B631" s="14"/>
      <c r="C631" s="14"/>
      <c r="D631" s="14" t="s">
        <v>331</v>
      </c>
      <c r="E631" s="14"/>
      <c r="F631" s="14"/>
      <c r="G631" s="16" t="s">
        <v>332</v>
      </c>
      <c r="I631" s="17" t="s">
        <v>330</v>
      </c>
      <c r="J631" s="14"/>
      <c r="K631" s="14"/>
      <c r="L631" s="14" t="s">
        <v>331</v>
      </c>
      <c r="M631" s="14"/>
      <c r="N631" s="14"/>
      <c r="O631" s="16" t="s">
        <v>332</v>
      </c>
    </row>
    <row r="632">
      <c r="A632" s="14" t="str">
        <f>data!$E$48&amp;" "&amp;data!$B$48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data!$E$47&amp;" "&amp;data!$B$47</f>
      </c>
      <c r="I632" s="14" t="str">
        <f>data!$E$93&amp;" "&amp;data!$B$93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data!$E$92&amp;" "&amp;data!$B$92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333</v>
      </c>
      <c r="B640" s="13" t="s">
        <v>334</v>
      </c>
      <c r="C640" s="13" t="s">
        <v>335</v>
      </c>
      <c r="D640" s="13" t="s">
        <v>336</v>
      </c>
      <c r="E640" s="13"/>
      <c r="F640" s="13"/>
      <c r="G640" s="13" t="s">
        <v>337</v>
      </c>
      <c r="I640" s="13" t="s">
        <v>333</v>
      </c>
      <c r="J640" s="13" t="s">
        <v>334</v>
      </c>
      <c r="K640" s="13" t="s">
        <v>335</v>
      </c>
      <c r="L640" s="13" t="s">
        <v>336</v>
      </c>
      <c r="M640" s="13"/>
      <c r="N640" s="13"/>
      <c r="O640" s="13" t="s">
        <v>337</v>
      </c>
    </row>
    <row r="641">
      <c r="A641" s="14" t="str">
        <f>data!$E$46&amp;" "&amp;data!$B$46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data!$E$91&amp;" "&amp;data!$B$91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data!$E$47&amp;" "&amp;data!$B$47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data!$E$92&amp;" "&amp;data!$B$92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data!$E$48&amp;" "&amp;data!$B$48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data!$E$93&amp;" "&amp;data!$B$93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338</v>
      </c>
      <c r="C645" s="13" t="s">
        <v>339</v>
      </c>
      <c r="D645" s="13" t="s">
        <v>340</v>
      </c>
      <c r="E645" s="13" t="s">
        <v>341</v>
      </c>
      <c r="F645" s="13" t="s">
        <v>342</v>
      </c>
      <c r="I645" s="13"/>
      <c r="J645" s="13" t="s">
        <v>338</v>
      </c>
      <c r="K645" s="13" t="s">
        <v>339</v>
      </c>
      <c r="L645" s="13" t="s">
        <v>340</v>
      </c>
      <c r="M645" s="13" t="s">
        <v>341</v>
      </c>
      <c r="N645" s="13" t="s">
        <v>342</v>
      </c>
    </row>
    <row r="646">
      <c r="A646" s="14" t="str">
        <f>data!$E$46&amp;" "&amp;data!$B$46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data!$E$91&amp;" "&amp;data!$B$91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data!$E$47&amp;" "&amp;data!$B$47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data!$E$92&amp;" "&amp;data!$B$92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data!$E$48&amp;" "&amp;data!$B$48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data!$E$93&amp;" "&amp;data!$B$93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343</v>
      </c>
      <c r="N651" s="13"/>
      <c r="O651" s="13" t="s">
        <v>343</v>
      </c>
    </row>
    <row r="652">
      <c r="F652" t="s">
        <v>344</v>
      </c>
      <c r="G652" s="19" t="str">
        <f>IFERROR(INDEX($A$641:$A$648, MATCH(1, $G$641:$G$648, 0)), "-")</f>
      </c>
      <c r="N652" t="s">
        <v>344</v>
      </c>
      <c r="O652" s="19" t="str">
        <f>IFERROR(INDEX($I$641:$I$648, MATCH(1, $O$641:$O$648, 0)), "-")</f>
      </c>
    </row>
    <row r="653">
      <c r="F653" t="s">
        <v>345</v>
      </c>
      <c r="G653" s="19" t="str">
        <f>IFERROR(INDEX($A$641:$A$648, MATCH(2, $G$641:$G$648, 0)), "-")</f>
      </c>
      <c r="N653" t="s">
        <v>345</v>
      </c>
      <c r="O653" s="19" t="str">
        <f>IFERROR(INDEX($I$641:$I$648, MATCH(2, $O$641:$O$648, 0)), "-")</f>
      </c>
    </row>
    <row r="654">
      <c r="F654" t="s">
        <v>346</v>
      </c>
      <c r="G654" s="19" t="str">
        <f>IFERROR(INDEX($A$641:$A$648, MATCH(3, $G$641:$G$648, 0)), "-")</f>
      </c>
      <c r="N654" t="s">
        <v>346</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348</v>
      </c>
      <c r="B2" s="13"/>
      <c r="C2" s="13"/>
      <c r="D2" s="13"/>
      <c r="E2" s="13"/>
      <c r="F2" s="13"/>
      <c r="G2" s="13"/>
      <c r="I2" s="13" t="s">
        <v>350</v>
      </c>
      <c r="J2" s="13"/>
      <c r="K2" s="13"/>
      <c r="L2" s="13"/>
      <c r="M2" s="13"/>
      <c r="N2" s="13"/>
      <c r="O2" s="13"/>
    </row>
    <row r="3">
      <c r="A3" s="17" t="s">
        <v>330</v>
      </c>
      <c r="D3" s="14" t="s">
        <v>331</v>
      </c>
      <c r="G3" s="16" t="s">
        <v>332</v>
      </c>
      <c r="I3" s="17" t="s">
        <v>330</v>
      </c>
      <c r="L3" s="14" t="s">
        <v>331</v>
      </c>
      <c r="O3" s="16" t="s">
        <v>332</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338</v>
      </c>
      <c r="C11" s="14" t="s">
        <v>341</v>
      </c>
      <c r="D11" s="14"/>
      <c r="E11" s="14" t="s">
        <v>341</v>
      </c>
      <c r="F11" s="14" t="s">
        <v>338</v>
      </c>
      <c r="G11" s="14" t="str">
        <f>CONCATENATE("Pool A-1st ",'Pool Matches'!G50)</f>
      </c>
      <c r="I11" s="14" t="str">
        <f>CONCATENATE("Pool A-2nd ",'Pool Matches'!G51)</f>
      </c>
      <c r="J11" s="14" t="s">
        <v>338</v>
      </c>
      <c r="K11" s="14" t="s">
        <v>341</v>
      </c>
      <c r="L11" s="14"/>
      <c r="M11" s="14" t="s">
        <v>341</v>
      </c>
      <c r="N11" s="14" t="s">
        <v>338</v>
      </c>
      <c r="O11" s="14" t="str">
        <f>CONCATENATE("Pool P-1st ",'Pool Matches'!O48)</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344</v>
      </c>
      <c r="G15" s="19"/>
      <c r="N15" t="s">
        <v>344</v>
      </c>
      <c r="O15" s="19"/>
    </row>
    <row r="16">
      <c r="F16" t="s">
        <v>345</v>
      </c>
      <c r="G16" s="19"/>
      <c r="N16" t="s">
        <v>345</v>
      </c>
      <c r="O16" s="19"/>
    </row>
    <row r="18">
      <c r="A18" s="13" t="s">
        <v>351</v>
      </c>
      <c r="B18" s="13"/>
      <c r="C18" s="13"/>
      <c r="D18" s="13"/>
      <c r="E18" s="13"/>
      <c r="F18" s="13"/>
      <c r="G18" s="13"/>
      <c r="I18" s="13" t="s">
        <v>352</v>
      </c>
      <c r="J18" s="13"/>
      <c r="K18" s="13"/>
      <c r="L18" s="13"/>
      <c r="M18" s="13"/>
      <c r="N18" s="13"/>
      <c r="O18" s="13"/>
    </row>
    <row r="19">
      <c r="A19" s="17" t="s">
        <v>330</v>
      </c>
      <c r="D19" s="14" t="s">
        <v>331</v>
      </c>
      <c r="G19" s="16" t="s">
        <v>332</v>
      </c>
      <c r="I19" s="17" t="s">
        <v>330</v>
      </c>
      <c r="L19" s="14" t="s">
        <v>331</v>
      </c>
      <c r="O19" s="16" t="s">
        <v>332</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338</v>
      </c>
      <c r="C27" s="14" t="s">
        <v>341</v>
      </c>
      <c r="D27" s="14"/>
      <c r="E27" s="14" t="s">
        <v>341</v>
      </c>
      <c r="F27" s="14" t="s">
        <v>338</v>
      </c>
      <c r="G27" s="14" t="str">
        <f>CONCATENATE("Pool B-1st ",'Pool Matches'!G93)</f>
      </c>
      <c r="I27" s="14" t="str">
        <f>CONCATENATE("Pool B-2nd ",'Pool Matches'!G94)</f>
      </c>
      <c r="J27" s="14" t="s">
        <v>338</v>
      </c>
      <c r="K27" s="14" t="s">
        <v>341</v>
      </c>
      <c r="L27" s="14"/>
      <c r="M27" s="14" t="s">
        <v>341</v>
      </c>
      <c r="N27" s="14" t="s">
        <v>338</v>
      </c>
      <c r="O27" s="14" t="str">
        <f>CONCATENATE("Pool Q-1st ",'Pool Matches'!O93)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344</v>
      </c>
      <c r="G31" s="19"/>
      <c r="N31" t="s">
        <v>344</v>
      </c>
      <c r="O31" s="19"/>
    </row>
    <row r="32">
      <c r="F32" t="s">
        <v>345</v>
      </c>
      <c r="G32" s="19"/>
      <c r="N32" t="s">
        <v>345</v>
      </c>
      <c r="O32"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338</v>
      </c>
      <c r="C43" s="14" t="s">
        <v>341</v>
      </c>
      <c r="D43" s="14"/>
      <c r="E43" s="14" t="s">
        <v>341</v>
      </c>
      <c r="F43" s="14" t="s">
        <v>338</v>
      </c>
      <c r="G43" s="14" t="str">
        <f>CONCATENATE("Pool C-1st ",'Pool Matches'!G136)</f>
      </c>
      <c r="I43" s="14" t="str">
        <f>CONCATENATE("Pool C-2nd ",'Pool Matches'!G137)</f>
      </c>
      <c r="J43" s="14" t="s">
        <v>338</v>
      </c>
      <c r="K43" s="14" t="s">
        <v>341</v>
      </c>
      <c r="L43" s="14"/>
      <c r="M43" s="14" t="s">
        <v>341</v>
      </c>
      <c r="N43" s="14" t="s">
        <v>338</v>
      </c>
      <c r="O43" s="14" t="str">
        <f>CONCATENATE("Pool R-1st ",'Pool Matches'!O136)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344</v>
      </c>
      <c r="G47" s="19"/>
      <c r="N47" t="s">
        <v>344</v>
      </c>
      <c r="O47" s="19"/>
    </row>
    <row r="48">
      <c r="F48" t="s">
        <v>345</v>
      </c>
      <c r="G48" s="19"/>
      <c r="N48" t="s">
        <v>345</v>
      </c>
      <c r="O48" s="19"/>
    </row>
    <row r="50">
      <c r="A50" s="13" t="s">
        <v>355</v>
      </c>
      <c r="B50" s="13"/>
      <c r="C50" s="13"/>
      <c r="D50" s="13"/>
      <c r="E50" s="13"/>
      <c r="F50" s="13"/>
      <c r="G50" s="13"/>
      <c r="I50" s="13" t="s">
        <v>356</v>
      </c>
      <c r="J50" s="13"/>
      <c r="K50" s="13"/>
      <c r="L50" s="13"/>
      <c r="M50" s="13"/>
      <c r="N50" s="13"/>
      <c r="O50" s="13"/>
    </row>
    <row r="51">
      <c r="A51" s="17" t="s">
        <v>330</v>
      </c>
      <c r="D51" s="14" t="s">
        <v>331</v>
      </c>
      <c r="G51" s="16" t="s">
        <v>332</v>
      </c>
      <c r="I51" s="17" t="s">
        <v>330</v>
      </c>
      <c r="L51" s="14" t="s">
        <v>331</v>
      </c>
      <c r="O51" s="16" t="s">
        <v>332</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338</v>
      </c>
      <c r="C59" s="14" t="s">
        <v>341</v>
      </c>
      <c r="D59" s="14"/>
      <c r="E59" s="14" t="s">
        <v>341</v>
      </c>
      <c r="F59" s="14" t="s">
        <v>338</v>
      </c>
      <c r="G59" s="14" t="str">
        <f>CONCATENATE("Pool D-1st ",'Pool Matches'!G179)</f>
      </c>
      <c r="I59" s="14" t="str">
        <f>CONCATENATE("Pool D-2nd ",'Pool Matches'!G180)</f>
      </c>
      <c r="J59" s="14" t="s">
        <v>338</v>
      </c>
      <c r="K59" s="14" t="s">
        <v>341</v>
      </c>
      <c r="L59" s="14"/>
      <c r="M59" s="14" t="s">
        <v>341</v>
      </c>
      <c r="N59" s="14" t="s">
        <v>338</v>
      </c>
      <c r="O59" s="14" t="str">
        <f>CONCATENATE("Pool S-1st ",'Pool Matches'!O179)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344</v>
      </c>
      <c r="G63" s="19"/>
      <c r="N63" t="s">
        <v>344</v>
      </c>
      <c r="O63" s="19"/>
    </row>
    <row r="64">
      <c r="F64" t="s">
        <v>345</v>
      </c>
      <c r="G64" s="19"/>
      <c r="N64" t="s">
        <v>345</v>
      </c>
      <c r="O64" s="19"/>
    </row>
    <row r="66">
      <c r="A66" s="13" t="s">
        <v>357</v>
      </c>
      <c r="B66" s="13"/>
      <c r="C66" s="13"/>
      <c r="D66" s="13"/>
      <c r="E66" s="13"/>
      <c r="F66" s="13"/>
      <c r="G66" s="13"/>
      <c r="I66" s="13" t="s">
        <v>358</v>
      </c>
      <c r="J66" s="13"/>
      <c r="K66" s="13"/>
      <c r="L66" s="13"/>
      <c r="M66" s="13"/>
      <c r="N66" s="13"/>
      <c r="O66" s="13"/>
    </row>
    <row r="67">
      <c r="A67" s="17" t="s">
        <v>330</v>
      </c>
      <c r="D67" s="14" t="s">
        <v>331</v>
      </c>
      <c r="G67" s="16" t="s">
        <v>332</v>
      </c>
      <c r="I67" s="17" t="s">
        <v>330</v>
      </c>
      <c r="L67" s="14" t="s">
        <v>331</v>
      </c>
      <c r="O67" s="16" t="s">
        <v>332</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338</v>
      </c>
      <c r="C75" s="14" t="s">
        <v>341</v>
      </c>
      <c r="D75" s="14"/>
      <c r="E75" s="14" t="s">
        <v>341</v>
      </c>
      <c r="F75" s="14" t="s">
        <v>338</v>
      </c>
      <c r="G75" s="14" t="str">
        <f>CONCATENATE("Pool E-1st ",'Pool Matches'!G222)</f>
      </c>
      <c r="I75" s="14" t="str">
        <f>CONCATENATE("Pool E-2nd ",'Pool Matches'!G223)</f>
      </c>
      <c r="J75" s="14" t="s">
        <v>338</v>
      </c>
      <c r="K75" s="14" t="s">
        <v>341</v>
      </c>
      <c r="L75" s="14"/>
      <c r="M75" s="14" t="s">
        <v>341</v>
      </c>
      <c r="N75" s="14" t="s">
        <v>338</v>
      </c>
      <c r="O75" s="14" t="str">
        <f>CONCATENATE("Pool T-1st ",'Pool Matches'!O222)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344</v>
      </c>
      <c r="G79" s="19"/>
      <c r="N79" t="s">
        <v>344</v>
      </c>
      <c r="O79" s="19"/>
    </row>
    <row r="80">
      <c r="F80" t="s">
        <v>345</v>
      </c>
      <c r="G80" s="19"/>
      <c r="N80" t="s">
        <v>345</v>
      </c>
      <c r="O80" s="19"/>
    </row>
    <row r="82">
      <c r="A82" s="13" t="s">
        <v>359</v>
      </c>
      <c r="B82" s="13"/>
      <c r="C82" s="13"/>
      <c r="D82" s="13"/>
      <c r="E82" s="13"/>
      <c r="F82" s="13"/>
      <c r="G82" s="13"/>
      <c r="I82" s="13" t="s">
        <v>360</v>
      </c>
      <c r="J82" s="13"/>
      <c r="K82" s="13"/>
      <c r="L82" s="13"/>
      <c r="M82" s="13"/>
      <c r="N82" s="13"/>
      <c r="O82" s="13"/>
    </row>
    <row r="83">
      <c r="A83" s="17" t="s">
        <v>330</v>
      </c>
      <c r="D83" s="14" t="s">
        <v>331</v>
      </c>
      <c r="G83" s="16" t="s">
        <v>332</v>
      </c>
      <c r="I83" s="17" t="s">
        <v>330</v>
      </c>
      <c r="L83" s="14" t="s">
        <v>331</v>
      </c>
      <c r="O83" s="16" t="s">
        <v>332</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338</v>
      </c>
      <c r="C91" s="14" t="s">
        <v>341</v>
      </c>
      <c r="D91" s="14"/>
      <c r="E91" s="14" t="s">
        <v>341</v>
      </c>
      <c r="F91" s="14" t="s">
        <v>338</v>
      </c>
      <c r="G91" s="14" t="str">
        <f>CONCATENATE("Pool F-1st ",'Pool Matches'!G265)</f>
      </c>
      <c r="I91" s="14" t="str">
        <f>CONCATENATE("Pool F-2nd ",'Pool Matches'!G266)</f>
      </c>
      <c r="J91" s="14" t="s">
        <v>338</v>
      </c>
      <c r="K91" s="14" t="s">
        <v>341</v>
      </c>
      <c r="L91" s="14"/>
      <c r="M91" s="14" t="s">
        <v>341</v>
      </c>
      <c r="N91" s="14" t="s">
        <v>338</v>
      </c>
      <c r="O91" s="14" t="str">
        <f>CONCATENATE("Pool U-1st ",'Pool Matches'!O265)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344</v>
      </c>
      <c r="G95" s="19"/>
      <c r="N95" t="s">
        <v>344</v>
      </c>
      <c r="O95" s="19"/>
    </row>
    <row r="96">
      <c r="F96" t="s">
        <v>345</v>
      </c>
      <c r="G96" s="19"/>
      <c r="N96" t="s">
        <v>345</v>
      </c>
      <c r="O96" s="19"/>
    </row>
    <row r="98">
      <c r="A98" s="13" t="s">
        <v>361</v>
      </c>
      <c r="B98" s="13"/>
      <c r="C98" s="13"/>
      <c r="D98" s="13"/>
      <c r="E98" s="13"/>
      <c r="F98" s="13"/>
      <c r="G98" s="13"/>
      <c r="I98" s="13" t="s">
        <v>362</v>
      </c>
      <c r="J98" s="13"/>
      <c r="K98" s="13"/>
      <c r="L98" s="13"/>
      <c r="M98" s="13"/>
      <c r="N98" s="13"/>
      <c r="O98" s="13"/>
    </row>
    <row r="99">
      <c r="A99" s="17" t="s">
        <v>330</v>
      </c>
      <c r="D99" s="14" t="s">
        <v>331</v>
      </c>
      <c r="G99" s="16" t="s">
        <v>332</v>
      </c>
      <c r="I99" s="17" t="s">
        <v>330</v>
      </c>
      <c r="L99" s="14" t="s">
        <v>331</v>
      </c>
      <c r="O99" s="16" t="s">
        <v>332</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338</v>
      </c>
      <c r="C107" s="14" t="s">
        <v>341</v>
      </c>
      <c r="D107" s="14"/>
      <c r="E107" s="14" t="s">
        <v>341</v>
      </c>
      <c r="F107" s="14" t="s">
        <v>338</v>
      </c>
      <c r="G107" s="14" t="str">
        <f>CONCATENATE("Pool G-1st ",'Pool Matches'!G308)</f>
      </c>
      <c r="I107" s="14" t="str">
        <f>CONCATENATE("Pool G-2nd ",'Pool Matches'!G309)</f>
      </c>
      <c r="J107" s="14" t="s">
        <v>338</v>
      </c>
      <c r="K107" s="14" t="s">
        <v>341</v>
      </c>
      <c r="L107" s="14"/>
      <c r="M107" s="14" t="s">
        <v>341</v>
      </c>
      <c r="N107" s="14" t="s">
        <v>338</v>
      </c>
      <c r="O107" s="14" t="str">
        <f>CONCATENATE("Pool V-1st ",'Pool Matches'!O308)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344</v>
      </c>
      <c r="G111" s="19"/>
      <c r="N111" t="s">
        <v>344</v>
      </c>
      <c r="O111" s="19"/>
    </row>
    <row r="112">
      <c r="F112" t="s">
        <v>345</v>
      </c>
      <c r="G112" s="19"/>
      <c r="N112" t="s">
        <v>345</v>
      </c>
      <c r="O112" s="19"/>
    </row>
    <row r="114">
      <c r="A114" s="13" t="s">
        <v>363</v>
      </c>
      <c r="B114" s="13"/>
      <c r="C114" s="13"/>
      <c r="D114" s="13"/>
      <c r="E114" s="13"/>
      <c r="F114" s="13"/>
      <c r="G114" s="13"/>
      <c r="I114" s="13" t="s">
        <v>364</v>
      </c>
      <c r="J114" s="13"/>
      <c r="K114" s="13"/>
      <c r="L114" s="13"/>
      <c r="M114" s="13"/>
      <c r="N114" s="13"/>
      <c r="O114" s="13"/>
    </row>
    <row r="115">
      <c r="A115" s="17" t="s">
        <v>330</v>
      </c>
      <c r="D115" s="14" t="s">
        <v>331</v>
      </c>
      <c r="G115" s="16" t="s">
        <v>332</v>
      </c>
      <c r="I115" s="17" t="s">
        <v>330</v>
      </c>
      <c r="L115" s="14" t="s">
        <v>331</v>
      </c>
      <c r="O115" s="16" t="s">
        <v>332</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338</v>
      </c>
      <c r="C123" s="14" t="s">
        <v>341</v>
      </c>
      <c r="D123" s="14"/>
      <c r="E123" s="14" t="s">
        <v>341</v>
      </c>
      <c r="F123" s="14" t="s">
        <v>338</v>
      </c>
      <c r="G123" s="14" t="str">
        <f>CONCATENATE("Pool H-1st ",'Pool Matches'!G351)</f>
      </c>
      <c r="I123" s="14" t="str">
        <f>CONCATENATE("Pool H-2nd ",'Pool Matches'!G352)</f>
      </c>
      <c r="J123" s="14" t="s">
        <v>338</v>
      </c>
      <c r="K123" s="14" t="s">
        <v>341</v>
      </c>
      <c r="L123" s="14"/>
      <c r="M123" s="14" t="s">
        <v>341</v>
      </c>
      <c r="N123" s="14" t="s">
        <v>338</v>
      </c>
      <c r="O123" s="14" t="str">
        <f>CONCATENATE("Pool W-1st ",'Pool Matches'!O351)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344</v>
      </c>
      <c r="G127" s="19"/>
      <c r="N127" t="s">
        <v>344</v>
      </c>
      <c r="O127" s="19"/>
    </row>
    <row r="128">
      <c r="F128" t="s">
        <v>345</v>
      </c>
      <c r="G128" s="19"/>
      <c r="N128" t="s">
        <v>345</v>
      </c>
      <c r="O128" s="19"/>
    </row>
    <row r="130">
      <c r="A130" s="13" t="s">
        <v>365</v>
      </c>
      <c r="B130" s="13"/>
      <c r="C130" s="13"/>
      <c r="D130" s="13"/>
      <c r="E130" s="13"/>
      <c r="F130" s="13"/>
      <c r="G130" s="13"/>
      <c r="I130" s="13" t="s">
        <v>366</v>
      </c>
      <c r="J130" s="13"/>
      <c r="K130" s="13"/>
      <c r="L130" s="13"/>
      <c r="M130" s="13"/>
      <c r="N130" s="13"/>
      <c r="O130" s="13"/>
    </row>
    <row r="131">
      <c r="A131" s="17" t="s">
        <v>330</v>
      </c>
      <c r="D131" s="14" t="s">
        <v>331</v>
      </c>
      <c r="G131" s="16" t="s">
        <v>332</v>
      </c>
      <c r="I131" s="17" t="s">
        <v>330</v>
      </c>
      <c r="L131" s="14" t="s">
        <v>331</v>
      </c>
      <c r="O131" s="16" t="s">
        <v>332</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338</v>
      </c>
      <c r="C139" s="14" t="s">
        <v>341</v>
      </c>
      <c r="D139" s="14"/>
      <c r="E139" s="14" t="s">
        <v>341</v>
      </c>
      <c r="F139" s="14" t="s">
        <v>338</v>
      </c>
      <c r="G139" s="14" t="str">
        <f>CONCATENATE("Pool I-1st ",'Pool Matches'!G394)</f>
      </c>
      <c r="I139" s="14" t="str">
        <f>CONCATENATE("Pool I-2nd ",'Pool Matches'!G395)</f>
      </c>
      <c r="J139" s="14" t="s">
        <v>338</v>
      </c>
      <c r="K139" s="14" t="s">
        <v>341</v>
      </c>
      <c r="L139" s="14"/>
      <c r="M139" s="14" t="s">
        <v>341</v>
      </c>
      <c r="N139" s="14" t="s">
        <v>338</v>
      </c>
      <c r="O139" s="14" t="str">
        <f>CONCATENATE("Pool X-1st ",'Pool Matches'!O394)</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344</v>
      </c>
      <c r="G143" s="19"/>
      <c r="N143" t="s">
        <v>344</v>
      </c>
      <c r="O143" s="19"/>
    </row>
    <row r="144">
      <c r="F144" t="s">
        <v>345</v>
      </c>
      <c r="G144" s="19"/>
      <c r="N144" t="s">
        <v>345</v>
      </c>
      <c r="O144" s="19"/>
    </row>
    <row r="146">
      <c r="A146" s="13" t="s">
        <v>367</v>
      </c>
      <c r="B146" s="13"/>
      <c r="C146" s="13"/>
      <c r="D146" s="13"/>
      <c r="E146" s="13"/>
      <c r="F146" s="13"/>
      <c r="G146" s="13"/>
      <c r="I146" s="13" t="s">
        <v>368</v>
      </c>
      <c r="J146" s="13"/>
      <c r="K146" s="13"/>
      <c r="L146" s="13"/>
      <c r="M146" s="13"/>
      <c r="N146" s="13"/>
      <c r="O146" s="13"/>
    </row>
    <row r="147">
      <c r="A147" s="17" t="s">
        <v>330</v>
      </c>
      <c r="D147" s="14" t="s">
        <v>331</v>
      </c>
      <c r="G147" s="16" t="s">
        <v>332</v>
      </c>
      <c r="I147" s="17" t="s">
        <v>330</v>
      </c>
      <c r="L147" s="14" t="s">
        <v>331</v>
      </c>
      <c r="O147" s="16" t="s">
        <v>332</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338</v>
      </c>
      <c r="C155" s="14" t="s">
        <v>341</v>
      </c>
      <c r="D155" s="14"/>
      <c r="E155" s="14" t="s">
        <v>341</v>
      </c>
      <c r="F155" s="14" t="s">
        <v>338</v>
      </c>
      <c r="G155" s="14" t="str">
        <f>CONCATENATE("Pool J-1st ",'Pool Matches'!G437)</f>
      </c>
      <c r="I155" s="14" t="str">
        <f>CONCATENATE("Pool J-2nd ",'Pool Matches'!G438)</f>
      </c>
      <c r="J155" s="14" t="s">
        <v>338</v>
      </c>
      <c r="K155" s="14" t="s">
        <v>341</v>
      </c>
      <c r="L155" s="14"/>
      <c r="M155" s="14" t="s">
        <v>341</v>
      </c>
      <c r="N155" s="14" t="s">
        <v>338</v>
      </c>
      <c r="O155" s="14" t="str">
        <f>CONCATENATE("Pool Y-1st ",'Pool Matches'!O437)</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344</v>
      </c>
      <c r="G159" s="19"/>
      <c r="N159" t="s">
        <v>344</v>
      </c>
      <c r="O159" s="19"/>
    </row>
    <row r="160">
      <c r="F160" t="s">
        <v>345</v>
      </c>
      <c r="G160" s="19"/>
      <c r="N160" t="s">
        <v>345</v>
      </c>
      <c r="O160" s="19"/>
    </row>
    <row r="162">
      <c r="A162" s="13" t="s">
        <v>369</v>
      </c>
      <c r="B162" s="13"/>
      <c r="C162" s="13"/>
      <c r="D162" s="13"/>
      <c r="E162" s="13"/>
      <c r="F162" s="13"/>
      <c r="G162" s="13"/>
      <c r="I162" s="13" t="s">
        <v>370</v>
      </c>
      <c r="J162" s="13"/>
      <c r="K162" s="13"/>
      <c r="L162" s="13"/>
      <c r="M162" s="13"/>
      <c r="N162" s="13"/>
      <c r="O162" s="13"/>
    </row>
    <row r="163">
      <c r="A163" s="17" t="s">
        <v>330</v>
      </c>
      <c r="D163" s="14" t="s">
        <v>331</v>
      </c>
      <c r="G163" s="16" t="s">
        <v>332</v>
      </c>
      <c r="I163" s="17" t="s">
        <v>330</v>
      </c>
      <c r="L163" s="14" t="s">
        <v>331</v>
      </c>
      <c r="O163" s="16" t="s">
        <v>332</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338</v>
      </c>
      <c r="C171" s="14" t="s">
        <v>341</v>
      </c>
      <c r="D171" s="14"/>
      <c r="E171" s="14" t="s">
        <v>341</v>
      </c>
      <c r="F171" s="14" t="s">
        <v>338</v>
      </c>
      <c r="G171" s="14" t="str">
        <f>CONCATENATE("Pool K-1st ",'Pool Matches'!G480)</f>
      </c>
      <c r="I171" s="14" t="str">
        <f>CONCATENATE("Pool K-2nd ",'Pool Matches'!G481)</f>
      </c>
      <c r="J171" s="14" t="s">
        <v>338</v>
      </c>
      <c r="K171" s="14" t="s">
        <v>341</v>
      </c>
      <c r="L171" s="14"/>
      <c r="M171" s="14" t="s">
        <v>341</v>
      </c>
      <c r="N171" s="14" t="s">
        <v>338</v>
      </c>
      <c r="O171" s="14" t="str">
        <f>CONCATENATE("Pool Z-1st ",'Pool Matches'!O480)</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344</v>
      </c>
      <c r="G175" s="19"/>
      <c r="N175" t="s">
        <v>344</v>
      </c>
      <c r="O175" s="19"/>
    </row>
    <row r="176">
      <c r="F176" t="s">
        <v>345</v>
      </c>
      <c r="G176" s="19"/>
      <c r="N176" t="s">
        <v>345</v>
      </c>
      <c r="O176" s="19"/>
    </row>
    <row r="178">
      <c r="A178" s="13" t="s">
        <v>371</v>
      </c>
      <c r="B178" s="13"/>
      <c r="C178" s="13"/>
      <c r="D178" s="13"/>
      <c r="E178" s="13"/>
      <c r="F178" s="13"/>
      <c r="G178" s="13"/>
      <c r="I178" s="13" t="s">
        <v>372</v>
      </c>
      <c r="J178" s="13"/>
      <c r="K178" s="13"/>
      <c r="L178" s="13"/>
      <c r="M178" s="13"/>
      <c r="N178" s="13"/>
      <c r="O178" s="13"/>
    </row>
    <row r="179">
      <c r="A179" s="17" t="s">
        <v>330</v>
      </c>
      <c r="D179" s="14" t="s">
        <v>331</v>
      </c>
      <c r="G179" s="16" t="s">
        <v>332</v>
      </c>
      <c r="I179" s="17" t="s">
        <v>330</v>
      </c>
      <c r="L179" s="14" t="s">
        <v>331</v>
      </c>
      <c r="O179" s="16" t="s">
        <v>332</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338</v>
      </c>
      <c r="C187" s="14" t="s">
        <v>341</v>
      </c>
      <c r="D187" s="14"/>
      <c r="E187" s="14" t="s">
        <v>341</v>
      </c>
      <c r="F187" s="14" t="s">
        <v>338</v>
      </c>
      <c r="G187" s="14" t="str">
        <f>CONCATENATE("Pool L-1st ",'Pool Matches'!G523)</f>
      </c>
      <c r="I187" s="14" t="str">
        <f>CONCATENATE("Pool L-2nd ",'Pool Matches'!G524)</f>
      </c>
      <c r="J187" s="14" t="s">
        <v>338</v>
      </c>
      <c r="K187" s="14" t="s">
        <v>341</v>
      </c>
      <c r="L187" s="14"/>
      <c r="M187" s="14" t="s">
        <v>341</v>
      </c>
      <c r="N187" s="14" t="s">
        <v>338</v>
      </c>
      <c r="O187" s="14" t="str">
        <f>CONCATENATE("Pool AA-1st ",'Pool Matches'!O523)</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344</v>
      </c>
      <c r="G191" s="19"/>
      <c r="N191" t="s">
        <v>344</v>
      </c>
      <c r="O191" s="19"/>
    </row>
    <row r="192">
      <c r="F192" t="s">
        <v>345</v>
      </c>
      <c r="G192" s="19"/>
      <c r="N192" t="s">
        <v>345</v>
      </c>
      <c r="O192" s="19"/>
    </row>
    <row r="194">
      <c r="A194" s="13" t="s">
        <v>373</v>
      </c>
      <c r="B194" s="13"/>
      <c r="C194" s="13"/>
      <c r="D194" s="13"/>
      <c r="E194" s="13"/>
      <c r="F194" s="13"/>
      <c r="G194" s="13"/>
      <c r="I194" s="13" t="s">
        <v>374</v>
      </c>
      <c r="J194" s="13"/>
      <c r="K194" s="13"/>
      <c r="L194" s="13"/>
      <c r="M194" s="13"/>
      <c r="N194" s="13"/>
      <c r="O194" s="13"/>
    </row>
    <row r="195">
      <c r="A195" s="17" t="s">
        <v>330</v>
      </c>
      <c r="D195" s="14" t="s">
        <v>331</v>
      </c>
      <c r="G195" s="16" t="s">
        <v>332</v>
      </c>
      <c r="I195" s="17" t="s">
        <v>330</v>
      </c>
      <c r="L195" s="14" t="s">
        <v>331</v>
      </c>
      <c r="O195" s="16" t="s">
        <v>332</v>
      </c>
    </row>
    <row r="196">
      <c r="A196" s="14" t="str">
        <f>CONCATENATE("Pool AB-2nd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AB-1st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AB-2nd ",'Pool Matches'!O567)</f>
      </c>
      <c r="B203" s="14" t="s">
        <v>338</v>
      </c>
      <c r="C203" s="14" t="s">
        <v>341</v>
      </c>
      <c r="D203" s="14"/>
      <c r="E203" s="14" t="s">
        <v>341</v>
      </c>
      <c r="F203" s="14" t="s">
        <v>338</v>
      </c>
      <c r="G203" s="14" t="str">
        <f>CONCATENATE("Pool M-1st ",'Pool Matches'!G566)</f>
      </c>
      <c r="I203" s="14" t="str">
        <f>CONCATENATE("Pool M-2nd ",'Pool Matches'!G567)</f>
      </c>
      <c r="J203" s="14" t="s">
        <v>338</v>
      </c>
      <c r="K203" s="14" t="s">
        <v>341</v>
      </c>
      <c r="L203" s="14"/>
      <c r="M203" s="14" t="s">
        <v>341</v>
      </c>
      <c r="N203" s="14" t="s">
        <v>338</v>
      </c>
      <c r="O203" s="14" t="str">
        <f>CONCATENATE("Pool AB-1st ",'Pool Matches'!O566)</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344</v>
      </c>
      <c r="G207" s="19"/>
      <c r="N207" t="s">
        <v>344</v>
      </c>
      <c r="O207" s="19"/>
    </row>
    <row r="208">
      <c r="F208" t="s">
        <v>345</v>
      </c>
      <c r="G208" s="19"/>
      <c r="N208" t="s">
        <v>345</v>
      </c>
      <c r="O208" s="19"/>
    </row>
    <row r="210">
      <c r="A210" s="13" t="s">
        <v>375</v>
      </c>
      <c r="B210" s="13"/>
      <c r="C210" s="13"/>
      <c r="D210" s="13"/>
      <c r="E210" s="13"/>
      <c r="F210" s="13"/>
      <c r="G210" s="13"/>
      <c r="I210" s="13" t="s">
        <v>376</v>
      </c>
      <c r="J210" s="13"/>
      <c r="K210" s="13"/>
      <c r="L210" s="13"/>
      <c r="M210" s="13"/>
      <c r="N210" s="13"/>
      <c r="O210" s="13"/>
    </row>
    <row r="211">
      <c r="A211" s="17" t="s">
        <v>330</v>
      </c>
      <c r="D211" s="14" t="s">
        <v>331</v>
      </c>
      <c r="G211" s="16" t="s">
        <v>332</v>
      </c>
      <c r="I211" s="17" t="s">
        <v>330</v>
      </c>
      <c r="L211" s="14" t="s">
        <v>331</v>
      </c>
      <c r="O211" s="16" t="s">
        <v>332</v>
      </c>
    </row>
    <row r="212">
      <c r="A212" s="14" t="str">
        <f>CONCATENATE("Pool AC-2nd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AC-1st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AC-2nd ",'Pool Matches'!O610)</f>
      </c>
      <c r="B219" s="14" t="s">
        <v>338</v>
      </c>
      <c r="C219" s="14" t="s">
        <v>341</v>
      </c>
      <c r="D219" s="14"/>
      <c r="E219" s="14" t="s">
        <v>341</v>
      </c>
      <c r="F219" s="14" t="s">
        <v>338</v>
      </c>
      <c r="G219" s="14" t="str">
        <f>CONCATENATE("Pool N-1st ",'Pool Matches'!G609)</f>
      </c>
      <c r="I219" s="14" t="str">
        <f>CONCATENATE("Pool N-2nd ",'Pool Matches'!G610)</f>
      </c>
      <c r="J219" s="14" t="s">
        <v>338</v>
      </c>
      <c r="K219" s="14" t="s">
        <v>341</v>
      </c>
      <c r="L219" s="14"/>
      <c r="M219" s="14" t="s">
        <v>341</v>
      </c>
      <c r="N219" s="14" t="s">
        <v>338</v>
      </c>
      <c r="O219" s="14" t="str">
        <f>CONCATENATE("Pool AC-1st ",'Pool Matches'!O609)</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344</v>
      </c>
      <c r="G223" s="19"/>
      <c r="N223" t="s">
        <v>344</v>
      </c>
      <c r="O223" s="19"/>
    </row>
    <row r="224">
      <c r="F224" t="s">
        <v>345</v>
      </c>
      <c r="G224" s="19"/>
      <c r="N224" t="s">
        <v>345</v>
      </c>
      <c r="O224" s="19"/>
    </row>
    <row r="226">
      <c r="A226" s="13" t="s">
        <v>377</v>
      </c>
      <c r="B226" s="13"/>
      <c r="C226" s="13"/>
      <c r="D226" s="13"/>
      <c r="E226" s="13"/>
      <c r="F226" s="13"/>
      <c r="G226" s="13"/>
      <c r="I226" s="13" t="s">
        <v>378</v>
      </c>
      <c r="J226" s="13"/>
      <c r="K226" s="13"/>
      <c r="L226" s="13"/>
      <c r="M226" s="13"/>
      <c r="N226" s="13"/>
      <c r="O226" s="13"/>
    </row>
    <row r="227">
      <c r="A227" s="17" t="s">
        <v>330</v>
      </c>
      <c r="D227" s="14" t="s">
        <v>331</v>
      </c>
      <c r="G227" s="16" t="s">
        <v>332</v>
      </c>
      <c r="I227" s="17" t="s">
        <v>330</v>
      </c>
      <c r="L227" s="14" t="s">
        <v>331</v>
      </c>
      <c r="O227" s="16" t="s">
        <v>332</v>
      </c>
    </row>
    <row r="228">
      <c r="A228" s="14" t="str">
        <f>CONCATENATE("Pool AD-2nd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AD-1st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AD-2nd ",'Pool Matches'!O653)</f>
      </c>
      <c r="B235" s="14" t="s">
        <v>338</v>
      </c>
      <c r="C235" s="14" t="s">
        <v>341</v>
      </c>
      <c r="D235" s="14"/>
      <c r="E235" s="14" t="s">
        <v>341</v>
      </c>
      <c r="F235" s="14" t="s">
        <v>338</v>
      </c>
      <c r="G235" s="14" t="str">
        <f>CONCATENATE("Pool O-1st ",'Pool Matches'!G652)</f>
      </c>
      <c r="I235" s="14" t="str">
        <f>CONCATENATE("Pool O-2nd ",'Pool Matches'!G653)</f>
      </c>
      <c r="J235" s="14" t="s">
        <v>338</v>
      </c>
      <c r="K235" s="14" t="s">
        <v>341</v>
      </c>
      <c r="L235" s="14"/>
      <c r="M235" s="14" t="s">
        <v>341</v>
      </c>
      <c r="N235" s="14" t="s">
        <v>338</v>
      </c>
      <c r="O235" s="14" t="str">
        <f>CONCATENATE("Pool AD-1st ",'Pool Matches'!O652)</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344</v>
      </c>
      <c r="G239" s="19"/>
      <c r="N239" t="s">
        <v>344</v>
      </c>
      <c r="O239" s="19"/>
    </row>
    <row r="240">
      <c r="F240" t="s">
        <v>345</v>
      </c>
      <c r="G240" s="19"/>
      <c r="N240" t="s">
        <v>345</v>
      </c>
      <c r="O240" s="19"/>
    </row>
    <row r="247">
      <c r="A247" s="13" t="s">
        <v>379</v>
      </c>
      <c r="B247" s="13"/>
      <c r="C247" s="13"/>
      <c r="D247" s="13"/>
      <c r="E247" s="13"/>
      <c r="F247" s="13"/>
      <c r="G247" s="13"/>
      <c r="I247" s="13" t="s">
        <v>380</v>
      </c>
      <c r="J247" s="13"/>
      <c r="K247" s="13"/>
      <c r="L247" s="13"/>
      <c r="M247" s="13"/>
      <c r="N247" s="13"/>
      <c r="O247" s="13"/>
    </row>
    <row r="248">
      <c r="A248" s="17" t="s">
        <v>330</v>
      </c>
      <c r="D248" s="14" t="s">
        <v>331</v>
      </c>
      <c r="G248" s="16" t="s">
        <v>332</v>
      </c>
      <c r="I248" s="17" t="s">
        <v>330</v>
      </c>
      <c r="L248" s="14" t="s">
        <v>331</v>
      </c>
      <c r="O248" s="16" t="s">
        <v>332</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338</v>
      </c>
      <c r="C256" s="14" t="s">
        <v>341</v>
      </c>
      <c r="D256" s="14"/>
      <c r="E256" s="14" t="s">
        <v>341</v>
      </c>
      <c r="F256" s="14" t="s">
        <v>338</v>
      </c>
      <c r="G256" s="14" t="str">
        <f>CONCATENATE("M 1 ",G15)</f>
      </c>
      <c r="I256" s="14" t="str">
        <f>CONCATENATE("M 17 ",O31)</f>
      </c>
      <c r="J256" s="14" t="s">
        <v>338</v>
      </c>
      <c r="K256" s="14" t="s">
        <v>341</v>
      </c>
      <c r="L256" s="14"/>
      <c r="M256" s="14" t="s">
        <v>341</v>
      </c>
      <c r="N256" s="14" t="s">
        <v>338</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344</v>
      </c>
      <c r="G260" s="19"/>
      <c r="N260" t="s">
        <v>344</v>
      </c>
      <c r="O260" s="19"/>
    </row>
    <row r="261">
      <c r="F261" t="s">
        <v>345</v>
      </c>
      <c r="G261" s="19"/>
      <c r="N261" t="s">
        <v>345</v>
      </c>
      <c r="O261" s="19"/>
    </row>
    <row r="263">
      <c r="A263" s="13" t="s">
        <v>381</v>
      </c>
      <c r="B263" s="13"/>
      <c r="C263" s="13"/>
      <c r="D263" s="13"/>
      <c r="E263" s="13"/>
      <c r="F263" s="13"/>
      <c r="G263" s="13"/>
      <c r="I263" s="13" t="s">
        <v>382</v>
      </c>
      <c r="J263" s="13"/>
      <c r="K263" s="13"/>
      <c r="L263" s="13"/>
      <c r="M263" s="13"/>
      <c r="N263" s="13"/>
      <c r="O263" s="13"/>
    </row>
    <row r="264">
      <c r="A264" s="17" t="s">
        <v>330</v>
      </c>
      <c r="D264" s="14" t="s">
        <v>331</v>
      </c>
      <c r="G264" s="16" t="s">
        <v>332</v>
      </c>
      <c r="I264" s="17" t="s">
        <v>330</v>
      </c>
      <c r="L264" s="14" t="s">
        <v>331</v>
      </c>
      <c r="O264" s="16" t="s">
        <v>332</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338</v>
      </c>
      <c r="C272" s="14" t="s">
        <v>341</v>
      </c>
      <c r="D272" s="14"/>
      <c r="E272" s="14" t="s">
        <v>341</v>
      </c>
      <c r="F272" s="14" t="s">
        <v>338</v>
      </c>
      <c r="G272" s="14" t="str">
        <f>CONCATENATE("M 3 ",G47)</f>
      </c>
      <c r="I272" s="14" t="str">
        <f>CONCATENATE("M 19 ",O63)</f>
      </c>
      <c r="J272" s="14" t="s">
        <v>338</v>
      </c>
      <c r="K272" s="14" t="s">
        <v>341</v>
      </c>
      <c r="L272" s="14"/>
      <c r="M272" s="14" t="s">
        <v>341</v>
      </c>
      <c r="N272" s="14" t="s">
        <v>338</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344</v>
      </c>
      <c r="G276" s="19"/>
      <c r="N276" t="s">
        <v>344</v>
      </c>
      <c r="O276" s="19"/>
    </row>
    <row r="277">
      <c r="F277" t="s">
        <v>345</v>
      </c>
      <c r="G277" s="19"/>
      <c r="N277" t="s">
        <v>345</v>
      </c>
      <c r="O277" s="19"/>
    </row>
    <row r="279">
      <c r="A279" s="13" t="s">
        <v>383</v>
      </c>
      <c r="B279" s="13"/>
      <c r="C279" s="13"/>
      <c r="D279" s="13"/>
      <c r="E279" s="13"/>
      <c r="F279" s="13"/>
      <c r="G279" s="13"/>
      <c r="I279" s="13" t="s">
        <v>384</v>
      </c>
      <c r="J279" s="13"/>
      <c r="K279" s="13"/>
      <c r="L279" s="13"/>
      <c r="M279" s="13"/>
      <c r="N279" s="13"/>
      <c r="O279" s="13"/>
    </row>
    <row r="280">
      <c r="A280" s="17" t="s">
        <v>330</v>
      </c>
      <c r="D280" s="14" t="s">
        <v>331</v>
      </c>
      <c r="G280" s="16" t="s">
        <v>332</v>
      </c>
      <c r="I280" s="17" t="s">
        <v>330</v>
      </c>
      <c r="L280" s="14" t="s">
        <v>331</v>
      </c>
      <c r="O280" s="16" t="s">
        <v>332</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338</v>
      </c>
      <c r="C288" s="14" t="s">
        <v>341</v>
      </c>
      <c r="D288" s="14"/>
      <c r="E288" s="14" t="s">
        <v>341</v>
      </c>
      <c r="F288" s="14" t="s">
        <v>338</v>
      </c>
      <c r="G288" s="14" t="str">
        <f>CONCATENATE("M 5 ",G79)</f>
      </c>
      <c r="I288" s="14" t="str">
        <f>CONCATENATE("M 21 ",O95)</f>
      </c>
      <c r="J288" s="14" t="s">
        <v>338</v>
      </c>
      <c r="K288" s="14" t="s">
        <v>341</v>
      </c>
      <c r="L288" s="14"/>
      <c r="M288" s="14" t="s">
        <v>341</v>
      </c>
      <c r="N288" s="14" t="s">
        <v>338</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344</v>
      </c>
      <c r="G292" s="19"/>
      <c r="N292" t="s">
        <v>344</v>
      </c>
      <c r="O292" s="19"/>
    </row>
    <row r="293">
      <c r="F293" t="s">
        <v>345</v>
      </c>
      <c r="G293" s="19"/>
      <c r="N293" t="s">
        <v>345</v>
      </c>
      <c r="O293" s="19"/>
    </row>
    <row r="295">
      <c r="A295" s="13" t="s">
        <v>385</v>
      </c>
      <c r="B295" s="13"/>
      <c r="C295" s="13"/>
      <c r="D295" s="13"/>
      <c r="E295" s="13"/>
      <c r="F295" s="13"/>
      <c r="G295" s="13"/>
      <c r="I295" s="13" t="s">
        <v>386</v>
      </c>
      <c r="J295" s="13"/>
      <c r="K295" s="13"/>
      <c r="L295" s="13"/>
      <c r="M295" s="13"/>
      <c r="N295" s="13"/>
      <c r="O295" s="13"/>
    </row>
    <row r="296">
      <c r="A296" s="17" t="s">
        <v>330</v>
      </c>
      <c r="D296" s="14" t="s">
        <v>331</v>
      </c>
      <c r="G296" s="16" t="s">
        <v>332</v>
      </c>
      <c r="I296" s="17" t="s">
        <v>330</v>
      </c>
      <c r="L296" s="14" t="s">
        <v>331</v>
      </c>
      <c r="O296" s="16" t="s">
        <v>332</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338</v>
      </c>
      <c r="C304" s="14" t="s">
        <v>341</v>
      </c>
      <c r="D304" s="14"/>
      <c r="E304" s="14" t="s">
        <v>341</v>
      </c>
      <c r="F304" s="14" t="s">
        <v>338</v>
      </c>
      <c r="G304" s="14" t="str">
        <f>CONCATENATE("M 7 ",G111)</f>
      </c>
      <c r="I304" s="14" t="str">
        <f>CONCATENATE("M 23 ",O127)</f>
      </c>
      <c r="J304" s="14" t="s">
        <v>338</v>
      </c>
      <c r="K304" s="14" t="s">
        <v>341</v>
      </c>
      <c r="L304" s="14"/>
      <c r="M304" s="14" t="s">
        <v>341</v>
      </c>
      <c r="N304" s="14" t="s">
        <v>338</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344</v>
      </c>
      <c r="G308" s="19"/>
      <c r="N308" t="s">
        <v>344</v>
      </c>
      <c r="O308" s="19"/>
    </row>
    <row r="309">
      <c r="F309" t="s">
        <v>345</v>
      </c>
      <c r="G309" s="19"/>
      <c r="N309" t="s">
        <v>345</v>
      </c>
      <c r="O309" s="19"/>
    </row>
    <row r="311">
      <c r="A311" s="13" t="s">
        <v>387</v>
      </c>
      <c r="B311" s="13"/>
      <c r="C311" s="13"/>
      <c r="D311" s="13"/>
      <c r="E311" s="13"/>
      <c r="F311" s="13"/>
      <c r="G311" s="13"/>
      <c r="I311" s="13" t="s">
        <v>388</v>
      </c>
      <c r="J311" s="13"/>
      <c r="K311" s="13"/>
      <c r="L311" s="13"/>
      <c r="M311" s="13"/>
      <c r="N311" s="13"/>
      <c r="O311" s="13"/>
    </row>
    <row r="312">
      <c r="A312" s="17" t="s">
        <v>330</v>
      </c>
      <c r="D312" s="14" t="s">
        <v>331</v>
      </c>
      <c r="G312" s="16" t="s">
        <v>332</v>
      </c>
      <c r="I312" s="17" t="s">
        <v>330</v>
      </c>
      <c r="L312" s="14" t="s">
        <v>331</v>
      </c>
      <c r="O312" s="16" t="s">
        <v>332</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338</v>
      </c>
      <c r="C320" s="14" t="s">
        <v>341</v>
      </c>
      <c r="D320" s="14"/>
      <c r="E320" s="14" t="s">
        <v>341</v>
      </c>
      <c r="F320" s="14" t="s">
        <v>338</v>
      </c>
      <c r="G320" s="14" t="str">
        <f>CONCATENATE("M 9 ",G143)</f>
      </c>
      <c r="I320" s="14" t="str">
        <f>CONCATENATE("M 25 ",O159)</f>
      </c>
      <c r="J320" s="14" t="s">
        <v>338</v>
      </c>
      <c r="K320" s="14" t="s">
        <v>341</v>
      </c>
      <c r="L320" s="14"/>
      <c r="M320" s="14" t="s">
        <v>341</v>
      </c>
      <c r="N320" s="14" t="s">
        <v>338</v>
      </c>
      <c r="O320" s="14" t="str">
        <f>CONCATENATE("M 24 ",O143)</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344</v>
      </c>
      <c r="G324" s="19"/>
      <c r="N324" t="s">
        <v>344</v>
      </c>
      <c r="O324" s="19"/>
    </row>
    <row r="325">
      <c r="F325" t="s">
        <v>345</v>
      </c>
      <c r="G325" s="19"/>
      <c r="N325" t="s">
        <v>345</v>
      </c>
      <c r="O325" s="19"/>
    </row>
    <row r="327">
      <c r="A327" s="13" t="s">
        <v>389</v>
      </c>
      <c r="B327" s="13"/>
      <c r="C327" s="13"/>
      <c r="D327" s="13"/>
      <c r="E327" s="13"/>
      <c r="F327" s="13"/>
      <c r="G327" s="13"/>
      <c r="I327" s="13" t="s">
        <v>390</v>
      </c>
      <c r="J327" s="13"/>
      <c r="K327" s="13"/>
      <c r="L327" s="13"/>
      <c r="M327" s="13"/>
      <c r="N327" s="13"/>
      <c r="O327" s="13"/>
    </row>
    <row r="328">
      <c r="A328" s="17" t="s">
        <v>330</v>
      </c>
      <c r="D328" s="14" t="s">
        <v>331</v>
      </c>
      <c r="G328" s="16" t="s">
        <v>332</v>
      </c>
      <c r="I328" s="17" t="s">
        <v>330</v>
      </c>
      <c r="L328" s="14" t="s">
        <v>331</v>
      </c>
      <c r="O328" s="16" t="s">
        <v>332</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338</v>
      </c>
      <c r="C336" s="14" t="s">
        <v>341</v>
      </c>
      <c r="D336" s="14"/>
      <c r="E336" s="14" t="s">
        <v>341</v>
      </c>
      <c r="F336" s="14" t="s">
        <v>338</v>
      </c>
      <c r="G336" s="14" t="str">
        <f>CONCATENATE("M 11 ",G175)</f>
      </c>
      <c r="I336" s="14" t="str">
        <f>CONCATENATE("M 27 ",O191)</f>
      </c>
      <c r="J336" s="14" t="s">
        <v>338</v>
      </c>
      <c r="K336" s="14" t="s">
        <v>341</v>
      </c>
      <c r="L336" s="14"/>
      <c r="M336" s="14" t="s">
        <v>341</v>
      </c>
      <c r="N336" s="14" t="s">
        <v>338</v>
      </c>
      <c r="O336" s="14" t="str">
        <f>CONCATENATE("M 26 ",O175)</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344</v>
      </c>
      <c r="G340" s="19"/>
      <c r="N340" t="s">
        <v>344</v>
      </c>
      <c r="O340" s="19"/>
    </row>
    <row r="341">
      <c r="F341" t="s">
        <v>345</v>
      </c>
      <c r="G341" s="19"/>
      <c r="N341" t="s">
        <v>345</v>
      </c>
      <c r="O341" s="19"/>
    </row>
    <row r="343">
      <c r="A343" s="13" t="s">
        <v>391</v>
      </c>
      <c r="B343" s="13"/>
      <c r="C343" s="13"/>
      <c r="D343" s="13"/>
      <c r="E343" s="13"/>
      <c r="F343" s="13"/>
      <c r="G343" s="13"/>
      <c r="I343" s="13" t="s">
        <v>392</v>
      </c>
      <c r="J343" s="13"/>
      <c r="K343" s="13"/>
      <c r="L343" s="13"/>
      <c r="M343" s="13"/>
      <c r="N343" s="13"/>
      <c r="O343" s="13"/>
    </row>
    <row r="344">
      <c r="A344" s="17" t="s">
        <v>330</v>
      </c>
      <c r="D344" s="14" t="s">
        <v>331</v>
      </c>
      <c r="G344" s="16" t="s">
        <v>332</v>
      </c>
      <c r="I344" s="17" t="s">
        <v>330</v>
      </c>
      <c r="L344" s="14" t="s">
        <v>331</v>
      </c>
      <c r="O344" s="16" t="s">
        <v>332</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338</v>
      </c>
      <c r="C352" s="14" t="s">
        <v>341</v>
      </c>
      <c r="D352" s="14"/>
      <c r="E352" s="14" t="s">
        <v>341</v>
      </c>
      <c r="F352" s="14" t="s">
        <v>338</v>
      </c>
      <c r="G352" s="14" t="str">
        <f>CONCATENATE("M 13 ",G207)</f>
      </c>
      <c r="I352" s="14" t="str">
        <f>CONCATENATE("M 29 ",O223)</f>
      </c>
      <c r="J352" s="14" t="s">
        <v>338</v>
      </c>
      <c r="K352" s="14" t="s">
        <v>341</v>
      </c>
      <c r="L352" s="14"/>
      <c r="M352" s="14" t="s">
        <v>341</v>
      </c>
      <c r="N352" s="14" t="s">
        <v>338</v>
      </c>
      <c r="O352" s="14" t="str">
        <f>CONCATENATE("M 28 ",O207)</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344</v>
      </c>
      <c r="G356" s="19"/>
      <c r="N356" t="s">
        <v>344</v>
      </c>
      <c r="O356" s="19"/>
    </row>
    <row r="357">
      <c r="F357" t="s">
        <v>345</v>
      </c>
      <c r="G357" s="19"/>
      <c r="N357" t="s">
        <v>345</v>
      </c>
      <c r="O357" s="19"/>
    </row>
    <row r="364">
      <c r="A364" s="13" t="s">
        <v>393</v>
      </c>
      <c r="B364" s="13"/>
      <c r="C364" s="13"/>
      <c r="D364" s="13"/>
      <c r="E364" s="13"/>
      <c r="F364" s="13"/>
      <c r="G364" s="13"/>
      <c r="I364" s="13" t="s">
        <v>394</v>
      </c>
      <c r="J364" s="13"/>
      <c r="K364" s="13"/>
      <c r="L364" s="13"/>
      <c r="M364" s="13"/>
      <c r="N364" s="13"/>
      <c r="O364" s="13"/>
    </row>
    <row r="365">
      <c r="A365" s="17" t="s">
        <v>330</v>
      </c>
      <c r="D365" s="14" t="s">
        <v>331</v>
      </c>
      <c r="G365" s="16" t="s">
        <v>332</v>
      </c>
      <c r="I365" s="17" t="s">
        <v>330</v>
      </c>
      <c r="L365" s="14" t="s">
        <v>331</v>
      </c>
      <c r="O365" s="16" t="s">
        <v>332</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338</v>
      </c>
      <c r="C373" s="14" t="s">
        <v>341</v>
      </c>
      <c r="D373" s="14"/>
      <c r="E373" s="14" t="s">
        <v>341</v>
      </c>
      <c r="F373" s="14" t="s">
        <v>338</v>
      </c>
      <c r="G373" s="14" t="str">
        <f>CONCATENATE("M 31 ",G260)</f>
      </c>
      <c r="I373" s="14" t="str">
        <f>CONCATENATE("M 39 ",O276)</f>
      </c>
      <c r="J373" s="14" t="s">
        <v>338</v>
      </c>
      <c r="K373" s="14" t="s">
        <v>341</v>
      </c>
      <c r="L373" s="14"/>
      <c r="M373" s="14" t="s">
        <v>341</v>
      </c>
      <c r="N373" s="14" t="s">
        <v>338</v>
      </c>
      <c r="O373" s="14" t="str">
        <f>CONCATENATE("M 38 ",O260)</f>
      </c>
    </row>
    <row r="374">
      <c r="A374" s="14" t="s">
        <v>349</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349</v>
      </c>
      <c r="I374" s="14" t="s">
        <v>349</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349</v>
      </c>
    </row>
    <row r="377">
      <c r="F377" t="s">
        <v>344</v>
      </c>
      <c r="G377" s="19"/>
      <c r="N377" t="s">
        <v>344</v>
      </c>
      <c r="O377" s="19"/>
    </row>
    <row r="378">
      <c r="F378" t="s">
        <v>345</v>
      </c>
      <c r="G378" s="19"/>
      <c r="N378" t="s">
        <v>345</v>
      </c>
      <c r="O378" s="19"/>
    </row>
    <row r="380">
      <c r="A380" s="13" t="s">
        <v>395</v>
      </c>
      <c r="B380" s="13"/>
      <c r="C380" s="13"/>
      <c r="D380" s="13"/>
      <c r="E380" s="13"/>
      <c r="F380" s="13"/>
      <c r="G380" s="13"/>
      <c r="I380" s="13" t="s">
        <v>396</v>
      </c>
      <c r="J380" s="13"/>
      <c r="K380" s="13"/>
      <c r="L380" s="13"/>
      <c r="M380" s="13"/>
      <c r="N380" s="13"/>
      <c r="O380" s="13"/>
    </row>
    <row r="381">
      <c r="A381" s="17" t="s">
        <v>330</v>
      </c>
      <c r="D381" s="14" t="s">
        <v>331</v>
      </c>
      <c r="G381" s="16" t="s">
        <v>332</v>
      </c>
      <c r="I381" s="17" t="s">
        <v>330</v>
      </c>
      <c r="L381" s="14" t="s">
        <v>331</v>
      </c>
      <c r="O381" s="16" t="s">
        <v>332</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338</v>
      </c>
      <c r="C389" s="14" t="s">
        <v>341</v>
      </c>
      <c r="D389" s="14"/>
      <c r="E389" s="14" t="s">
        <v>341</v>
      </c>
      <c r="F389" s="14" t="s">
        <v>338</v>
      </c>
      <c r="G389" s="14" t="str">
        <f>CONCATENATE("M 33 ",G292)</f>
      </c>
      <c r="I389" s="14" t="str">
        <f>CONCATENATE("M 41 ",O308)</f>
      </c>
      <c r="J389" s="14" t="s">
        <v>338</v>
      </c>
      <c r="K389" s="14" t="s">
        <v>341</v>
      </c>
      <c r="L389" s="14"/>
      <c r="M389" s="14" t="s">
        <v>341</v>
      </c>
      <c r="N389" s="14" t="s">
        <v>338</v>
      </c>
      <c r="O389" s="14" t="str">
        <f>CONCATENATE("M 40 ",O292)</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344</v>
      </c>
      <c r="G393" s="19"/>
      <c r="N393" t="s">
        <v>344</v>
      </c>
      <c r="O393" s="19"/>
    </row>
    <row r="394">
      <c r="F394" t="s">
        <v>345</v>
      </c>
      <c r="G394" s="19"/>
      <c r="N394" t="s">
        <v>345</v>
      </c>
      <c r="O394" s="19"/>
    </row>
    <row r="396">
      <c r="A396" s="13" t="s">
        <v>397</v>
      </c>
      <c r="B396" s="13"/>
      <c r="C396" s="13"/>
      <c r="D396" s="13"/>
      <c r="E396" s="13"/>
      <c r="F396" s="13"/>
      <c r="G396" s="13"/>
      <c r="I396" s="13" t="s">
        <v>398</v>
      </c>
      <c r="J396" s="13"/>
      <c r="K396" s="13"/>
      <c r="L396" s="13"/>
      <c r="M396" s="13"/>
      <c r="N396" s="13"/>
      <c r="O396" s="13"/>
    </row>
    <row r="397">
      <c r="A397" s="17" t="s">
        <v>330</v>
      </c>
      <c r="D397" s="14" t="s">
        <v>331</v>
      </c>
      <c r="G397" s="16" t="s">
        <v>332</v>
      </c>
      <c r="I397" s="17" t="s">
        <v>330</v>
      </c>
      <c r="L397" s="14" t="s">
        <v>331</v>
      </c>
      <c r="O397" s="16" t="s">
        <v>332</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338</v>
      </c>
      <c r="C405" s="14" t="s">
        <v>341</v>
      </c>
      <c r="D405" s="14"/>
      <c r="E405" s="14" t="s">
        <v>341</v>
      </c>
      <c r="F405" s="14" t="s">
        <v>338</v>
      </c>
      <c r="G405" s="14" t="str">
        <f>CONCATENATE("M 35 ",G324)</f>
      </c>
      <c r="I405" s="14" t="str">
        <f>CONCATENATE("M 43 ",O340)</f>
      </c>
      <c r="J405" s="14" t="s">
        <v>338</v>
      </c>
      <c r="K405" s="14" t="s">
        <v>341</v>
      </c>
      <c r="L405" s="14"/>
      <c r="M405" s="14" t="s">
        <v>341</v>
      </c>
      <c r="N405" s="14" t="s">
        <v>338</v>
      </c>
      <c r="O405" s="14" t="str">
        <f>CONCATENATE("M 42 ",O324)</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344</v>
      </c>
      <c r="G409" s="19"/>
      <c r="N409" t="s">
        <v>344</v>
      </c>
      <c r="O409" s="19"/>
    </row>
    <row r="410">
      <c r="F410" t="s">
        <v>345</v>
      </c>
      <c r="G410" s="19"/>
      <c r="N410" t="s">
        <v>345</v>
      </c>
      <c r="O410" s="19"/>
    </row>
    <row r="412">
      <c r="A412" s="13" t="s">
        <v>399</v>
      </c>
      <c r="B412" s="13"/>
      <c r="C412" s="13"/>
      <c r="D412" s="13"/>
      <c r="E412" s="13"/>
      <c r="F412" s="13"/>
      <c r="G412" s="13"/>
      <c r="I412" s="13" t="s">
        <v>400</v>
      </c>
      <c r="J412" s="13"/>
      <c r="K412" s="13"/>
      <c r="L412" s="13"/>
      <c r="M412" s="13"/>
      <c r="N412" s="13"/>
      <c r="O412" s="13"/>
    </row>
    <row r="413">
      <c r="A413" s="17" t="s">
        <v>330</v>
      </c>
      <c r="D413" s="14" t="s">
        <v>331</v>
      </c>
      <c r="G413" s="16" t="s">
        <v>332</v>
      </c>
      <c r="I413" s="17" t="s">
        <v>330</v>
      </c>
      <c r="L413" s="14" t="s">
        <v>331</v>
      </c>
      <c r="O413" s="16" t="s">
        <v>332</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338</v>
      </c>
      <c r="C421" s="14" t="s">
        <v>341</v>
      </c>
      <c r="D421" s="14"/>
      <c r="E421" s="14" t="s">
        <v>341</v>
      </c>
      <c r="F421" s="14" t="s">
        <v>338</v>
      </c>
      <c r="G421" s="14" t="str">
        <f>CONCATENATE("M 37 ",G356)</f>
      </c>
      <c r="I421" s="14" t="str">
        <f>CONCATENATE("M 30 ",O239)</f>
      </c>
      <c r="J421" s="14" t="s">
        <v>338</v>
      </c>
      <c r="K421" s="14" t="s">
        <v>341</v>
      </c>
      <c r="L421" s="14"/>
      <c r="M421" s="14" t="s">
        <v>341</v>
      </c>
      <c r="N421" s="14" t="s">
        <v>338</v>
      </c>
      <c r="O421" s="14" t="str">
        <f>CONCATENATE("M 44 ",O356)</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344</v>
      </c>
      <c r="G425" s="19"/>
      <c r="N425" t="s">
        <v>344</v>
      </c>
      <c r="O425" s="19"/>
    </row>
    <row r="426">
      <c r="F426" t="s">
        <v>345</v>
      </c>
      <c r="G426" s="19"/>
      <c r="N426" t="s">
        <v>345</v>
      </c>
      <c r="O426" s="19"/>
    </row>
    <row r="433">
      <c r="A433" s="13" t="s">
        <v>401</v>
      </c>
      <c r="B433" s="13"/>
      <c r="C433" s="13"/>
      <c r="D433" s="13"/>
      <c r="E433" s="13"/>
      <c r="F433" s="13"/>
      <c r="G433" s="13"/>
      <c r="I433" s="13" t="s">
        <v>402</v>
      </c>
      <c r="J433" s="13"/>
      <c r="K433" s="13"/>
      <c r="L433" s="13"/>
      <c r="M433" s="13"/>
      <c r="N433" s="13"/>
      <c r="O433" s="13"/>
    </row>
    <row r="434">
      <c r="A434" s="17" t="s">
        <v>330</v>
      </c>
      <c r="D434" s="14" t="s">
        <v>331</v>
      </c>
      <c r="G434" s="16" t="s">
        <v>332</v>
      </c>
      <c r="I434" s="17" t="s">
        <v>330</v>
      </c>
      <c r="L434" s="14" t="s">
        <v>331</v>
      </c>
      <c r="O434" s="16" t="s">
        <v>332</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338</v>
      </c>
      <c r="C442" s="14" t="s">
        <v>341</v>
      </c>
      <c r="D442" s="14"/>
      <c r="E442" s="14" t="s">
        <v>341</v>
      </c>
      <c r="F442" s="14" t="s">
        <v>338</v>
      </c>
      <c r="G442" s="14" t="str">
        <f>CONCATENATE("M 45 ",G377)</f>
      </c>
      <c r="I442" s="14" t="str">
        <f>CONCATENATE("M 50 ",O393)</f>
      </c>
      <c r="J442" s="14" t="s">
        <v>338</v>
      </c>
      <c r="K442" s="14" t="s">
        <v>341</v>
      </c>
      <c r="L442" s="14"/>
      <c r="M442" s="14" t="s">
        <v>341</v>
      </c>
      <c r="N442" s="14" t="s">
        <v>338</v>
      </c>
      <c r="O442" s="14" t="str">
        <f>CONCATENATE("M 49 ",O377)</f>
      </c>
    </row>
    <row r="443">
      <c r="A443" s="14" t="s">
        <v>349</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349</v>
      </c>
      <c r="I443" s="14" t="s">
        <v>349</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349</v>
      </c>
    </row>
    <row r="446">
      <c r="F446" t="s">
        <v>344</v>
      </c>
      <c r="G446" s="19"/>
      <c r="N446" t="s">
        <v>344</v>
      </c>
      <c r="O446" s="19"/>
    </row>
    <row r="447">
      <c r="F447" t="s">
        <v>345</v>
      </c>
      <c r="G447" s="19"/>
      <c r="N447" t="s">
        <v>345</v>
      </c>
      <c r="O447" s="19"/>
    </row>
    <row r="449">
      <c r="A449" s="13" t="s">
        <v>403</v>
      </c>
      <c r="B449" s="13"/>
      <c r="C449" s="13"/>
      <c r="D449" s="13"/>
      <c r="E449" s="13"/>
      <c r="F449" s="13"/>
      <c r="G449" s="13"/>
      <c r="I449" s="13" t="s">
        <v>404</v>
      </c>
      <c r="J449" s="13"/>
      <c r="K449" s="13"/>
      <c r="L449" s="13"/>
      <c r="M449" s="13"/>
      <c r="N449" s="13"/>
      <c r="O449" s="13"/>
    </row>
    <row r="450">
      <c r="A450" s="17" t="s">
        <v>330</v>
      </c>
      <c r="D450" s="14" t="s">
        <v>331</v>
      </c>
      <c r="G450" s="16" t="s">
        <v>332</v>
      </c>
      <c r="I450" s="17" t="s">
        <v>330</v>
      </c>
      <c r="L450" s="14" t="s">
        <v>331</v>
      </c>
      <c r="O450" s="16" t="s">
        <v>332</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338</v>
      </c>
      <c r="C458" s="14" t="s">
        <v>341</v>
      </c>
      <c r="D458" s="14"/>
      <c r="E458" s="14" t="s">
        <v>341</v>
      </c>
      <c r="F458" s="14" t="s">
        <v>338</v>
      </c>
      <c r="G458" s="14" t="str">
        <f>CONCATENATE("M 47 ",G409)</f>
      </c>
      <c r="I458" s="14" t="str">
        <f>CONCATENATE("M 52 ",O425)</f>
      </c>
      <c r="J458" s="14" t="s">
        <v>338</v>
      </c>
      <c r="K458" s="14" t="s">
        <v>341</v>
      </c>
      <c r="L458" s="14"/>
      <c r="M458" s="14" t="s">
        <v>341</v>
      </c>
      <c r="N458" s="14" t="s">
        <v>338</v>
      </c>
      <c r="O458" s="14" t="str">
        <f>CONCATENATE("M 51 ",O409)</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344</v>
      </c>
      <c r="G462" s="19"/>
      <c r="N462" t="s">
        <v>344</v>
      </c>
      <c r="O462" s="19"/>
    </row>
    <row r="463">
      <c r="F463" t="s">
        <v>345</v>
      </c>
      <c r="G463" s="19"/>
      <c r="N463" t="s">
        <v>345</v>
      </c>
      <c r="O463" s="19"/>
    </row>
    <row r="470">
      <c r="A470" s="13" t="s">
        <v>405</v>
      </c>
      <c r="B470" s="13"/>
      <c r="C470" s="13"/>
      <c r="D470" s="13"/>
      <c r="E470" s="13"/>
      <c r="F470" s="13"/>
      <c r="G470" s="13"/>
      <c r="I470" s="13" t="s">
        <v>406</v>
      </c>
      <c r="J470" s="13"/>
      <c r="K470" s="13"/>
      <c r="L470" s="13"/>
      <c r="M470" s="13"/>
      <c r="N470" s="13"/>
      <c r="O470" s="13"/>
    </row>
    <row r="471">
      <c r="A471" s="17" t="s">
        <v>330</v>
      </c>
      <c r="D471" s="14" t="s">
        <v>331</v>
      </c>
      <c r="G471" s="16" t="s">
        <v>332</v>
      </c>
      <c r="I471" s="17" t="s">
        <v>330</v>
      </c>
      <c r="L471" s="14" t="s">
        <v>331</v>
      </c>
      <c r="O471" s="16" t="s">
        <v>332</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338</v>
      </c>
      <c r="C479" s="14" t="s">
        <v>341</v>
      </c>
      <c r="D479" s="14"/>
      <c r="E479" s="14" t="s">
        <v>341</v>
      </c>
      <c r="F479" s="14" t="s">
        <v>338</v>
      </c>
      <c r="G479" s="14" t="str">
        <f>CONCATENATE("M 53 ",G446)</f>
      </c>
      <c r="I479" s="14" t="str">
        <f>CONCATENATE("M 56 ",O462)</f>
      </c>
      <c r="J479" s="14" t="s">
        <v>338</v>
      </c>
      <c r="K479" s="14" t="s">
        <v>341</v>
      </c>
      <c r="L479" s="14"/>
      <c r="M479" s="14" t="s">
        <v>341</v>
      </c>
      <c r="N479" s="14" t="s">
        <v>338</v>
      </c>
      <c r="O479" s="14" t="str">
        <f>CONCATENATE("M 55 ",O446)</f>
      </c>
    </row>
    <row r="480">
      <c r="A480" s="14" t="s">
        <v>349</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349</v>
      </c>
      <c r="I480" s="14" t="s">
        <v>349</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349</v>
      </c>
    </row>
    <row r="483">
      <c r="F483" t="s">
        <v>344</v>
      </c>
      <c r="G483" s="19"/>
      <c r="N483" t="s">
        <v>344</v>
      </c>
      <c r="O483" s="19"/>
    </row>
    <row r="484">
      <c r="F484" t="s">
        <v>345</v>
      </c>
      <c r="G484" s="19"/>
      <c r="N484" t="s">
        <v>345</v>
      </c>
      <c r="O484" s="19"/>
    </row>
    <row r="491">
      <c r="A491" s="13" t="s">
        <v>407</v>
      </c>
      <c r="B491" s="13"/>
      <c r="C491" s="13"/>
      <c r="D491" s="13"/>
      <c r="E491" s="13"/>
      <c r="F491" s="13"/>
      <c r="G491" s="13"/>
    </row>
    <row r="492">
      <c r="A492" s="17" t="s">
        <v>330</v>
      </c>
      <c r="D492" s="14" t="s">
        <v>331</v>
      </c>
      <c r="G492" s="16" t="s">
        <v>332</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338</v>
      </c>
      <c r="C500" s="14" t="s">
        <v>341</v>
      </c>
      <c r="D500" s="14"/>
      <c r="E500" s="14" t="s">
        <v>341</v>
      </c>
      <c r="F500" s="14" t="s">
        <v>338</v>
      </c>
      <c r="G500" s="14" t="str">
        <f>CONCATENATE("M 57 ",G483)</f>
      </c>
    </row>
    <row r="501">
      <c r="A501" s="14" t="s">
        <v>349</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349</v>
      </c>
    </row>
    <row r="504">
      <c r="F504" t="s">
        <v>344</v>
      </c>
      <c r="G504" s="19"/>
    </row>
    <row r="505">
      <c r="F505" t="s">
        <v>345</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Matches'!G50)</f>
      </c>
    </row>
    <row r="6">
      <c r="A6" s="26" t="str">
        <f>data!$E$4&amp;" "&amp;data!$B$4</f>
      </c>
      <c r="D6" s="22"/>
      <c r="E6" s="21">
        <v>1</v>
      </c>
    </row>
    <row r="7">
      <c r="A7" s="26" t="str">
        <f>data!$E$5&amp;" "&amp;data!$B$5</f>
      </c>
      <c r="C7" s="23" t="str">
        <f>CONCATENATE("Pool P-2nd ",'Pool Matches'!O49)</f>
      </c>
      <c r="D7" s="15"/>
      <c r="E7" s="20"/>
      <c r="F7" s="22"/>
      <c r="G7" s="20"/>
    </row>
    <row r="8">
      <c r="A8" s="27" t="str">
        <f>data!$E$6&amp;" "&amp;data!$B$6</f>
      </c>
      <c r="G8" s="21">
        <v>31</v>
      </c>
    </row>
    <row r="9">
      <c r="A9" s="22"/>
      <c r="C9" s="23" t="str">
        <f>CONCATENATE("Pool B-1st ",'Pool Matches'!G93)</f>
      </c>
      <c r="G9" s="20"/>
      <c r="H9" s="22"/>
      <c r="I9" s="20"/>
    </row>
    <row r="10">
      <c r="A10" s="24" t="str">
        <f>'data'!$A$9</f>
      </c>
      <c r="D10" s="22"/>
      <c r="E10" s="21">
        <v>2</v>
      </c>
      <c r="F10" s="15"/>
      <c r="G10" s="20"/>
      <c r="I10" s="20"/>
    </row>
    <row r="11">
      <c r="A11" s="25" t="str">
        <f>data!$E$7&amp;" "&amp;data!$B$7</f>
      </c>
      <c r="C11" s="23" t="str">
        <f>CONCATENATE("Pool Q-2nd ",'Pool Matches'!O94)</f>
      </c>
      <c r="D11" s="15"/>
      <c r="E11" s="20"/>
      <c r="I11" s="20"/>
    </row>
    <row r="12">
      <c r="A12" s="26" t="str">
        <f>data!$E$8&amp;" "&amp;data!$B$8</f>
      </c>
      <c r="I12" s="21">
        <v>45</v>
      </c>
    </row>
    <row r="13">
      <c r="A13" s="27" t="str">
        <f>data!$E$9&amp;" "&amp;data!$B$9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Matches'!G179)</f>
      </c>
      <c r="G17" s="20"/>
      <c r="K17" s="20"/>
    </row>
    <row r="18">
      <c r="A18" s="27" t="str">
        <f>data!$E$12&amp;" "&amp;data!$B$12</f>
      </c>
      <c r="D18" s="22"/>
      <c r="E18" s="21">
        <v>4</v>
      </c>
      <c r="F18" s="15"/>
      <c r="G18" s="20"/>
      <c r="K18" s="20"/>
    </row>
    <row r="19">
      <c r="A19" s="22"/>
      <c r="C19" s="23" t="str">
        <f>CONCATENATE("Pool S-2nd ",'Pool Matches'!O180)</f>
      </c>
      <c r="D19" s="15"/>
      <c r="E19" s="20"/>
      <c r="K19" s="20"/>
    </row>
    <row r="20">
      <c r="A20" s="24" t="str">
        <f>'data'!$A$15</f>
      </c>
      <c r="K20" s="21">
        <v>53</v>
      </c>
    </row>
    <row r="21">
      <c r="A21" s="25" t="str">
        <f>data!$E$13&amp;" "&amp;data!$B$13</f>
      </c>
      <c r="C21" s="23" t="str">
        <f>CONCATENATE("Pool E-1st ",'Pool Matches'!G222)</f>
      </c>
      <c r="K21" s="20"/>
    </row>
    <row r="22">
      <c r="A22" s="26" t="str">
        <f>data!$E$14&amp;" "&amp;data!$B$14</f>
      </c>
      <c r="D22" s="22"/>
      <c r="E22" s="21">
        <v>5</v>
      </c>
      <c r="K22" s="20"/>
    </row>
    <row r="23">
      <c r="A23" s="27" t="str">
        <f>data!$E$15&amp;" "&amp;data!$B$15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data!$E$16&amp;" "&amp;data!$B$16</f>
      </c>
      <c r="D26" s="22"/>
      <c r="E26" s="21">
        <v>6</v>
      </c>
      <c r="F26" s="15"/>
      <c r="G26" s="20"/>
      <c r="I26" s="20"/>
      <c r="K26" s="20"/>
    </row>
    <row r="27">
      <c r="A27" s="26" t="str">
        <f>data!$E$17&amp;" "&amp;data!$B$17</f>
      </c>
      <c r="C27" s="23" t="str">
        <f>CONCATENATE("Pool U-2nd ",'Pool Matches'!O266)</f>
      </c>
      <c r="D27" s="15"/>
      <c r="E27" s="20"/>
      <c r="I27" s="20"/>
      <c r="K27" s="20"/>
    </row>
    <row r="28">
      <c r="A28" s="27" t="str">
        <f>data!$E$18&amp;" "&amp;data!$B$18</f>
      </c>
      <c r="I28" s="21">
        <v>46</v>
      </c>
      <c r="J28" s="15"/>
      <c r="K28" s="20"/>
    </row>
    <row r="29">
      <c r="A29" s="22"/>
      <c r="C29" s="23" t="str">
        <f>CONCATENATE("Pool G-1st ",'Pool Matches'!G308)</f>
      </c>
      <c r="I29" s="20"/>
    </row>
    <row r="30">
      <c r="A30" s="24" t="str">
        <f>'data'!$A$21</f>
      </c>
      <c r="D30" s="22"/>
      <c r="E30" s="21">
        <v>7</v>
      </c>
      <c r="I30" s="20"/>
    </row>
    <row r="31">
      <c r="A31" s="25" t="str">
        <f>data!$E$19&amp;" "&amp;data!$B$19</f>
      </c>
      <c r="C31" s="23" t="str">
        <f>CONCATENATE("Pool V-2nd ",'Pool Matches'!O309)</f>
      </c>
      <c r="D31" s="15"/>
      <c r="E31" s="20"/>
      <c r="F31" s="22"/>
      <c r="G31" s="20"/>
      <c r="I31" s="20"/>
    </row>
    <row r="32">
      <c r="A32" s="26" t="str">
        <f>data!$E$20&amp;" "&amp;data!$B$20</f>
      </c>
      <c r="G32" s="21">
        <v>34</v>
      </c>
      <c r="H32" s="15"/>
      <c r="I32" s="20"/>
    </row>
    <row r="33">
      <c r="A33" s="27" t="str">
        <f>data!$E$21&amp;" "&amp;data!$B$21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Matches'!G394)</f>
      </c>
    </row>
    <row r="6">
      <c r="A6" s="26" t="str">
        <f>data!$E$29&amp;" "&amp;data!$B$29</f>
      </c>
      <c r="D6" s="22"/>
      <c r="E6" s="21">
        <v>9</v>
      </c>
    </row>
    <row r="7">
      <c r="A7" s="27" t="str">
        <f>data!$E$30&amp;" "&amp;data!$B$30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data!$E$31&amp;" "&amp;data!$B$31</f>
      </c>
      <c r="D10" s="22"/>
      <c r="E10" s="21">
        <v>10</v>
      </c>
      <c r="F10" s="15"/>
      <c r="G10" s="20"/>
      <c r="I10" s="20"/>
    </row>
    <row r="11">
      <c r="A11" s="26" t="str">
        <f>data!$E$32&amp;" "&amp;data!$B$32</f>
      </c>
      <c r="C11" s="23" t="str">
        <f>CONCATENATE("Pool Y-2nd ",'Pool Matches'!O438)</f>
      </c>
      <c r="D11" s="15"/>
      <c r="E11" s="20"/>
      <c r="I11" s="20"/>
    </row>
    <row r="12">
      <c r="A12" s="27" t="str">
        <f>data!$E$33&amp;" "&amp;data!$B$33</f>
      </c>
      <c r="I12" s="21">
        <v>47</v>
      </c>
    </row>
    <row r="13">
      <c r="A13" s="22"/>
      <c r="C13" s="23" t="str">
        <f>CONCATENATE("Pool K-1st ",'Pool Matches'!G480)</f>
      </c>
      <c r="I13" s="20"/>
      <c r="J13" s="22"/>
      <c r="K13" s="20"/>
    </row>
    <row r="14">
      <c r="A14" s="24" t="str">
        <f>'data'!$A$36</f>
      </c>
      <c r="D14" s="22"/>
      <c r="E14" s="21">
        <v>11</v>
      </c>
      <c r="I14" s="20"/>
      <c r="K14" s="20"/>
    </row>
    <row r="15">
      <c r="A15" s="25" t="str">
        <f>data!$E$34&amp;" "&amp;data!$B$34</f>
      </c>
      <c r="C15" s="23" t="str">
        <f>CONCATENATE("Pool Z-2nd ",'Pool Matches'!O481)</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data!$E$37&amp;" "&amp;data!$B$37</f>
      </c>
      <c r="K20" s="21">
        <v>54</v>
      </c>
    </row>
    <row r="21">
      <c r="A21" s="26" t="str">
        <f>data!$E$38&amp;" "&amp;data!$B$38</f>
      </c>
      <c r="C21" s="23" t="str">
        <f>CONCATENATE("Pool M-1st ",'Pool Matches'!G566)</f>
      </c>
      <c r="K21" s="20"/>
    </row>
    <row r="22">
      <c r="A22" s="27" t="str">
        <f>data!$E$39&amp;" "&amp;data!$B$39</f>
      </c>
      <c r="D22" s="22"/>
      <c r="E22" s="21">
        <v>13</v>
      </c>
      <c r="K22" s="20"/>
    </row>
    <row r="23">
      <c r="A23" s="22"/>
      <c r="C23" s="23" t="str">
        <f>CONCATENATE("Pool AB-2nd ",'Pool Matches'!O567)</f>
      </c>
      <c r="D23" s="15"/>
      <c r="E23" s="20"/>
      <c r="F23" s="22"/>
      <c r="G23" s="20"/>
      <c r="K23" s="20"/>
    </row>
    <row r="24">
      <c r="A24" s="24" t="str">
        <f>'data'!$A$42</f>
      </c>
      <c r="G24" s="21">
        <v>37</v>
      </c>
      <c r="K24" s="20"/>
    </row>
    <row r="25">
      <c r="A25" s="25" t="str">
        <f>data!$E$40&amp;" "&amp;data!$B$40</f>
      </c>
      <c r="C25" s="23" t="str">
        <f>CONCATENATE("Pool N-1st ",'Pool Matches'!G609)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Matches'!O610)</f>
      </c>
      <c r="D27" s="15"/>
      <c r="E27" s="20"/>
      <c r="I27" s="20"/>
      <c r="K27" s="20"/>
    </row>
    <row r="28">
      <c r="A28" s="22"/>
      <c r="I28" s="21">
        <v>48</v>
      </c>
      <c r="J28" s="15"/>
      <c r="K28" s="20"/>
    </row>
    <row r="29">
      <c r="A29" s="24" t="str">
        <f>'data'!$A$45</f>
      </c>
      <c r="C29" s="23" t="str">
        <f>CONCATENATE("Pool O-1st ",'Pool Matches'!G652)</f>
      </c>
      <c r="I29" s="20"/>
    </row>
    <row r="30">
      <c r="A30" s="25" t="str">
        <f>data!$E$43&amp;" "&amp;data!$B$43</f>
      </c>
      <c r="D30" s="22"/>
      <c r="E30" s="21">
        <v>15</v>
      </c>
      <c r="I30" s="20"/>
    </row>
    <row r="31">
      <c r="A31" s="26" t="str">
        <f>data!$E$44&amp;" "&amp;data!$B$44</f>
      </c>
      <c r="C31" s="23" t="str">
        <f>CONCATENATE("Pool AD-2nd ",'Pool Matches'!O653)</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Matches'!O48)</f>
      </c>
    </row>
    <row r="6">
      <c r="A6" s="26" t="str">
        <f>data!$E$50&amp;" "&amp;data!$B$50</f>
      </c>
      <c r="D6" s="22"/>
      <c r="E6" s="21">
        <v>16</v>
      </c>
    </row>
    <row r="7">
      <c r="A7" s="27" t="str">
        <f>data!$E$51&amp;" "&amp;data!$B$51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data!$E$52&amp;" "&amp;data!$B$52</f>
      </c>
      <c r="D10" s="22"/>
      <c r="E10" s="21">
        <v>17</v>
      </c>
      <c r="F10" s="15"/>
      <c r="G10" s="20"/>
      <c r="I10" s="20"/>
    </row>
    <row r="11">
      <c r="A11" s="26" t="str">
        <f>data!$E$53&amp;" "&amp;data!$B$53</f>
      </c>
      <c r="C11" s="23" t="str">
        <f>CONCATENATE("Pool B-2nd ",'Pool Matches'!G94)</f>
      </c>
      <c r="D11" s="15"/>
      <c r="E11" s="20"/>
      <c r="I11" s="20"/>
    </row>
    <row r="12">
      <c r="A12" s="27" t="str">
        <f>data!$E$54&amp;" "&amp;data!$B$54</f>
      </c>
      <c r="I12" s="21">
        <v>49</v>
      </c>
    </row>
    <row r="13">
      <c r="A13" s="22"/>
      <c r="C13" s="23" t="str">
        <f>CONCATENATE("Pool R-1st ",'Pool Matches'!O136)</f>
      </c>
      <c r="I13" s="20"/>
      <c r="J13" s="22"/>
      <c r="K13" s="20"/>
    </row>
    <row r="14">
      <c r="A14" s="24" t="str">
        <f>'data'!$A$57</f>
      </c>
      <c r="D14" s="22"/>
      <c r="E14" s="21">
        <v>18</v>
      </c>
      <c r="I14" s="20"/>
      <c r="K14" s="20"/>
    </row>
    <row r="15">
      <c r="A15" s="25" t="str">
        <f>data!$E$55&amp;" "&amp;data!$B$55</f>
      </c>
      <c r="C15" s="23" t="str">
        <f>CONCATENATE("Pool C-2nd ",'Pool Matches'!G137)</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data!$E$58&amp;" "&amp;data!$B$58</f>
      </c>
      <c r="K20" s="21">
        <v>55</v>
      </c>
    </row>
    <row r="21">
      <c r="A21" s="26" t="str">
        <f>data!$E$59&amp;" "&amp;data!$B$59</f>
      </c>
      <c r="C21" s="23" t="str">
        <f>CONCATENATE("Pool T-1st ",'Pool Matches'!O222)</f>
      </c>
      <c r="K21" s="20"/>
    </row>
    <row r="22">
      <c r="A22" s="27" t="str">
        <f>data!$E$60&amp;" "&amp;data!$B$60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data!$E$61&amp;" "&amp;data!$B$61</f>
      </c>
      <c r="C25" s="23" t="str">
        <f>CONCATENATE("Pool U-1st ",'Pool Matches'!O265)</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data!$E$64&amp;" "&amp;data!$B$64</f>
      </c>
      <c r="D30" s="22"/>
      <c r="E30" s="21">
        <v>22</v>
      </c>
      <c r="I30" s="20"/>
    </row>
    <row r="31">
      <c r="A31" s="26" t="str">
        <f>data!$E$65&amp;" "&amp;data!$B$65</f>
      </c>
      <c r="C31" s="23" t="str">
        <f>CONCATENATE("Pool G-2nd ",'Pool Matches'!G309)</f>
      </c>
      <c r="D31" s="15"/>
      <c r="E31" s="20"/>
      <c r="F31" s="22"/>
      <c r="G31" s="20"/>
      <c r="I31" s="20"/>
    </row>
    <row r="32">
      <c r="A32" s="27" t="str">
        <f>data!$E$66&amp;" "&amp;data!$B$66</f>
      </c>
      <c r="G32" s="21">
        <v>41</v>
      </c>
      <c r="H32" s="15"/>
      <c r="I32" s="20"/>
    </row>
    <row r="33">
      <c r="A33" s="22"/>
      <c r="C33" s="23" t="str">
        <f>CONCATENATE("Pool W-1st ",'Pool Matches'!O351)</f>
      </c>
      <c r="G33" s="20"/>
    </row>
    <row r="34">
      <c r="A34" s="24" t="str">
        <f>'data'!$A$69</f>
      </c>
      <c r="D34" s="22"/>
      <c r="E34" s="21">
        <v>23</v>
      </c>
      <c r="F34" s="15"/>
      <c r="G34" s="20"/>
    </row>
    <row r="35">
      <c r="A35" s="25" t="str">
        <f>data!$E$67&amp;" "&amp;data!$B$67</f>
      </c>
      <c r="C35" s="23" t="str">
        <f>CONCATENATE("Pool H-2nd ",'Pool Matches'!G352)</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Matches'!O394)</f>
      </c>
    </row>
    <row r="6">
      <c r="A6" s="26" t="str">
        <f>data!$E$74&amp;" "&amp;data!$B$74</f>
      </c>
      <c r="D6" s="22"/>
      <c r="E6" s="21">
        <v>24</v>
      </c>
    </row>
    <row r="7">
      <c r="A7" s="27" t="str">
        <f>data!$E$75&amp;" "&amp;data!$B$75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data!$E$76&amp;" "&amp;data!$B$76</f>
      </c>
      <c r="D10" s="22"/>
      <c r="E10" s="21">
        <v>25</v>
      </c>
      <c r="F10" s="15"/>
      <c r="G10" s="20"/>
      <c r="I10" s="20"/>
    </row>
    <row r="11">
      <c r="A11" s="26" t="str">
        <f>data!$E$77&amp;" "&amp;data!$B$77</f>
      </c>
      <c r="C11" s="23" t="str">
        <f>CONCATENATE("Pool J-2nd ",'Pool Matches'!G438)</f>
      </c>
      <c r="D11" s="15"/>
      <c r="E11" s="20"/>
      <c r="I11" s="20"/>
    </row>
    <row r="12">
      <c r="A12" s="27" t="str">
        <f>data!$E$78&amp;" "&amp;data!$B$78</f>
      </c>
      <c r="I12" s="21">
        <v>51</v>
      </c>
    </row>
    <row r="13">
      <c r="A13" s="22"/>
      <c r="C13" s="23" t="str">
        <f>CONCATENATE("Pool Z-1st ",'Pool Matches'!O480)</f>
      </c>
      <c r="I13" s="20"/>
      <c r="J13" s="22"/>
      <c r="K13" s="20"/>
    </row>
    <row r="14">
      <c r="A14" s="24" t="str">
        <f>'data'!$A$81</f>
      </c>
      <c r="D14" s="22"/>
      <c r="E14" s="21">
        <v>26</v>
      </c>
      <c r="I14" s="20"/>
      <c r="K14" s="20"/>
    </row>
    <row r="15">
      <c r="A15" s="25" t="str">
        <f>data!$E$79&amp;" "&amp;data!$B$79</f>
      </c>
      <c r="C15" s="23" t="str">
        <f>CONCATENATE("Pool K-2nd ",'Pool Matches'!G481)</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data!$E$82&amp;" "&amp;data!$B$82</f>
      </c>
      <c r="K20" s="21">
        <v>56</v>
      </c>
    </row>
    <row r="21">
      <c r="A21" s="26" t="str">
        <f>data!$E$83&amp;" "&amp;data!$B$83</f>
      </c>
      <c r="C21" s="23" t="str">
        <f>CONCATENATE("Pool AB-1st ",'Pool Matches'!O566)</f>
      </c>
      <c r="K21" s="20"/>
    </row>
    <row r="22">
      <c r="A22" s="27" t="str">
        <f>data!$E$84&amp;" "&amp;data!$B$84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data!$E$85&amp;" "&amp;data!$B$85</f>
      </c>
      <c r="C25" s="23" t="str">
        <f>CONCATENATE("Pool AC-1st ",'Pool Matches'!O609)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Matches'!G610)</f>
      </c>
      <c r="D27" s="15"/>
      <c r="E27" s="20"/>
      <c r="I27" s="20"/>
      <c r="K27" s="20"/>
    </row>
    <row r="28">
      <c r="A28" s="22"/>
      <c r="I28" s="21">
        <v>52</v>
      </c>
      <c r="J28" s="15"/>
      <c r="K28" s="20"/>
    </row>
    <row r="29">
      <c r="A29" s="24" t="str">
        <f>'data'!$A$90</f>
      </c>
      <c r="C29" s="23" t="str">
        <f>CONCATENATE("Pool AD-1st ",'Pool Matches'!O652)</f>
      </c>
      <c r="I29" s="20"/>
    </row>
    <row r="30">
      <c r="A30" s="25" t="str">
        <f>data!$E$88&amp;" "&amp;data!$B$88</f>
      </c>
      <c r="D30" s="22"/>
      <c r="E30" s="21">
        <v>30</v>
      </c>
      <c r="I30" s="20"/>
    </row>
    <row r="31">
      <c r="A31" s="26" t="str">
        <f>data!$E$89&amp;" "&amp;data!$B$89</f>
      </c>
      <c r="C31" s="23" t="str">
        <f>CONCATENATE("Pool O-2nd ",'Pool Matches'!G653)</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72</v>
      </c>
    </row>
    <row r="26" ht="409" customHeight="true">
      <c r="A26" s="30" t="s">
        <v>72</v>
      </c>
    </row>
    <row r="27" ht="409" customHeight="true">
      <c r="A27" s="30" t="s">
        <v>76</v>
      </c>
    </row>
    <row r="28" ht="409" customHeight="true">
      <c r="A28" s="30" t="s">
        <v>76</v>
      </c>
    </row>
    <row r="29" ht="409" customHeight="true">
      <c r="A29" s="30" t="s">
        <v>79</v>
      </c>
    </row>
    <row r="30" ht="409" customHeight="true">
      <c r="A30" s="30" t="s">
        <v>79</v>
      </c>
    </row>
    <row r="31" ht="409" customHeight="true">
      <c r="A31" s="30" t="s">
        <v>83</v>
      </c>
    </row>
    <row r="32" ht="409" customHeight="true">
      <c r="A32" s="30" t="s">
        <v>83</v>
      </c>
    </row>
    <row r="33" ht="409" customHeight="true">
      <c r="A33" s="30" t="s">
        <v>88</v>
      </c>
    </row>
    <row r="34" ht="409" customHeight="true">
      <c r="A34" s="30" t="s">
        <v>88</v>
      </c>
    </row>
    <row r="35" ht="409" customHeight="true">
      <c r="A35" s="30" t="s">
        <v>92</v>
      </c>
    </row>
    <row r="36" ht="409" customHeight="true">
      <c r="A36" s="30" t="s">
        <v>92</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120</v>
      </c>
    </row>
    <row r="52" ht="409" customHeight="true">
      <c r="A52" s="30" t="s">
        <v>120</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153</v>
      </c>
    </row>
    <row r="72" ht="409" customHeight="true">
      <c r="A72" s="30" t="s">
        <v>153</v>
      </c>
    </row>
    <row r="73" ht="409" customHeight="true">
      <c r="A73" s="30" t="s">
        <v>157</v>
      </c>
    </row>
    <row r="74" ht="409" customHeight="true">
      <c r="A74" s="30" t="s">
        <v>157</v>
      </c>
    </row>
    <row r="75" ht="409" customHeight="true">
      <c r="A75" s="30" t="s">
        <v>161</v>
      </c>
    </row>
    <row r="76" ht="409" customHeight="true">
      <c r="A76" s="30" t="s">
        <v>161</v>
      </c>
    </row>
    <row r="77" ht="409" customHeight="true">
      <c r="A77" s="30" t="s">
        <v>164</v>
      </c>
    </row>
    <row r="78" ht="409" customHeight="true">
      <c r="A78" s="30" t="s">
        <v>164</v>
      </c>
    </row>
    <row r="79" ht="409" customHeight="true">
      <c r="A79" s="30" t="s">
        <v>168</v>
      </c>
    </row>
    <row r="80" ht="409" customHeight="true">
      <c r="A80" s="30" t="s">
        <v>168</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178</v>
      </c>
    </row>
    <row r="86" ht="409" customHeight="true">
      <c r="A86" s="30" t="s">
        <v>178</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189</v>
      </c>
    </row>
    <row r="92" ht="409" customHeight="true">
      <c r="A92" s="30" t="s">
        <v>189</v>
      </c>
    </row>
    <row r="93" ht="409" customHeight="true">
      <c r="A93" s="30" t="s">
        <v>193</v>
      </c>
    </row>
    <row r="94" ht="409" customHeight="true">
      <c r="A94" s="30" t="s">
        <v>193</v>
      </c>
    </row>
    <row r="95" ht="409" customHeight="true">
      <c r="A95" s="30" t="s">
        <v>195</v>
      </c>
    </row>
    <row r="96" ht="409" customHeight="true">
      <c r="A96" s="30" t="s">
        <v>195</v>
      </c>
    </row>
    <row r="97" ht="409" customHeight="true">
      <c r="A97" s="30" t="s">
        <v>198</v>
      </c>
    </row>
    <row r="98" ht="409" customHeight="true">
      <c r="A98" s="30" t="s">
        <v>198</v>
      </c>
    </row>
    <row r="99" ht="409" customHeight="true">
      <c r="A99" s="30" t="s">
        <v>202</v>
      </c>
    </row>
    <row r="100" ht="409" customHeight="true">
      <c r="A100" s="30" t="s">
        <v>202</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212</v>
      </c>
    </row>
    <row r="106" ht="409" customHeight="true">
      <c r="A106" s="30" t="s">
        <v>212</v>
      </c>
    </row>
    <row r="107" ht="409" customHeight="true">
      <c r="A107" s="30" t="s">
        <v>215</v>
      </c>
    </row>
    <row r="108" ht="409" customHeight="true">
      <c r="A108" s="30" t="s">
        <v>215</v>
      </c>
    </row>
    <row r="109" ht="409" customHeight="true">
      <c r="A109" s="30" t="s">
        <v>218</v>
      </c>
    </row>
    <row r="110" ht="409" customHeight="true">
      <c r="A110" s="30" t="s">
        <v>218</v>
      </c>
    </row>
    <row r="111" ht="409" customHeight="true">
      <c r="A111" s="30" t="s">
        <v>222</v>
      </c>
    </row>
    <row r="112" ht="409" customHeight="true">
      <c r="A112" s="30" t="s">
        <v>222</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249</v>
      </c>
    </row>
    <row r="132" ht="409" customHeight="true">
      <c r="A132" s="30" t="s">
        <v>249</v>
      </c>
    </row>
    <row r="133" ht="409" customHeight="true">
      <c r="A133" s="30" t="s">
        <v>252</v>
      </c>
    </row>
    <row r="134" ht="409" customHeight="true">
      <c r="A134" s="30" t="s">
        <v>252</v>
      </c>
    </row>
    <row r="135" ht="409" customHeight="true">
      <c r="A135" s="30" t="s">
        <v>256</v>
      </c>
    </row>
    <row r="136" ht="409" customHeight="true">
      <c r="A136" s="30" t="s">
        <v>256</v>
      </c>
    </row>
    <row r="137" ht="409" customHeight="true">
      <c r="A137" s="30" t="s">
        <v>258</v>
      </c>
    </row>
    <row r="138" ht="409" customHeight="true">
      <c r="A138" s="30" t="s">
        <v>258</v>
      </c>
    </row>
    <row r="139" ht="409" customHeight="true">
      <c r="A139" s="30" t="s">
        <v>261</v>
      </c>
    </row>
    <row r="140" ht="409" customHeight="true">
      <c r="A140" s="30" t="s">
        <v>261</v>
      </c>
    </row>
    <row r="141" ht="409" customHeight="true">
      <c r="A141" s="30" t="s">
        <v>264</v>
      </c>
    </row>
    <row r="142" ht="409" customHeight="true">
      <c r="A142" s="30" t="s">
        <v>264</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