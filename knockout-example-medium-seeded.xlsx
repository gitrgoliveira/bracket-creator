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<sst xmlns="http://schemas.openxmlformats.org/spreadsheetml/2006/main" count="146" uniqueCount="146">
  <si>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</si>
  <si>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</si>
  <si>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</si>
  <si>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</si>
  <si>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</si>
  <si>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</si>
  <si>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</si>
  <si>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</si>
  <si>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</si>
  <si>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</si>
  <si>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</si>
  <si>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</si>
  <si>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</si>
  <si>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</si>
  <si>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</si>
  <si>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</si>
  <si>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</si>
  <si>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Cersei Lannister</t>
  </si>
  <si>
    <t>Team Gamma</t>
  </si>
  <si>
    <t>LANNISTER</t>
  </si>
  <si>
    <t>K1</t>
  </si>
  <si>
    <t>Gandalf The Grey</t>
  </si>
  <si>
    <t>Team Eta</t>
  </si>
  <si>
    <t>GANDALF</t>
  </si>
  <si>
    <t>K2</t>
  </si>
  <si>
    <t>Hermione Granger</t>
  </si>
  <si>
    <t>Team Theta</t>
  </si>
  <si>
    <t>GRANGER</t>
  </si>
  <si>
    <t>K3</t>
  </si>
  <si>
    <t>Inigo Montoya</t>
  </si>
  <si>
    <t>Team Iota</t>
  </si>
  <si>
    <t>MONTOYA</t>
  </si>
  <si>
    <t>K4</t>
  </si>
  <si>
    <t>Jon Snow</t>
  </si>
  <si>
    <t>Team Kappa</t>
  </si>
  <si>
    <t>SNOW</t>
  </si>
  <si>
    <t>K5</t>
  </si>
  <si>
    <t>Katniss Everdeen</t>
  </si>
  <si>
    <t>Team Lambda</t>
  </si>
  <si>
    <t>EVERDEEN</t>
  </si>
  <si>
    <t>K6</t>
  </si>
  <si>
    <t>Petyr Baelish</t>
  </si>
  <si>
    <t>Team Pi</t>
  </si>
  <si>
    <t>BAELISH</t>
  </si>
  <si>
    <t>K7</t>
  </si>
  <si>
    <t>Legolas Greenleaf</t>
  </si>
  <si>
    <t>Team Mu</t>
  </si>
  <si>
    <t>GREENLEAF</t>
  </si>
  <si>
    <t>K8</t>
  </si>
  <si>
    <t>Frodo Baggins</t>
  </si>
  <si>
    <t>Team Zeta</t>
  </si>
  <si>
    <t>BAGGINS</t>
  </si>
  <si>
    <t>K9</t>
  </si>
  <si>
    <t>Moby Dick</t>
  </si>
  <si>
    <t>Team Nu</t>
  </si>
  <si>
    <t>DICK</t>
  </si>
  <si>
    <t>K10</t>
  </si>
  <si>
    <t>Neville Longbottom</t>
  </si>
  <si>
    <t>Team Xi</t>
  </si>
  <si>
    <t>LONGBOTTOM</t>
  </si>
  <si>
    <t>K11</t>
  </si>
  <si>
    <t>Othello</t>
  </si>
  <si>
    <t>Team Omicron</t>
  </si>
  <si>
    <t>OTHELLO</t>
  </si>
  <si>
    <t>K12</t>
  </si>
  <si>
    <t>K13</t>
  </si>
  <si>
    <t>Quirinus Quirrell</t>
  </si>
  <si>
    <t>Team Rho</t>
  </si>
  <si>
    <t>QUIRRELL</t>
  </si>
  <si>
    <t>K14</t>
  </si>
  <si>
    <t>Ron Weasley</t>
  </si>
  <si>
    <t>Team Sigma</t>
  </si>
  <si>
    <t>WEASLEY</t>
  </si>
  <si>
    <t>K15</t>
  </si>
  <si>
    <t>Samwise Gamgee</t>
  </si>
  <si>
    <t>Team Tau</t>
  </si>
  <si>
    <t>GAMGEE</t>
  </si>
  <si>
    <t>K16</t>
  </si>
  <si>
    <t>Daenerys Targaryen</t>
  </si>
  <si>
    <t>Team Delta</t>
  </si>
  <si>
    <t>TARGARYEN</t>
  </si>
  <si>
    <t>K17</t>
  </si>
  <si>
    <t>Tyrion Lannister</t>
  </si>
  <si>
    <t>Team Upsilon</t>
  </si>
  <si>
    <t>K18</t>
  </si>
  <si>
    <t>Ulysses</t>
  </si>
  <si>
    <t>Team Phi</t>
  </si>
  <si>
    <t>ULYSSES</t>
  </si>
  <si>
    <t>K19</t>
  </si>
  <si>
    <t>Voldemort</t>
  </si>
  <si>
    <t>Team Chi</t>
  </si>
  <si>
    <t>VOLDEMORT</t>
  </si>
  <si>
    <t>K20</t>
  </si>
  <si>
    <t>Willy Wonka</t>
  </si>
  <si>
    <t>Team Psi</t>
  </si>
  <si>
    <t>WONKA</t>
  </si>
  <si>
    <t>K21</t>
  </si>
  <si>
    <t>Xaro Xhoan Daxos</t>
  </si>
  <si>
    <t>Team Omega</t>
  </si>
  <si>
    <t>DAXOS</t>
  </si>
  <si>
    <t>K22</t>
  </si>
  <si>
    <t>Ygritte</t>
  </si>
  <si>
    <t>Team Alpha</t>
  </si>
  <si>
    <t>YGRITTE</t>
  </si>
  <si>
    <t>K23</t>
  </si>
  <si>
    <t>Eddard Stark</t>
  </si>
  <si>
    <t>Team Epsilon</t>
  </si>
  <si>
    <t>STARK</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</si>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</sst>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sz val="11"/>
      <color theme="1"/>
      <name val="Calibri"/>
      <family val="2"/>
    </font>
    <font>
      <b val="1"/>
      <sz val="12"/>
      <color rgb="FF000000"/>
      <name val="Calibri"/>
      <family val="2"/>
    </font>
    <font>
      <sz val="12"/>
      <color rgb="FF000000"/>
      <name val="Calibri"/>
      <family val="2"/>
    </font>
    <font>
      <b val="1"/>
      <u val="single"/>
      <sz val="16"/>
      <color/>
      <name val="Calibri"/>
      <family val="2"/>
    </font>
    <font>
      <b val="1"/>
      <u val="single"/>
      <sz val="12"/>
      <color/>
      <name val="Calibri"/>
      <family val="2"/>
    </font>
    <font>
      <sz val="12"/>
      <color/>
      <name val="Calibri"/>
      <family val="2"/>
    </font>
    <font>
      <b val="1"/>
      <sz val="28"/>
      <color rgb="FF000000"/>
      <name val="Calibri"/>
      <family val="2"/>
    </font>
    <font>
      <b val="1"/>
      <sz val="72"/>
      <color rgb="FF000000"/>
      <name val="Calibri"/>
      <family val="2"/>
    </font>
    <font>
      <b val="1"/>
      <sz val="100"/>
      <color rgb="FF000000"/>
      <name val="Calibri"/>
      <family val="2"/>
    </font>
    <font>
      <sz val="110"/>
      <color rgb="FF000000"/>
      <name val="Calibri"/>
      <family val="2"/>
    </font>
    <font>
      <b val="1"/>
      <sz val="12"/>
      <color rgb="FFFFFFFF"/>
      <name val="Calibri"/>
      <family val="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5</v>
      </c>
      <c r="B4" t="s">
        <v>21</v>
      </c>
      <c r="C4" t="s">
        <v>22</v>
      </c>
      <c r="D4" t="s">
        <v>23</v>
      </c>
      <c r="E4" t="s">
        <v>24</v>
      </c>
    </row>
    <row r="5">
      <c r="A5">
        <v>6</v>
      </c>
      <c r="B5" t="s">
        <v>25</v>
      </c>
      <c r="C5" t="s">
        <v>26</v>
      </c>
      <c r="D5" t="s">
        <v>27</v>
      </c>
      <c r="E5" t="s">
        <v>28</v>
      </c>
    </row>
    <row r="6">
      <c r="A6">
        <v>7</v>
      </c>
      <c r="B6" t="s">
        <v>29</v>
      </c>
      <c r="C6" t="s">
        <v>30</v>
      </c>
      <c r="D6" t="s">
        <v>31</v>
      </c>
      <c r="E6" t="s">
        <v>32</v>
      </c>
    </row>
    <row r="7">
      <c r="A7">
        <v>8</v>
      </c>
      <c r="B7" t="s">
        <v>33</v>
      </c>
      <c r="C7" t="s">
        <v>34</v>
      </c>
      <c r="D7" t="s">
        <v>35</v>
      </c>
      <c r="E7" t="s">
        <v>36</v>
      </c>
    </row>
    <row r="8">
      <c r="A8">
        <v>9</v>
      </c>
      <c r="B8" t="s">
        <v>37</v>
      </c>
      <c r="C8" t="s">
        <v>38</v>
      </c>
      <c r="D8" t="s">
        <v>39</v>
      </c>
      <c r="E8" t="s">
        <v>40</v>
      </c>
    </row>
    <row r="9">
      <c r="A9">
        <v>15</v>
      </c>
      <c r="B9" t="s">
        <v>41</v>
      </c>
      <c r="C9" t="s">
        <v>42</v>
      </c>
      <c r="D9" t="s">
        <v>43</v>
      </c>
      <c r="E9" t="s">
        <v>44</v>
      </c>
    </row>
    <row r="10">
      <c r="A10">
        <v>11</v>
      </c>
      <c r="B10" t="s">
        <v>45</v>
      </c>
      <c r="C10" t="s">
        <v>46</v>
      </c>
      <c r="D10" t="s">
        <v>47</v>
      </c>
      <c r="E10" t="s">
        <v>48</v>
      </c>
    </row>
    <row r="11">
      <c r="A11">
        <v>4</v>
      </c>
      <c r="B11" t="s">
        <v>49</v>
      </c>
      <c r="C11" t="s">
        <v>50</v>
      </c>
      <c r="D11" t="s">
        <v>51</v>
      </c>
      <c r="E11" t="s">
        <v>52</v>
      </c>
    </row>
    <row r="12">
      <c r="A12">
        <v>12</v>
      </c>
      <c r="B12" t="s">
        <v>53</v>
      </c>
      <c r="C12" t="s">
        <v>54</v>
      </c>
      <c r="D12" t="s">
        <v>55</v>
      </c>
      <c r="E12" t="s">
        <v>56</v>
      </c>
    </row>
    <row r="13">
      <c r="A13">
        <v>13</v>
      </c>
      <c r="B13" t="s">
        <v>57</v>
      </c>
      <c r="C13" t="s">
        <v>58</v>
      </c>
      <c r="D13" t="s">
        <v>59</v>
      </c>
      <c r="E13" t="s">
        <v>60</v>
      </c>
    </row>
    <row r="14">
      <c r="A14">
        <v>14</v>
      </c>
      <c r="B14" t="s">
        <v>61</v>
      </c>
      <c r="C14" t="s">
        <v>62</v>
      </c>
      <c r="D14" t="s">
        <v>63</v>
      </c>
      <c r="E14" t="s">
        <v>64</v>
      </c>
    </row>
    <row r="15">
      <c r="A15">
        <v>10</v>
      </c>
      <c r="B15" t="s">
        <v>37</v>
      </c>
      <c r="C15" t="s">
        <v>46</v>
      </c>
      <c r="D15" t="s">
        <v>39</v>
      </c>
      <c r="E15" t="s">
        <v>65</v>
      </c>
    </row>
    <row r="16">
      <c r="A16">
        <v>16</v>
      </c>
      <c r="B16" t="s">
        <v>66</v>
      </c>
      <c r="C16" t="s">
        <v>67</v>
      </c>
      <c r="D16" t="s">
        <v>68</v>
      </c>
      <c r="E16" t="s">
        <v>69</v>
      </c>
    </row>
    <row r="17">
      <c r="A17">
        <v>17</v>
      </c>
      <c r="B17" t="s">
        <v>70</v>
      </c>
      <c r="C17" t="s">
        <v>71</v>
      </c>
      <c r="D17" t="s">
        <v>72</v>
      </c>
      <c r="E17" t="s">
        <v>73</v>
      </c>
    </row>
    <row r="18">
      <c r="A18">
        <v>18</v>
      </c>
      <c r="B18" t="s">
        <v>74</v>
      </c>
      <c r="C18" t="s">
        <v>75</v>
      </c>
      <c r="D18" t="s">
        <v>76</v>
      </c>
      <c r="E18" t="s">
        <v>77</v>
      </c>
    </row>
    <row r="19">
      <c r="A19">
        <v>2</v>
      </c>
      <c r="B19" t="s">
        <v>78</v>
      </c>
      <c r="C19" t="s">
        <v>79</v>
      </c>
      <c r="D19" t="s">
        <v>80</v>
      </c>
      <c r="E19" t="s">
        <v>81</v>
      </c>
    </row>
    <row r="20">
      <c r="A20">
        <v>19</v>
      </c>
      <c r="B20" t="s">
        <v>82</v>
      </c>
      <c r="C20" t="s">
        <v>83</v>
      </c>
      <c r="D20" t="s">
        <v>19</v>
      </c>
      <c r="E20" t="s">
        <v>84</v>
      </c>
    </row>
    <row r="21">
      <c r="A21">
        <v>20</v>
      </c>
      <c r="B21" t="s">
        <v>85</v>
      </c>
      <c r="C21" t="s">
        <v>86</v>
      </c>
      <c r="D21" t="s">
        <v>87</v>
      </c>
      <c r="E21" t="s">
        <v>88</v>
      </c>
    </row>
    <row r="22">
      <c r="A22">
        <v>21</v>
      </c>
      <c r="B22" t="s">
        <v>89</v>
      </c>
      <c r="C22" t="s">
        <v>90</v>
      </c>
      <c r="D22" t="s">
        <v>91</v>
      </c>
      <c r="E22" t="s">
        <v>92</v>
      </c>
    </row>
    <row r="23">
      <c r="A23">
        <v>22</v>
      </c>
      <c r="B23" t="s">
        <v>93</v>
      </c>
      <c r="C23" t="s">
        <v>94</v>
      </c>
      <c r="D23" t="s">
        <v>95</v>
      </c>
      <c r="E23" t="s">
        <v>96</v>
      </c>
    </row>
    <row r="24">
      <c r="A24">
        <v>23</v>
      </c>
      <c r="B24" t="s">
        <v>97</v>
      </c>
      <c r="C24" t="s">
        <v>98</v>
      </c>
      <c r="D24" t="s">
        <v>99</v>
      </c>
      <c r="E24" t="s">
        <v>100</v>
      </c>
    </row>
    <row r="25">
      <c r="A25">
        <v>24</v>
      </c>
      <c r="B25" t="s">
        <v>101</v>
      </c>
      <c r="C25" t="s">
        <v>102</v>
      </c>
      <c r="D25" t="s">
        <v>103</v>
      </c>
      <c r="E25" t="s">
        <v>104</v>
      </c>
    </row>
    <row r="26">
      <c r="A26">
        <v>3</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v>
      </c>
      <c r="E2" s="3" t="str">
        <f>(A2*B2*C2*D2)</f>
      </c>
      <c r="F2" s="3">
        <v>0.000347222222222222</v>
      </c>
      <c r="G2" s="3">
        <v>0.0208333333333333</v>
      </c>
      <c r="H2" s="24" t="str">
        <f>C2*I2+J2</f>
      </c>
    </row>
    <row r="3" ht="16" customHeight="true">
      <c r="A3" s="2">
        <v>0</v>
      </c>
      <c r="B3" s="2">
        <v>0</v>
      </c>
      <c r="C3" s="2">
        <v>0</v>
      </c>
      <c r="D3" s="3">
        <v>0.00208333333333333</v>
      </c>
      <c r="E3" s="3" t="str">
        <f>(A3*B3*C3*D3)</f>
      </c>
      <c r="F3" s="3">
        <v>0.000347222222222222</v>
      </c>
      <c r="G3" s="3">
        <v>0.0208333333333333</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v>
      </c>
      <c r="E8" s="3" t="str">
        <f>(A8*B8*D8)</f>
      </c>
      <c r="F8" s="3">
        <v>0.000347222222222222</v>
      </c>
      <c r="G8" s="3">
        <v>0.0208333333333333</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'data'!$B$5</f>
      </c>
      <c r="B4" s="22"/>
      <c r="C4" s="22"/>
      <c r="D4" s="22"/>
      <c r="E4" s="22"/>
      <c r="F4" s="22"/>
      <c r="G4" s="19" t="str">
        <f>'data'!$B$4</f>
      </c>
      <c r="I4" s="19" t="str">
        <f>'data'!$B$17</f>
      </c>
      <c r="J4" s="22"/>
      <c r="K4" s="22"/>
      <c r="L4" s="22"/>
      <c r="M4" s="22"/>
      <c r="N4" s="22"/>
      <c r="O4" s="19" t="str">
        <f>'data'!$B$16</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'data'!$B$8</f>
      </c>
      <c r="B12" s="22"/>
      <c r="C12" s="22"/>
      <c r="D12" s="22"/>
      <c r="E12" s="22"/>
      <c r="F12" s="22"/>
      <c r="G12" s="19" t="str">
        <f>'data'!$B$7</f>
      </c>
      <c r="I12" s="19" t="str">
        <f>'data'!$B$20</f>
      </c>
      <c r="J12" s="22"/>
      <c r="K12" s="22"/>
      <c r="L12" s="22"/>
      <c r="M12" s="22"/>
      <c r="N12" s="22"/>
      <c r="O12" s="19" t="str">
        <f>'data'!$B$19</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'data'!$B$11</f>
      </c>
      <c r="B20" s="22"/>
      <c r="C20" s="22"/>
      <c r="D20" s="22"/>
      <c r="E20" s="22"/>
      <c r="F20" s="22"/>
      <c r="G20" s="19" t="str">
        <f>'data'!$B$10</f>
      </c>
      <c r="I20" s="19" t="str">
        <f>'data'!$B$23</f>
      </c>
      <c r="J20" s="22"/>
      <c r="K20" s="22"/>
      <c r="L20" s="22"/>
      <c r="M20" s="22"/>
      <c r="N20" s="22"/>
      <c r="O20" s="19" t="str">
        <f>'data'!$B$22</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'data'!$B$14</f>
      </c>
      <c r="B28" s="22"/>
      <c r="C28" s="22"/>
      <c r="D28" s="22"/>
      <c r="E28" s="22"/>
      <c r="F28" s="22"/>
      <c r="G28" s="19" t="str">
        <f>'data'!$B$13</f>
      </c>
      <c r="I28" s="19" t="str">
        <f>'data'!$B$26</f>
      </c>
      <c r="J28" s="22"/>
      <c r="K28" s="22"/>
      <c r="L28" s="22"/>
      <c r="M28" s="22"/>
      <c r="N28" s="22"/>
      <c r="O28" s="19" t="str">
        <f>'data'!$B$25</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'data'!$B$3</f>
      </c>
      <c r="I41" s="19" t="str">
        <f>CONCATENATE("M 5 ",O6)</f>
      </c>
      <c r="J41" s="22"/>
      <c r="K41" s="22"/>
      <c r="L41" s="22"/>
      <c r="M41" s="22"/>
      <c r="N41" s="22"/>
      <c r="O41" s="19" t="str">
        <f>'data'!$B$15</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'data'!$B$12</f>
      </c>
      <c r="I65" s="19" t="str">
        <f>CONCATENATE("M 8 ",O30)</f>
      </c>
      <c r="J65" s="22"/>
      <c r="K65" s="22"/>
      <c r="L65" s="22"/>
      <c r="M65" s="22"/>
      <c r="N65" s="22"/>
      <c r="O65" s="19" t="str">
        <f>'data'!$B$24</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23</v>
      </c>
      <c r="G9" s="12"/>
      <c r="H9" s="14"/>
      <c r="I9" s="12"/>
    </row>
    <row r="10">
      <c r="D10" s="14"/>
      <c r="E10" s="13">
        <v>1</v>
      </c>
      <c r="F10" s="15"/>
      <c r="G10" s="12"/>
      <c r="I10" s="12"/>
    </row>
    <row r="11">
      <c r="C11" s="16" t="s">
        <v>27</v>
      </c>
      <c r="D11" s="15"/>
      <c r="E11" s="12"/>
      <c r="I11" s="12"/>
    </row>
    <row r="12">
      <c r="I12" s="13">
        <v>17</v>
      </c>
    </row>
    <row r="13">
      <c r="I13" s="12"/>
      <c r="J13" s="14"/>
      <c r="K13" s="12"/>
    </row>
    <row r="14">
      <c r="C14" s="16"/>
      <c r="D14" s="16"/>
      <c r="E14" s="16" t="s">
        <v>31</v>
      </c>
      <c r="I14" s="12"/>
      <c r="K14" s="12"/>
    </row>
    <row r="15">
      <c r="F15" s="14"/>
      <c r="G15" s="12"/>
      <c r="I15" s="12"/>
      <c r="K15" s="12"/>
    </row>
    <row r="16">
      <c r="G16" s="13">
        <v>10</v>
      </c>
      <c r="H16" s="15"/>
      <c r="I16" s="12"/>
      <c r="K16" s="12"/>
    </row>
    <row r="17">
      <c r="C17" s="16" t="s">
        <v>35</v>
      </c>
      <c r="G17" s="12"/>
      <c r="K17" s="12"/>
    </row>
    <row r="18">
      <c r="D18" s="14"/>
      <c r="E18" s="13">
        <v>2</v>
      </c>
      <c r="F18" s="15"/>
      <c r="G18" s="12"/>
      <c r="K18" s="12"/>
    </row>
    <row r="19">
      <c r="C19" s="16" t="s">
        <v>39</v>
      </c>
      <c r="D19" s="15"/>
      <c r="E19" s="12"/>
      <c r="K19" s="12"/>
    </row>
    <row r="20">
      <c r="K20" s="13">
        <v>21</v>
      </c>
    </row>
    <row r="21">
      <c r="K21" s="12"/>
    </row>
    <row r="22">
      <c r="C22" s="16"/>
      <c r="D22" s="16"/>
      <c r="E22" s="16" t="s">
        <v>43</v>
      </c>
      <c r="K22" s="12"/>
    </row>
    <row r="23">
      <c r="F23" s="14"/>
      <c r="G23" s="12"/>
      <c r="K23" s="12"/>
    </row>
    <row r="24">
      <c r="G24" s="13">
        <v>11</v>
      </c>
      <c r="K24" s="12"/>
    </row>
    <row r="25">
      <c r="C25" s="16" t="s">
        <v>47</v>
      </c>
      <c r="G25" s="12"/>
      <c r="H25" s="14"/>
      <c r="I25" s="12"/>
      <c r="K25" s="12"/>
    </row>
    <row r="26">
      <c r="D26" s="14"/>
      <c r="E26" s="13">
        <v>3</v>
      </c>
      <c r="F26" s="15"/>
      <c r="G26" s="12"/>
      <c r="I26" s="12"/>
      <c r="K26" s="12"/>
    </row>
    <row r="27">
      <c r="C27" s="16" t="s">
        <v>51</v>
      </c>
      <c r="D27" s="15"/>
      <c r="E27" s="12"/>
      <c r="I27" s="12"/>
      <c r="K27" s="12"/>
    </row>
    <row r="28">
      <c r="I28" s="13">
        <v>18</v>
      </c>
      <c r="J28" s="15"/>
      <c r="K28" s="12"/>
    </row>
    <row r="29">
      <c r="I29" s="12"/>
    </row>
    <row r="30">
      <c r="C30" s="16"/>
      <c r="D30" s="16"/>
      <c r="E30" s="16" t="s">
        <v>55</v>
      </c>
      <c r="I30" s="12"/>
    </row>
    <row r="31">
      <c r="F31" s="14"/>
      <c r="G31" s="12"/>
      <c r="I31" s="12"/>
    </row>
    <row r="32">
      <c r="G32" s="13">
        <v>12</v>
      </c>
      <c r="H32" s="15"/>
      <c r="I32" s="12"/>
    </row>
    <row r="33">
      <c r="C33" s="16" t="s">
        <v>59</v>
      </c>
      <c r="G33" s="12"/>
    </row>
    <row r="34">
      <c r="D34" s="14"/>
      <c r="E34" s="13">
        <v>4</v>
      </c>
      <c r="F34" s="15"/>
      <c r="G34" s="12"/>
    </row>
    <row r="35">
      <c r="C35" s="16" t="s">
        <v>63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39</v>
      </c>
    </row>
    <row r="7">
      <c r="F7" s="14"/>
      <c r="G7" s="12"/>
    </row>
    <row r="8">
      <c r="G8" s="13">
        <v>13</v>
      </c>
    </row>
    <row r="9">
      <c r="C9" s="16" t="s">
        <v>68</v>
      </c>
      <c r="G9" s="12"/>
      <c r="H9" s="14"/>
      <c r="I9" s="12"/>
    </row>
    <row r="10">
      <c r="D10" s="14"/>
      <c r="E10" s="13">
        <v>5</v>
      </c>
      <c r="F10" s="15"/>
      <c r="G10" s="12"/>
      <c r="I10" s="12"/>
    </row>
    <row r="11">
      <c r="C11" s="16" t="s">
        <v>72</v>
      </c>
      <c r="D11" s="15"/>
      <c r="E11" s="12"/>
      <c r="I11" s="12"/>
    </row>
    <row r="12">
      <c r="I12" s="13">
        <v>19</v>
      </c>
    </row>
    <row r="13">
      <c r="I13" s="12"/>
      <c r="J13" s="14"/>
      <c r="K13" s="12"/>
    </row>
    <row r="14">
      <c r="C14" s="16"/>
      <c r="D14" s="16"/>
      <c r="E14" s="16" t="s">
        <v>76</v>
      </c>
      <c r="I14" s="12"/>
      <c r="K14" s="12"/>
    </row>
    <row r="15">
      <c r="F15" s="14"/>
      <c r="G15" s="12"/>
      <c r="I15" s="12"/>
      <c r="K15" s="12"/>
    </row>
    <row r="16">
      <c r="G16" s="13">
        <v>14</v>
      </c>
      <c r="H16" s="15"/>
      <c r="I16" s="12"/>
      <c r="K16" s="12"/>
    </row>
    <row r="17">
      <c r="C17" s="16" t="s">
        <v>80</v>
      </c>
      <c r="G17" s="12"/>
      <c r="K17" s="12"/>
    </row>
    <row r="18">
      <c r="D18" s="14"/>
      <c r="E18" s="13">
        <v>6</v>
      </c>
      <c r="F18" s="15"/>
      <c r="G18" s="12"/>
      <c r="K18" s="12"/>
    </row>
    <row r="19">
      <c r="C19" s="16" t="s">
        <v>19</v>
      </c>
      <c r="D19" s="15"/>
      <c r="E19" s="12"/>
      <c r="K19" s="12"/>
    </row>
    <row r="20">
      <c r="K20" s="13">
        <v>22</v>
      </c>
    </row>
    <row r="21">
      <c r="K21" s="12"/>
    </row>
    <row r="22">
      <c r="C22" s="16"/>
      <c r="D22" s="16"/>
      <c r="E22" s="16" t="s">
        <v>87</v>
      </c>
      <c r="K22" s="12"/>
    </row>
    <row r="23">
      <c r="F23" s="14"/>
      <c r="G23" s="12"/>
      <c r="K23" s="12"/>
    </row>
    <row r="24">
      <c r="G24" s="13">
        <v>15</v>
      </c>
      <c r="K24" s="12"/>
    </row>
    <row r="25">
      <c r="C25" s="16" t="s">
        <v>91</v>
      </c>
      <c r="G25" s="12"/>
      <c r="H25" s="14"/>
      <c r="I25" s="12"/>
      <c r="K25" s="12"/>
    </row>
    <row r="26">
      <c r="D26" s="14"/>
      <c r="E26" s="13">
        <v>7</v>
      </c>
      <c r="F26" s="15"/>
      <c r="G26" s="12"/>
      <c r="I26" s="12"/>
      <c r="K26" s="12"/>
    </row>
    <row r="27">
      <c r="C27" s="16" t="s">
        <v>95</v>
      </c>
      <c r="D27" s="15"/>
      <c r="E27" s="12"/>
      <c r="I27" s="12"/>
      <c r="K27" s="12"/>
    </row>
    <row r="28">
      <c r="I28" s="13">
        <v>20</v>
      </c>
      <c r="J28" s="15"/>
      <c r="K28" s="12"/>
    </row>
    <row r="29">
      <c r="I29" s="12"/>
    </row>
    <row r="30">
      <c r="C30" s="16"/>
      <c r="D30" s="16"/>
      <c r="E30" s="16" t="s">
        <v>99</v>
      </c>
      <c r="I30" s="12"/>
    </row>
    <row r="31">
      <c r="F31" s="14"/>
      <c r="G31" s="12"/>
      <c r="I31" s="12"/>
    </row>
    <row r="32">
      <c r="G32" s="13">
        <v>16</v>
      </c>
      <c r="H32" s="15"/>
      <c r="I32" s="12"/>
    </row>
    <row r="33">
      <c r="C33" s="16" t="s">
        <v>103</v>
      </c>
      <c r="G33" s="12"/>
    </row>
    <row r="34">
      <c r="D34" s="14"/>
      <c r="E34" s="13">
        <v>8</v>
      </c>
      <c r="F34" s="15"/>
      <c r="G34" s="12"/>
    </row>
    <row r="35">
      <c r="C35" s="16" t="s">
        <v>107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'data'!$E$12</f>
      </c>
      <c r="B10" s="18" t="str">
        <f>'data'!D12</f>
      </c>
    </row>
    <row r="11" ht="270" customHeight="true">
      <c r="A11" s="17" t="str">
        <f>'data'!$E$13</f>
      </c>
      <c r="B11" s="18" t="str">
        <f>'data'!D13</f>
      </c>
    </row>
    <row r="12" ht="270" customHeight="true">
      <c r="A12" s="17" t="str">
        <f>'data'!$E$14</f>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'data'!$E$15</f>
      </c>
      <c r="B1" s="18" t="str">
        <f>'data'!D15</f>
      </c>
    </row>
    <row r="2" ht="270" customHeight="true">
      <c r="A2" s="17" t="str">
        <f>'data'!$E$16</f>
      </c>
      <c r="B2" s="18" t="str">
        <f>'data'!D16</f>
      </c>
    </row>
    <row r="3" ht="270" customHeight="true">
      <c r="A3" s="17" t="str">
        <f>'data'!$E$17</f>
      </c>
      <c r="B3" s="18" t="str">
        <f>'data'!D17</f>
      </c>
    </row>
    <row r="4" ht="270" customHeight="true">
      <c r="A4" s="17" t="str">
        <f>'data'!$E$18</f>
      </c>
      <c r="B4" s="18" t="str">
        <f>'data'!D18</f>
      </c>
    </row>
    <row r="5" ht="270" customHeight="true">
      <c r="A5" s="17" t="str">
        <f>'data'!$E$19</f>
      </c>
      <c r="B5" s="18" t="str">
        <f>'data'!D19</f>
      </c>
    </row>
    <row r="6" ht="270" customHeight="true">
      <c r="A6" s="17" t="str">
        <f>'data'!$E$20</f>
      </c>
      <c r="B6" s="18" t="str">
        <f>'data'!D20</f>
      </c>
    </row>
    <row r="7" ht="270" customHeight="true">
      <c r="A7" s="17" t="str">
        <f>'data'!$E$21</f>
      </c>
      <c r="B7" s="18" t="str">
        <f>'data'!D21</f>
      </c>
    </row>
    <row r="8" ht="270" customHeight="true">
      <c r="A8" s="17" t="str">
        <f>'data'!$E$22</f>
      </c>
      <c r="B8" s="18" t="str">
        <f>'data'!D22</f>
      </c>
    </row>
    <row r="9" ht="270" customHeight="true">
      <c r="A9" s="17" t="str">
        <f>'data'!$E$23</f>
      </c>
      <c r="B9" s="18" t="str">
        <f>'data'!D23</f>
      </c>
    </row>
    <row r="10" ht="270" customHeight="true">
      <c r="A10" s="17" t="str">
        <f>'data'!$E$24</f>
      </c>
      <c r="B10" s="18" t="str">
        <f>'data'!D24</f>
      </c>
    </row>
    <row r="11" ht="270" customHeight="true">
      <c r="A11" s="17" t="str">
        <f>'data'!$E$25</f>
      </c>
      <c r="B11" s="18" t="str">
        <f>'data'!D25</f>
      </c>
    </row>
    <row r="12" ht="270" customHeight="true">
      <c r="A12" s="17" t="str">
        <f>'data'!$E$26</f>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