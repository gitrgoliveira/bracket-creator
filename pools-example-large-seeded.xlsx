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<sst xmlns="http://schemas.openxmlformats.org/spreadsheetml/2006/main" count="411" uniqueCount="411">
  <si>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</si>
  <si>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</si>
  <si>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</si>
  <si>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</si>
  <si>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</si>
  <si>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</si>
  <si>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</si>
  <si>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</si>
  <si>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</si>
  <si>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</si>
  <si>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</si>
  <si>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</si>
  <si>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</si>
  <si>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</si>
  <si>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</si>
  <si>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</si>
  <si>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</si>
  <si>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</si>
  <si>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</si>
  <si>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</si>
  <si>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</si>
  <si>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</si>
  <si>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</si>
  <si>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</si>
  <si>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</si>
  <si>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</si>
  <si>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</si>
  <si>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</si>
  <si>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</si>
  <si>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</si>
  <si>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</si>
  <si>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</si>
  <si>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</si>
  <si>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</si>
  <si>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</si>
  <si>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</si>
  <si>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</si>
  <si>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</si>
  <si>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</si>
  <si>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</si>
  <si>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</si>
  <si>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</si>
  <si>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</si>
  <si>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Tyrion Lannister</t>
  </si>
  <si>
    <t>Team Upsilon</t>
  </si>
  <si>
    <t>LANNISTER</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</si>
  <si>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</si>
  <si>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</si>
  <si>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</si>
  <si>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</si>
  <si>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</si>
  <si>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</si>
  <si>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</si>
  <si>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</si>
  <si>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</si>
  <si>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</si>
  <si>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</si>
  <si>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</si>
  <si>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</si>
  <si>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</si>
  <si>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</si>
  <si>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</si>
  <si>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</si>
  <si>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</si>
  <si>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</si>
  <si>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</si>
  <si>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</si>
  <si>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</si>
  <si>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</si>
  <si>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</si>
  <si>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</si>
  <si>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</si>
  <si>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</si>
  <si>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</si>
  <si>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</si>
  <si>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</si>
  <si>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</si>
  <si>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</si>
  <si>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</si>
  <si>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</si>
  <si>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</si>
  <si>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</si>
  <si>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</si>
  <si>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</si>
  <si>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</si>
  <si>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</si>
  <si>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</si>
  <si>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</si>
  <si>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</si>
  <si>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</si>
  <si>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</si>
  <si>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</si>
  <si>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</si>
  <si>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</si>
  <si>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</si>
  <si>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</si>
  <si>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</si>
  <si>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</si>
  <si>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</si>
  <si>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</si>
  <si>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</si>
  <si>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</si>
  <si>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</si>
  <si>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</si>
  <si>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</si>
  <si>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</si>
  <si>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</si>
  <si>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</si>
  <si>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</si>
  <si>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</si>
  <si>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</si>
  <si>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</si>
  <si>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</si>
  <si>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</si>
  <si>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</si>
  <si>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</si>
  <si>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</si>
  <si>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</si>
  <si>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</si>
  <si>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</si>
  <si>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</si>
  <si>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</si>
  <si>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</si>
  <si>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</si>
  <si>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</si>
  <si>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</si>
  <si>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</si>
  <si>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</si>
  <si>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</si>
  <si>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</si>
  <si>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</si>
  <si>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</si>
  <si>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</si>
  <si>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</si>
  <si>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</si>
  <si>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</si>
  <si>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</si>
  <si>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</si>
  <si>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</si>
  <si>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</si>
  <si>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</si>
  <si>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</si>
  <si>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</si>
  <si>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</si>
  <si>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</si>
  <si>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</si>
  <si>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</si>
  <si>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</si>
  <si>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</si>
  <si>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</si>
  <si>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</si>
  <si>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</si>
  <si>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</si>
  <si>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</si>
  <si>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</si>
  <si>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</si>
  <si>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</si>
  <si>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</si>
  <si>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</si>
  <si>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</si>
  <si>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</si>
  <si>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</si>
  <si>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</si>
  <si>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</si>
  <si>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</si>
  <si>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</si>
  <si>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</si>
  <si>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</si>
  <si>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</si>
  <si>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</si>
  <si>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</si>
  <si>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</si>
  <si>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</si>
  <si>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</si>
  <si>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</si>
  <si>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</si>
  <si>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</si>
  <si>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Virginia Woolf</t>
  </si>
  <si>
    <t>Team Chi</t>
  </si>
  <si>
    <t>WOOLF</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</si>
  <si>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</si>
  <si>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</si>
  <si>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</si>
  <si>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</si>
  <si>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</si>
  <si>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</si>
  <si>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</si>
  <si>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</si>
  <si>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</si>
  <si>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</si>
  <si>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</si>
  <si>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</si>
  <si>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</si>
  <si>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</si>
  <si>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</si>
  <si>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</si>
  <si>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</si>
  <si>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</si>
  <si>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</si>
  <si>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</si>
  <si>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</si>
  <si>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</si>
  <si>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</si>
  <si>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</si>
  <si>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</si>
  <si>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</si>
  <si>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</si>
  <si>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</si>
  <si>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</si>
  <si>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</si>
  <si>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</si>
  <si>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</si>
  <si>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Kaden Martin</t>
  </si>
  <si>
    <t>MARTIN</t>
  </si>
  <si>
    <t>K54</t>
  </si>
  <si>
    <t>Voldemort</t>
  </si>
  <si>
    <t>VOLDEMORT</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</si>
  <si>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</si>
  <si>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</si>
  <si>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</si>
  <si>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</si>
  <si>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</si>
  <si>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</si>
  <si>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</si>
  <si>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</si>
  <si>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</si>
  <si>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</si>
  <si>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</si>
  <si>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</si>
  <si>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</si>
  <si>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</si>
  <si>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</si>
  <si>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</si>
  <si>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</si>
  <si>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</si>
  <si>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</si>
  <si>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</si>
  <si>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</si>
  <si>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</si>
  <si>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</si>
  <si>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</si>
  <si>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</si>
  <si>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</si>
  <si>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</si>
  <si>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</si>
  <si>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</si>
  <si>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</si>
  <si>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</si>
  <si>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</si>
  <si>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</si>
  <si>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</si>
  <si>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</si>
  <si>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</si>
  <si>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</si>
  <si>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</si>
  <si>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</si>
  <si>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</si>
  <si>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</si>
  <si>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</si>
  <si>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</si>
  <si>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</si>
  <si>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</si>
  <si>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</si>
  <si>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</si>
  <si>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</si>
  <si>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</si>
  <si>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</si>
  <si>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</si>
  <si>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</si>
  <si>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</si>
  <si>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</si>
  <si>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</si>
  <si>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</si>
  <si>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</si>
  <si>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</si>
  <si>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</si>
  <si>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</si>
  <si>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</si>
  <si>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</si>
  <si>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</si>
  <si>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</si>
  <si>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</si>
  <si>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</si>
  <si>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</si>
  <si>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</si>
  <si>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</si>
  <si>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</si>
  <si>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</si>
  <si>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</si>
  <si>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</si>
  <si>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</si>
  <si>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</si>
  <si>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Zachary Adams</t>
  </si>
  <si>
    <t>ADAMS</t>
  </si>
  <si>
    <t>K80</t>
  </si>
  <si>
    <t>Jane Austen</t>
  </si>
  <si>
    <t>AUSTEN</t>
  </si>
  <si>
    <t>K81</t>
  </si>
  <si>
    <t>Neville Longbottom</t>
  </si>
  <si>
    <t>LONGBOTTOM</t>
  </si>
  <si>
    <t>K82</t>
  </si>
  <si>
    <t>Pool AB</t>
  </si>
  <si>
    <t>Ulysses Hernandez</t>
  </si>
  <si>
    <t>K83</t>
  </si>
  <si>
    <t>Fyodor Dostoevsky</t>
  </si>
  <si>
    <t>DOSTOEVSKY</t>
  </si>
  <si>
    <t>K84</t>
  </si>
  <si>
    <t>Eddard Stark</t>
  </si>
  <si>
    <t>STARK</t>
  </si>
  <si>
    <t>K85</t>
  </si>
  <si>
    <t>Pool AC</t>
  </si>
  <si>
    <t>Kurt Vonnegut</t>
  </si>
  <si>
    <t>VONNEGUT</t>
  </si>
  <si>
    <t>K86</t>
  </si>
  <si>
    <t>Ray Bradbury</t>
  </si>
  <si>
    <t>BRADBURY</t>
  </si>
  <si>
    <t>K87</t>
  </si>
  <si>
    <t>Bilbo Baggins</t>
  </si>
  <si>
    <t>K88</t>
  </si>
  <si>
    <t>Pool AD</t>
  </si>
  <si>
    <t>Nathan Lee</t>
  </si>
  <si>
    <t>LEE</t>
  </si>
  <si>
    <t>K89</t>
  </si>
  <si>
    <t>Thomas Hardy</t>
  </si>
  <si>
    <t>HARDY</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</si>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</sst>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19</v>
      </c>
      <c r="D56" t="s">
        <v>213</v>
      </c>
      <c r="E56" t="s">
        <v>214</v>
      </c>
    </row>
    <row r="57">
      <c r="A57" t="s">
        <v>209</v>
      </c>
      <c r="B57" t="s">
        <v>215</v>
      </c>
      <c r="C57" t="s">
        <v>178</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19</v>
      </c>
      <c r="D82" t="s">
        <v>293</v>
      </c>
      <c r="E82" t="s">
        <v>294</v>
      </c>
    </row>
    <row r="83">
      <c r="A83" t="s">
        <v>291</v>
      </c>
      <c r="B83" t="s">
        <v>295</v>
      </c>
      <c r="C83" t="s">
        <v>40</v>
      </c>
      <c r="D83" t="s">
        <v>296</v>
      </c>
      <c r="E83" t="s">
        <v>297</v>
      </c>
    </row>
    <row r="84">
      <c r="A84" t="s">
        <v>291</v>
      </c>
      <c r="B84" t="s">
        <v>298</v>
      </c>
      <c r="C84" t="s">
        <v>109</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44</v>
      </c>
      <c r="D92" t="s">
        <v>324</v>
      </c>
      <c r="E92" t="s">
        <v>325</v>
      </c>
    </row>
    <row r="93">
      <c r="A93" t="s">
        <v>319</v>
      </c>
      <c r="B93" t="s">
        <v>326</v>
      </c>
      <c r="C93" t="s">
        <v>27</v>
      </c>
      <c r="D93" t="s">
        <v>45</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AB-2nd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AB-1st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AC-2nd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AC-1st ",'Pool Matches'!O239)</f>
      </c>
    </row>
    <row r="110">
      <c r="F110" t="s">
        <v>341</v>
      </c>
      <c r="G110" s="19"/>
      <c r="N110" t="s">
        <v>341</v>
      </c>
      <c r="O110" s="19"/>
    </row>
    <row r="111">
      <c r="F111" t="s">
        <v>342</v>
      </c>
      <c r="G111" s="19"/>
      <c r="N111" t="s">
        <v>342</v>
      </c>
      <c r="O111" s="19"/>
    </row>
    <row r="114">
      <c r="A114" s="13" t="s">
        <v>373</v>
      </c>
      <c r="B114" s="13"/>
      <c r="C114" s="13"/>
      <c r="D114" s="13"/>
      <c r="E114" s="13"/>
      <c r="F114" s="13"/>
      <c r="G114" s="13"/>
      <c r="I114" s="13" t="s">
        <v>374</v>
      </c>
      <c r="J114" s="13"/>
      <c r="K114" s="13"/>
      <c r="L114" s="13"/>
      <c r="M114" s="13"/>
      <c r="N114" s="13"/>
      <c r="O114" s="13"/>
    </row>
    <row r="115">
      <c r="A115" s="17" t="s">
        <v>330</v>
      </c>
      <c r="D115" s="14" t="s">
        <v>331</v>
      </c>
      <c r="G115" s="16" t="s">
        <v>332</v>
      </c>
      <c r="I115" s="17" t="s">
        <v>330</v>
      </c>
      <c r="L115" s="14" t="s">
        <v>331</v>
      </c>
      <c r="O115" s="16" t="s">
        <v>332</v>
      </c>
    </row>
    <row r="116">
      <c r="A116" s="14" t="str">
        <f>CONCATENATE("Pool AD-2nd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AD-1st ",'Pool Matches'!O256)</f>
      </c>
    </row>
    <row r="118">
      <c r="F118" t="s">
        <v>341</v>
      </c>
      <c r="G118" s="19"/>
      <c r="N118" t="s">
        <v>341</v>
      </c>
      <c r="O118" s="19"/>
    </row>
    <row r="119">
      <c r="F119" t="s">
        <v>342</v>
      </c>
      <c r="G119" s="19"/>
      <c r="N119" t="s">
        <v>342</v>
      </c>
      <c r="O119"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31</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34</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AB-2nd ",'Pool Matches'!O223)</f>
      </c>
      <c r="D23" s="15"/>
      <c r="E23" s="20"/>
      <c r="F23" s="22"/>
      <c r="G23" s="20"/>
      <c r="K23" s="20"/>
    </row>
    <row r="24">
      <c r="A24" s="24" t="str">
        <f>'data'!$A$42</f>
      </c>
      <c r="G24" s="21">
        <v>37</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Matches'!O240)</f>
      </c>
      <c r="D27" s="15"/>
      <c r="E27" s="20"/>
      <c r="I27" s="20"/>
      <c r="K27" s="20"/>
    </row>
    <row r="28">
      <c r="A28" s="22"/>
      <c r="I28" s="21">
        <v>48</v>
      </c>
      <c r="J28" s="15"/>
      <c r="K28" s="20"/>
    </row>
    <row r="29">
      <c r="A29" s="24" t="str">
        <f>'data'!$A$45</f>
      </c>
      <c r="C29" s="23" t="str">
        <f>CONCATENATE("Pool O-1st ",'Pool Matches'!G256)</f>
      </c>
      <c r="I29" s="20"/>
    </row>
    <row r="30">
      <c r="A30" s="25" t="str">
        <f>data!$E$43&amp;" "&amp;data!$B$43</f>
      </c>
      <c r="D30" s="22"/>
      <c r="E30" s="21">
        <v>15</v>
      </c>
      <c r="I30" s="20"/>
    </row>
    <row r="31">
      <c r="A31" s="26" t="str">
        <f>data!$E$44&amp;" "&amp;data!$B$44</f>
      </c>
      <c r="C31" s="23" t="str">
        <f>CONCATENATE("Pool AD-2nd ",'Pool Matches'!O257)</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16</v>
      </c>
    </row>
    <row r="7">
      <c r="A7" s="27" t="str">
        <f>data!$E$51&amp;" "&amp;data!$B$51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data!$E$52&amp;" "&amp;data!$B$52</f>
      </c>
      <c r="D10" s="22"/>
      <c r="E10" s="21">
        <v>17</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18</v>
      </c>
      <c r="I14" s="20"/>
      <c r="K14" s="20"/>
    </row>
    <row r="15">
      <c r="A15" s="25" t="str">
        <f>data!$E$55&amp;" "&amp;data!$B$55</f>
      </c>
      <c r="C15" s="23" t="str">
        <f>CONCATENATE("Pool C-2nd ",'Pool Matches'!G53)</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data!$E$61&amp;" "&amp;data!$B$61</f>
      </c>
      <c r="C25" s="23" t="str">
        <f>CONCATENATE("Pool U-1st ",'Pool Matches'!O103)</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22</v>
      </c>
      <c r="I30" s="20"/>
    </row>
    <row r="31">
      <c r="A31" s="26" t="str">
        <f>data!$E$65&amp;" "&amp;data!$B$65</f>
      </c>
      <c r="C31" s="23" t="str">
        <f>CONCATENATE("Pool G-2nd ",'Pool Matches'!G121)</f>
      </c>
      <c r="D31" s="15"/>
      <c r="E31" s="20"/>
      <c r="F31" s="22"/>
      <c r="G31" s="20"/>
      <c r="I31" s="20"/>
    </row>
    <row r="32">
      <c r="A32" s="27" t="str">
        <f>data!$E$66&amp;" "&amp;data!$B$66</f>
      </c>
      <c r="G32" s="21">
        <v>41</v>
      </c>
      <c r="H32" s="15"/>
      <c r="I32" s="20"/>
    </row>
    <row r="33">
      <c r="A33" s="22"/>
      <c r="C33" s="23" t="str">
        <f>CONCATENATE("Pool W-1st ",'Pool Matches'!O137)</f>
      </c>
      <c r="G33" s="20"/>
    </row>
    <row r="34">
      <c r="A34" s="24" t="str">
        <f>'data'!$A$69</f>
      </c>
      <c r="D34" s="22"/>
      <c r="E34" s="21">
        <v>23</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24</v>
      </c>
    </row>
    <row r="7">
      <c r="A7" s="27" t="str">
        <f>data!$E$75&amp;" "&amp;data!$B$75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data!$E$76&amp;" "&amp;data!$B$76</f>
      </c>
      <c r="D10" s="22"/>
      <c r="E10" s="21">
        <v>25</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26</v>
      </c>
      <c r="I14" s="20"/>
      <c r="K14" s="20"/>
    </row>
    <row r="15">
      <c r="A15" s="25" t="str">
        <f>data!$E$79&amp;" "&amp;data!$B$79</f>
      </c>
      <c r="C15" s="23" t="str">
        <f>CONCATENATE("Pool K-2nd ",'Pool Matches'!G189)</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AB-1st ",'Pool Matches'!O222)</f>
      </c>
      <c r="K21" s="20"/>
    </row>
    <row r="22">
      <c r="A22" s="27" t="str">
        <f>data!$E$84&amp;" "&amp;data!$B$84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data!$E$85&amp;" "&amp;data!$B$85</f>
      </c>
      <c r="C25" s="23" t="str">
        <f>CONCATENATE("Pool AC-1st ",'Pool Matches'!O239)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C29" s="23" t="str">
        <f>CONCATENATE("Pool AD-1st ",'Pool Matches'!O256)</f>
      </c>
      <c r="I29" s="20"/>
    </row>
    <row r="30">
      <c r="A30" s="25" t="str">
        <f>data!$E$88&amp;" "&amp;data!$B$88</f>
      </c>
      <c r="D30" s="22"/>
      <c r="E30" s="21">
        <v>30</v>
      </c>
      <c r="I30" s="20"/>
    </row>
    <row r="31">
      <c r="A31" s="26" t="str">
        <f>data!$E$89&amp;" "&amp;data!$B$89</f>
      </c>
      <c r="C31" s="23" t="str">
        <f>CONCATENATE("Pool O-2nd ",'Pool Matches'!G257)</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